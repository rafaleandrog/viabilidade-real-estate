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ulário" sheetId="1" state="visible" r:id="rId1"/>
  </sheets>
  <definedNames>
    <definedName name="_xlnm.Print_Titles" localSheetId="0">'Formulário'!$3:$3</definedName>
  </definedNames>
  <calcPr calcId="124519" fullCalcOnLoad="1"/>
</workbook>
</file>

<file path=xl/styles.xml><?xml version="1.0" encoding="utf-8"?>
<styleSheet xmlns="http://schemas.openxmlformats.org/spreadsheetml/2006/main">
  <numFmts count="2">
    <numFmt numFmtId="164" formatCode="mmm/yyyy"/>
    <numFmt numFmtId="165" formatCode="&quot;R$&quot; #,##0.00"/>
  </numFmts>
  <fonts count="10">
    <font>
      <name val="Calibri"/>
      <family val="2"/>
      <color theme="1"/>
      <sz val="11"/>
      <scheme val="minor"/>
    </font>
    <font>
      <b val="1"/>
      <color rgb="00FFFFFF"/>
      <sz val="14"/>
    </font>
    <font>
      <sz val="9"/>
    </font>
    <font>
      <b val="1"/>
      <color rgb="00FFFFFF"/>
    </font>
    <font>
      <b val="1"/>
      <color rgb="00FFFFFF"/>
      <sz val="11"/>
    </font>
    <font>
      <color rgb="007F7F7F"/>
      <sz val="8"/>
    </font>
    <font>
      <b val="1"/>
    </font>
    <font>
      <i val="1"/>
      <color rgb="00595959"/>
      <sz val="9"/>
    </font>
    <font>
      <b val="1"/>
      <i val="1"/>
    </font>
    <font>
      <i val="1"/>
    </font>
  </fonts>
  <fills count="9">
    <fill>
      <patternFill/>
    </fill>
    <fill>
      <patternFill patternType="gray125"/>
    </fill>
    <fill>
      <patternFill patternType="solid">
        <fgColor rgb="001F3864"/>
      </patternFill>
    </fill>
    <fill>
      <patternFill patternType="solid">
        <fgColor rgb="002F5597"/>
      </patternFill>
    </fill>
    <fill>
      <patternFill patternType="solid">
        <fgColor rgb="00FFF2CC"/>
      </patternFill>
    </fill>
    <fill>
      <patternFill patternType="solid">
        <fgColor rgb="00E7E6E6"/>
      </patternFill>
    </fill>
    <fill>
      <patternFill patternType="solid">
        <fgColor rgb="00D9E2F3"/>
      </patternFill>
    </fill>
    <fill>
      <patternFill patternType="solid">
        <fgColor rgb="00595959"/>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3" borderId="0" pivotButton="0" quotePrefix="0" xfId="0"/>
    <xf numFmtId="0" fontId="4" fillId="3" borderId="0" pivotButton="0" quotePrefix="0" xfId="0"/>
    <xf numFmtId="0" fontId="0" fillId="0" borderId="1" applyAlignment="1" pivotButton="0" quotePrefix="0" xfId="0">
      <alignment vertical="center" wrapText="1"/>
    </xf>
    <xf numFmtId="49" fontId="0" fillId="4" borderId="1" applyAlignment="1" applyProtection="1" pivotButton="0" quotePrefix="0" xfId="0">
      <alignment horizontal="right" vertical="center" wrapText="1"/>
      <protection locked="0" hidden="0"/>
    </xf>
    <xf numFmtId="0" fontId="2" fillId="0" borderId="1" applyAlignment="1" pivotButton="0" quotePrefix="0" xfId="0">
      <alignment vertical="center" wrapText="1"/>
    </xf>
    <xf numFmtId="0" fontId="5" fillId="0" borderId="1" applyAlignment="1" pivotButton="0" quotePrefix="0" xfId="0">
      <alignment vertical="center" wrapText="1"/>
    </xf>
    <xf numFmtId="49" fontId="6" fillId="5" borderId="1" applyAlignment="1" pivotButton="0" quotePrefix="0" xfId="0">
      <alignment horizontal="right" vertical="center" wrapText="1"/>
    </xf>
    <xf numFmtId="4" fontId="0" fillId="4" borderId="1" applyAlignment="1" applyProtection="1" pivotButton="0" quotePrefix="0" xfId="0">
      <alignment horizontal="right" vertical="center" wrapText="1"/>
      <protection locked="0" hidden="0"/>
    </xf>
    <xf numFmtId="10" fontId="0" fillId="4" borderId="1" applyAlignment="1" applyProtection="1" pivotButton="0" quotePrefix="0" xfId="0">
      <alignment horizontal="right" vertical="center" wrapText="1"/>
      <protection locked="0" hidden="0"/>
    </xf>
    <xf numFmtId="0" fontId="7" fillId="0" borderId="0" applyAlignment="1" pivotButton="0" quotePrefix="0" xfId="0">
      <alignment vertical="top" wrapText="1"/>
    </xf>
    <xf numFmtId="164" fontId="0" fillId="4" borderId="1" applyAlignment="1" applyProtection="1" pivotButton="0" quotePrefix="0" xfId="0">
      <alignment horizontal="right" vertical="center" wrapText="1"/>
      <protection locked="0" hidden="0"/>
    </xf>
    <xf numFmtId="1" fontId="0" fillId="4" borderId="1" applyAlignment="1" applyProtection="1" pivotButton="0" quotePrefix="0" xfId="0">
      <alignment horizontal="right" vertical="center" wrapText="1"/>
      <protection locked="0" hidden="0"/>
    </xf>
    <xf numFmtId="0" fontId="8" fillId="6" borderId="0" pivotButton="0" quotePrefix="0" xfId="0"/>
    <xf numFmtId="165" fontId="0" fillId="4" borderId="1" applyAlignment="1" applyProtection="1" pivotButton="0" quotePrefix="0" xfId="0">
      <alignment horizontal="right" vertical="center" wrapText="1"/>
      <protection locked="0" hidden="0"/>
    </xf>
    <xf numFmtId="0" fontId="4" fillId="7" borderId="0" pivotButton="0" quotePrefix="0" xfId="0"/>
    <xf numFmtId="0" fontId="0" fillId="8" borderId="1" applyAlignment="1" pivotButton="0" quotePrefix="0" xfId="0">
      <alignment vertical="center" wrapText="1"/>
    </xf>
    <xf numFmtId="1" fontId="9" fillId="8" borderId="1" applyAlignment="1" pivotButton="0" quotePrefix="0" xfId="0">
      <alignment horizontal="right" vertical="center"/>
    </xf>
    <xf numFmtId="0" fontId="2" fillId="8" borderId="1" applyAlignment="1" pivotButton="0" quotePrefix="0" xfId="0">
      <alignment vertical="center" wrapText="1"/>
    </xf>
    <xf numFmtId="0" fontId="5" fillId="8" borderId="1" applyAlignment="1" pivotButton="0" quotePrefix="0" xfId="0">
      <alignment vertical="center" wrapText="1"/>
    </xf>
    <xf numFmtId="164" fontId="9" fillId="8" borderId="1" applyAlignment="1" pivotButton="0" quotePrefix="0" xfId="0">
      <alignment horizontal="right" vertical="center"/>
    </xf>
    <xf numFmtId="0" fontId="9" fillId="8" borderId="1" applyAlignment="1" pivotButton="0" quotePrefix="0" xfId="0">
      <alignment horizontal="right" vertical="center"/>
    </xf>
    <xf numFmtId="165" fontId="9" fillId="8" borderId="1" applyAlignment="1" pivotButton="0" quotePrefix="0" xfId="0">
      <alignment horizontal="right" vertical="center"/>
    </xf>
    <xf numFmtId="4" fontId="9" fillId="8" borderId="1" applyAlignment="1" pivotButton="0" quotePrefix="0" xfId="0">
      <alignment horizontal="right" vertical="center"/>
    </xf>
    <xf numFmtId="10" fontId="9" fillId="8"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597"/>
    <outlinePr summaryBelow="1" summaryRight="1"/>
    <pageSetUpPr fitToPage="1"/>
  </sheetPr>
  <dimension ref="A1:F917"/>
  <sheetViews>
    <sheetView showGridLines="0" workbookViewId="0">
      <pane ySplit="3" topLeftCell="A4" activePane="bottomLeft" state="frozen"/>
      <selection pane="bottomLeft" activeCell="A1" sqref="A1"/>
    </sheetView>
  </sheetViews>
  <sheetFormatPr baseColWidth="8" defaultRowHeight="15"/>
  <cols>
    <col width="58" customWidth="1" min="1" max="1"/>
    <col width="30" customWidth="1" min="2" max="2"/>
    <col width="36" customWidth="1" min="3" max="3"/>
    <col width="46" customWidth="1" min="4" max="4"/>
    <col hidden="1" width="13" customWidth="1" min="6" max="6"/>
  </cols>
  <sheetData>
    <row r="1" ht="26" customHeight="1">
      <c r="A1" s="1" t="inlineStr">
        <is>
          <t>Formulário de estudo — Avançado · Loteamento</t>
        </is>
      </c>
    </row>
    <row r="2" ht="92" customHeight="1">
      <c r="A2" s="2" t="inlineStr">
        <is>
          <t>Como preencher: só as células AMARELAS da coluna B. Cinza-claro com valor em negrito = fixo do tipo de estudo (não editar); cinza com itálico = calculado pelo Excel, só para conferir (não editar). * = obrigatório. PERCENTUAL: digite com o símbolo % (4%), nunca só o número. O Excel guarda 0,04; a API do app espera pontos (4) e o importador converte pelo FORMATO da célula — por isso não troque o formato das células. Números sem separador de milhar e com ponto decimal quando digitados fora do Excel. CAMPO COM VÁRIAS UNIDADES: há uma linha por unidade — preencha UMA só e deixe as outras em branco; o Excel não converte uma na outra. Listas (produtos, custos…) têm vagas numeradas; vaga totalmente em branco = sem item. Meses: 0 = mês da data de início do projeto.</t>
        </is>
      </c>
    </row>
    <row r="3">
      <c r="A3" s="3" t="inlineStr">
        <is>
          <t>Campo</t>
        </is>
      </c>
      <c r="B3" s="3" t="inlineStr">
        <is>
          <t>Valor</t>
        </is>
      </c>
      <c r="C3" s="3" t="inlineStr">
        <is>
          <t>Unidade</t>
        </is>
      </c>
      <c r="D3" s="3" t="inlineStr">
        <is>
          <t>Chave técnica (leitura por máquina)</t>
        </is>
      </c>
    </row>
    <row r="4" ht="20" customHeight="1">
      <c r="A4" s="4" t="inlineStr">
        <is>
          <t>1 · Criação do estudo</t>
        </is>
      </c>
    </row>
    <row r="5">
      <c r="A5" s="5" t="inlineStr">
        <is>
          <t>Nome do estudo *</t>
        </is>
      </c>
      <c r="B5" s="6" t="n"/>
      <c r="C5" s="7" t="inlineStr">
        <is>
          <t>texto (até 200)</t>
        </is>
      </c>
      <c r="D5" s="8" t="inlineStr">
        <is>
          <t>estudos.nome</t>
        </is>
      </c>
    </row>
    <row r="6">
      <c r="A6" s="5" t="inlineStr">
        <is>
          <t>Tipo de empreendimento</t>
        </is>
      </c>
      <c r="B6" s="9" t="inlineStr">
        <is>
          <t>loteamento</t>
        </is>
      </c>
      <c r="C6" s="7" t="inlineStr">
        <is>
          <t>fixo deste formulário</t>
        </is>
      </c>
      <c r="D6" s="8" t="inlineStr">
        <is>
          <t>estudos.tipo_empreendimento</t>
        </is>
      </c>
    </row>
    <row r="7">
      <c r="A7" s="5" t="inlineStr">
        <is>
          <t>Nível de análise</t>
        </is>
      </c>
      <c r="B7" s="9" t="inlineStr">
        <is>
          <t>avancado</t>
        </is>
      </c>
      <c r="C7" s="7" t="inlineStr">
        <is>
          <t>fixo deste formulário</t>
        </is>
      </c>
      <c r="D7" s="8" t="inlineStr">
        <is>
          <t>estudos.nivel_analise</t>
        </is>
      </c>
    </row>
    <row r="8">
      <c r="A8" s="5" t="inlineStr">
        <is>
          <t>Origem do terreno *</t>
        </is>
      </c>
      <c r="B8" s="6" t="inlineStr">
        <is>
          <t>manual</t>
        </is>
      </c>
      <c r="C8" s="7" t="inlineStr">
        <is>
          <t>lista: manual (inserir novo) | nucleo (buscar terreno — o importador só aceita manual)</t>
        </is>
      </c>
      <c r="D8" s="8" t="inlineStr">
        <is>
          <t>estudos.origem_terreno</t>
        </is>
      </c>
    </row>
    <row r="9">
      <c r="A9" s="5" t="inlineStr">
        <is>
          <t>UF (recomendado)</t>
        </is>
      </c>
      <c r="B9" s="6" t="n"/>
      <c r="C9" s="7" t="inlineStr">
        <is>
          <t>texto, 2 letras</t>
        </is>
      </c>
      <c r="D9" s="8" t="inlineStr">
        <is>
          <t>estudos.uf</t>
        </is>
      </c>
    </row>
    <row r="10">
      <c r="A10" s="5" t="inlineStr">
        <is>
          <t>Notas</t>
        </is>
      </c>
      <c r="B10" s="6" t="n"/>
      <c r="C10" s="7" t="inlineStr">
        <is>
          <t>texto livre (só pela API)</t>
        </is>
      </c>
      <c r="D10" s="8" t="inlineStr">
        <is>
          <t>estudos.notas</t>
        </is>
      </c>
    </row>
    <row r="11" ht="20" customHeight="1">
      <c r="A11" s="4" t="inlineStr">
        <is>
          <t>2 · Empreendimento › Informações</t>
        </is>
      </c>
    </row>
    <row r="12">
      <c r="A12" s="5" t="inlineStr">
        <is>
          <t>Matrícula</t>
        </is>
      </c>
      <c r="B12" s="6" t="n"/>
      <c r="C12" s="7" t="inlineStr">
        <is>
          <t>texto (até 100)</t>
        </is>
      </c>
      <c r="D12" s="8" t="inlineStr">
        <is>
          <t>estudos.matricula</t>
        </is>
      </c>
    </row>
    <row r="13">
      <c r="A13" s="5" t="inlineStr">
        <is>
          <t>Descrição</t>
        </is>
      </c>
      <c r="B13" s="6" t="n"/>
      <c r="C13" s="7" t="inlineStr">
        <is>
          <t>texto longo</t>
        </is>
      </c>
      <c r="D13" s="8" t="inlineStr">
        <is>
          <t>estudos.descricao</t>
        </is>
      </c>
    </row>
    <row r="14">
      <c r="A14" s="5" t="inlineStr">
        <is>
          <t>Nome do terreno (origem = manual)</t>
        </is>
      </c>
      <c r="B14" s="6" t="n"/>
      <c r="C14" s="7" t="inlineStr">
        <is>
          <t>texto (até 200)</t>
        </is>
      </c>
      <c r="D14" s="8" t="inlineStr">
        <is>
          <t>estudos.terreno_manual_nome</t>
        </is>
      </c>
    </row>
    <row r="15">
      <c r="A15" s="5" t="inlineStr">
        <is>
          <t>Área do terreno *</t>
        </is>
      </c>
      <c r="B15" s="10" t="n"/>
      <c r="C15" s="7" t="inlineStr">
        <is>
          <t>m² (&gt; 0; base de "R$/m² de terreno")</t>
        </is>
      </c>
      <c r="D15" s="8" t="inlineStr">
        <is>
          <t>estudos.terreno_manual_area</t>
        </is>
      </c>
    </row>
    <row r="16">
      <c r="A16" s="5" t="inlineStr">
        <is>
          <t>Imóvel do Núcleo (vínculo — só se origem = nucleo)</t>
        </is>
      </c>
      <c r="B16" s="6" t="n"/>
      <c r="C16" s="7" t="inlineStr">
        <is>
          <t>id do imóvel</t>
        </is>
      </c>
      <c r="D16" s="8" t="inlineStr">
        <is>
          <t>estudo_imoveis.imovel_nucleo_id</t>
        </is>
      </c>
    </row>
    <row r="17">
      <c r="A17" s="5" t="inlineStr">
        <is>
          <t>Imagem principal / render / planta (nome do arquivo; envio à parte)</t>
        </is>
      </c>
      <c r="B17" s="6" t="n"/>
      <c r="C17" s="7" t="inlineStr">
        <is>
          <t>png/jpeg/webp/pdf ≤ 25 MB</t>
        </is>
      </c>
      <c r="D17" s="8" t="inlineStr">
        <is>
          <t>estudo_documentos</t>
        </is>
      </c>
    </row>
    <row r="18" ht="20" customHeight="1">
      <c r="A18" s="4" t="inlineStr">
        <is>
          <t>3 · Viabilidade › Financeiro e tributação</t>
        </is>
      </c>
    </row>
    <row r="19">
      <c r="A19" s="5" t="inlineStr">
        <is>
          <t>Juros de tabela *</t>
        </is>
      </c>
      <c r="B19" s="11" t="n"/>
      <c r="C19" s="7" t="inlineStr">
        <is>
          <t>% a.a. (0 a 999,99; vale p/ todos os grupos)</t>
        </is>
      </c>
      <c r="D19" s="8" t="inlineStr">
        <is>
          <t>estudos.juros_tabela_aa_padrao</t>
        </is>
      </c>
    </row>
    <row r="20">
      <c r="A20" s="5" t="inlineStr">
        <is>
          <t>Taxa de desconto p/ VP *</t>
        </is>
      </c>
      <c r="B20" s="11" t="n"/>
      <c r="C20" s="7" t="inlineStr">
        <is>
          <t>% a.a. (0 a 100)</t>
        </is>
      </c>
      <c r="D20" s="8" t="inlineStr">
        <is>
          <t>estudos.taxa_desconto_aa</t>
        </is>
      </c>
    </row>
    <row r="21">
      <c r="A21" s="5" t="inlineStr">
        <is>
          <t>Corretagem incide sobre a permuta física *</t>
        </is>
      </c>
      <c r="B21" s="6" t="n"/>
      <c r="C21" s="7" t="inlineStr">
        <is>
          <t>Sim/Não</t>
        </is>
      </c>
      <c r="D21" s="8" t="inlineStr">
        <is>
          <t>estudos.corretagem_sobre_permuta_fisica</t>
        </is>
      </c>
    </row>
    <row r="22">
      <c r="A22" s="5" t="inlineStr">
        <is>
          <t>RET (Regime Especial de Tributação) *</t>
        </is>
      </c>
      <c r="B22" s="6" t="n"/>
      <c r="C22" s="7" t="inlineStr">
        <is>
          <t>Sim/Não (único imposto aplicado pelo Avançado)</t>
        </is>
      </c>
      <c r="D22" s="8" t="inlineStr">
        <is>
          <t>parametros.considerar_ret</t>
        </is>
      </c>
    </row>
    <row r="23">
      <c r="A23" s="5" t="inlineStr">
        <is>
          <t>Alíquota RET *</t>
        </is>
      </c>
      <c r="B23" s="11" t="n"/>
      <c r="C23" s="7" t="inlineStr">
        <is>
          <t>% da receita (0 a 100; em loteamento use a alíquota efetiva)</t>
        </is>
      </c>
      <c r="D23" s="8" t="inlineStr">
        <is>
          <t>parametros.ret_pct</t>
        </is>
      </c>
    </row>
    <row r="24" ht="20" customHeight="1">
      <c r="A24" s="4" t="inlineStr">
        <is>
          <t>4 · Cronograma (meses a partir do mês 0)</t>
        </is>
      </c>
    </row>
    <row r="25" ht="26" customHeight="1">
      <c r="A25" s="12" t="inlineStr">
        <is>
          <t>Pré-lançamento, Lançamento e Pós-obras começam no FIM do evento anterior (travado no app): esses inícios estão na zona calculada, não são preenchidos. Informe "tem Pré-lançamento" ANTES de preencher o cronograma.</t>
        </is>
      </c>
    </row>
    <row r="26">
      <c r="A26" s="5" t="inlineStr">
        <is>
          <t>Data de início do projeto *</t>
        </is>
      </c>
      <c r="B26" s="13" t="n"/>
      <c r="C26" s="7" t="inlineStr">
        <is>
          <t>data (mês/ano) — mês 0 do fluxo</t>
        </is>
      </c>
      <c r="D26" s="8" t="inlineStr">
        <is>
          <t>parametros.data_inicio_projeto</t>
        </is>
      </c>
    </row>
    <row r="27">
      <c r="A27" s="5" t="inlineStr">
        <is>
          <t>Este empreendimento tem Pré-lançamento *</t>
        </is>
      </c>
      <c r="B27" s="6" t="n"/>
      <c r="C27" s="7" t="inlineStr">
        <is>
          <t>Sim/Não</t>
        </is>
      </c>
      <c r="D27" s="8" t="inlineStr">
        <is>
          <t>parametros.tem_pre_lancamento</t>
        </is>
      </c>
    </row>
    <row r="28">
      <c r="A28" s="5" t="inlineStr">
        <is>
          <t>Planejamento — Início *</t>
        </is>
      </c>
      <c r="B28" s="14" t="n"/>
      <c r="C28" s="7" t="inlineStr">
        <is>
          <t>mês (inteiro ≥ 0; 0 = início)</t>
        </is>
      </c>
      <c r="D28" s="8" t="inlineStr">
        <is>
          <t>cronograma.planejamento.inicio_mes</t>
        </is>
      </c>
    </row>
    <row r="29">
      <c r="A29" s="5" t="inlineStr">
        <is>
          <t>Planejamento — Duração *</t>
        </is>
      </c>
      <c r="B29" s="14" t="n"/>
      <c r="C29" s="7" t="inlineStr">
        <is>
          <t>meses (inteiro ≥ 1)</t>
        </is>
      </c>
      <c r="D29" s="8" t="inlineStr">
        <is>
          <t>cronograma.planejamento.duracao_meses</t>
        </is>
      </c>
    </row>
    <row r="30">
      <c r="A30" s="5" t="inlineStr">
        <is>
          <t>Pré-lançamento — Duração (só se tiver pré)</t>
        </is>
      </c>
      <c r="B30" s="14" t="n"/>
      <c r="C30" s="7" t="inlineStr">
        <is>
          <t>meses (inteiro ≥ 1)</t>
        </is>
      </c>
      <c r="D30" s="8" t="inlineStr">
        <is>
          <t>cronograma.pre_lancamento.duracao_meses</t>
        </is>
      </c>
    </row>
    <row r="31">
      <c r="A31" s="5" t="inlineStr">
        <is>
          <t>Lançamento — Duração *</t>
        </is>
      </c>
      <c r="B31" s="14" t="n"/>
      <c r="C31" s="7" t="inlineStr">
        <is>
          <t>meses (inteiro ≥ 1)</t>
        </is>
      </c>
      <c r="D31" s="8" t="inlineStr">
        <is>
          <t>cronograma.lancamento.duracao_meses</t>
        </is>
      </c>
    </row>
    <row r="32">
      <c r="A32" s="5" t="inlineStr">
        <is>
          <t>Obra — Início *</t>
        </is>
      </c>
      <c r="B32" s="14" t="n"/>
      <c r="C32" s="7" t="inlineStr">
        <is>
          <t>mês (inteiro ≥ 0)</t>
        </is>
      </c>
      <c r="D32" s="8" t="inlineStr">
        <is>
          <t>cronograma.obra.inicio_mes</t>
        </is>
      </c>
    </row>
    <row r="33">
      <c r="A33" s="5" t="inlineStr">
        <is>
          <t>Obra — Duração *</t>
        </is>
      </c>
      <c r="B33" s="14" t="n"/>
      <c r="C33" s="7" t="inlineStr">
        <is>
          <t>meses (inteiro ≥ 1)</t>
        </is>
      </c>
      <c r="D33" s="8" t="inlineStr">
        <is>
          <t>cronograma.obra.duracao_meses</t>
        </is>
      </c>
    </row>
    <row r="34">
      <c r="A34" s="5" t="inlineStr">
        <is>
          <t>Pós-obras — Duração *</t>
        </is>
      </c>
      <c r="B34" s="14" t="n"/>
      <c r="C34" s="7" t="inlineStr">
        <is>
          <t>meses (inteiro ≥ 1)</t>
        </is>
      </c>
      <c r="D34" s="8" t="inlineStr">
        <is>
          <t>cronograma.pos_obra.duracao_meses</t>
        </is>
      </c>
    </row>
    <row r="35" ht="20" customHeight="1">
      <c r="A35" s="4" t="inlineStr">
        <is>
          <t>Fases customizadas do cronograma (opcional) — 5 vagas; servem de âncora para custos e funding</t>
        </is>
      </c>
    </row>
    <row r="36">
      <c r="A36" s="5" t="inlineStr">
        <is>
          <t>Fase 1 — Nome</t>
        </is>
      </c>
      <c r="B36" s="6" t="n"/>
      <c r="C36" s="7" t="inlineStr">
        <is>
          <t>texto</t>
        </is>
      </c>
      <c r="D36" s="8" t="inlineStr">
        <is>
          <t>fases[1].nome</t>
        </is>
      </c>
    </row>
    <row r="37">
      <c r="A37" s="5" t="inlineStr">
        <is>
          <t>Fase 1 — Início</t>
        </is>
      </c>
      <c r="B37" s="14" t="n"/>
      <c r="C37" s="7" t="inlineStr">
        <is>
          <t>mês (inteiro ≥ 0)</t>
        </is>
      </c>
      <c r="D37" s="8" t="inlineStr">
        <is>
          <t>fases[1].inicio_mes</t>
        </is>
      </c>
    </row>
    <row r="38">
      <c r="A38" s="5" t="inlineStr">
        <is>
          <t>Fase 1 — Duração</t>
        </is>
      </c>
      <c r="B38" s="14" t="n"/>
      <c r="C38" s="7" t="inlineStr">
        <is>
          <t>meses (inteiro ≥ 1)</t>
        </is>
      </c>
      <c r="D38" s="8" t="inlineStr">
        <is>
          <t>fases[1].duracao_meses</t>
        </is>
      </c>
    </row>
    <row r="39">
      <c r="A39" s="5" t="inlineStr">
        <is>
          <t>Fase 2 — Nome</t>
        </is>
      </c>
      <c r="B39" s="6" t="n"/>
      <c r="C39" s="7" t="inlineStr">
        <is>
          <t>texto</t>
        </is>
      </c>
      <c r="D39" s="8" t="inlineStr">
        <is>
          <t>fases[2].nome</t>
        </is>
      </c>
    </row>
    <row r="40">
      <c r="A40" s="5" t="inlineStr">
        <is>
          <t>Fase 2 — Início</t>
        </is>
      </c>
      <c r="B40" s="14" t="n"/>
      <c r="C40" s="7" t="inlineStr">
        <is>
          <t>mês (inteiro ≥ 0)</t>
        </is>
      </c>
      <c r="D40" s="8" t="inlineStr">
        <is>
          <t>fases[2].inicio_mes</t>
        </is>
      </c>
    </row>
    <row r="41">
      <c r="A41" s="5" t="inlineStr">
        <is>
          <t>Fase 2 — Duração</t>
        </is>
      </c>
      <c r="B41" s="14" t="n"/>
      <c r="C41" s="7" t="inlineStr">
        <is>
          <t>meses (inteiro ≥ 1)</t>
        </is>
      </c>
      <c r="D41" s="8" t="inlineStr">
        <is>
          <t>fases[2].duracao_meses</t>
        </is>
      </c>
    </row>
    <row r="42">
      <c r="A42" s="5" t="inlineStr">
        <is>
          <t>Fase 3 — Nome</t>
        </is>
      </c>
      <c r="B42" s="6" t="n"/>
      <c r="C42" s="7" t="inlineStr">
        <is>
          <t>texto</t>
        </is>
      </c>
      <c r="D42" s="8" t="inlineStr">
        <is>
          <t>fases[3].nome</t>
        </is>
      </c>
    </row>
    <row r="43">
      <c r="A43" s="5" t="inlineStr">
        <is>
          <t>Fase 3 — Início</t>
        </is>
      </c>
      <c r="B43" s="14" t="n"/>
      <c r="C43" s="7" t="inlineStr">
        <is>
          <t>mês (inteiro ≥ 0)</t>
        </is>
      </c>
      <c r="D43" s="8" t="inlineStr">
        <is>
          <t>fases[3].inicio_mes</t>
        </is>
      </c>
    </row>
    <row r="44">
      <c r="A44" s="5" t="inlineStr">
        <is>
          <t>Fase 3 — Duração</t>
        </is>
      </c>
      <c r="B44" s="14" t="n"/>
      <c r="C44" s="7" t="inlineStr">
        <is>
          <t>meses (inteiro ≥ 1)</t>
        </is>
      </c>
      <c r="D44" s="8" t="inlineStr">
        <is>
          <t>fases[3].duracao_meses</t>
        </is>
      </c>
    </row>
    <row r="45">
      <c r="A45" s="5" t="inlineStr">
        <is>
          <t>Fase 4 — Nome</t>
        </is>
      </c>
      <c r="B45" s="6" t="n"/>
      <c r="C45" s="7" t="inlineStr">
        <is>
          <t>texto</t>
        </is>
      </c>
      <c r="D45" s="8" t="inlineStr">
        <is>
          <t>fases[4].nome</t>
        </is>
      </c>
    </row>
    <row r="46">
      <c r="A46" s="5" t="inlineStr">
        <is>
          <t>Fase 4 — Início</t>
        </is>
      </c>
      <c r="B46" s="14" t="n"/>
      <c r="C46" s="7" t="inlineStr">
        <is>
          <t>mês (inteiro ≥ 0)</t>
        </is>
      </c>
      <c r="D46" s="8" t="inlineStr">
        <is>
          <t>fases[4].inicio_mes</t>
        </is>
      </c>
    </row>
    <row r="47">
      <c r="A47" s="5" t="inlineStr">
        <is>
          <t>Fase 4 — Duração</t>
        </is>
      </c>
      <c r="B47" s="14" t="n"/>
      <c r="C47" s="7" t="inlineStr">
        <is>
          <t>meses (inteiro ≥ 1)</t>
        </is>
      </c>
      <c r="D47" s="8" t="inlineStr">
        <is>
          <t>fases[4].duracao_meses</t>
        </is>
      </c>
    </row>
    <row r="48">
      <c r="A48" s="5" t="inlineStr">
        <is>
          <t>Fase 5 — Nome</t>
        </is>
      </c>
      <c r="B48" s="6" t="n"/>
      <c r="C48" s="7" t="inlineStr">
        <is>
          <t>texto</t>
        </is>
      </c>
      <c r="D48" s="8" t="inlineStr">
        <is>
          <t>fases[5].nome</t>
        </is>
      </c>
    </row>
    <row r="49">
      <c r="A49" s="5" t="inlineStr">
        <is>
          <t>Fase 5 — Início</t>
        </is>
      </c>
      <c r="B49" s="14" t="n"/>
      <c r="C49" s="7" t="inlineStr">
        <is>
          <t>mês (inteiro ≥ 0)</t>
        </is>
      </c>
      <c r="D49" s="8" t="inlineStr">
        <is>
          <t>fases[5].inicio_mes</t>
        </is>
      </c>
    </row>
    <row r="50">
      <c r="A50" s="5" t="inlineStr">
        <is>
          <t>Fase 5 — Duração</t>
        </is>
      </c>
      <c r="B50" s="14" t="n"/>
      <c r="C50" s="7" t="inlineStr">
        <is>
          <t>meses (inteiro ≥ 1)</t>
        </is>
      </c>
      <c r="D50" s="8" t="inlineStr">
        <is>
          <t>fases[5].duracao_meses</t>
        </is>
      </c>
    </row>
    <row r="51" ht="20" customHeight="1">
      <c r="A51" s="4" t="inlineStr">
        <is>
          <t>Análise de Mercado (opcional)</t>
        </is>
      </c>
    </row>
    <row r="52">
      <c r="A52" s="5" t="inlineStr">
        <is>
          <t>Região de mercado</t>
        </is>
      </c>
      <c r="B52" s="6" t="n"/>
      <c r="C52" s="7" t="inlineStr">
        <is>
          <t>nome de região cadastrada na instância</t>
        </is>
      </c>
      <c r="D52" s="8" t="inlineStr">
        <is>
          <t>estudos.regiao_mercado_id</t>
        </is>
      </c>
    </row>
    <row r="53">
      <c r="A53" s="5" t="inlineStr">
        <is>
          <t>Apelo comercial — tipo de dado</t>
        </is>
      </c>
      <c r="B53" s="6" t="n"/>
      <c r="C53" s="7" t="inlineStr">
        <is>
          <t>lista: anuncios | populacao | mercado | outro</t>
        </is>
      </c>
      <c r="D53" s="8" t="inlineStr">
        <is>
          <t>apelo_comercial_documentos.tipo_dado</t>
        </is>
      </c>
    </row>
    <row r="54">
      <c r="A54" s="5" t="inlineStr">
        <is>
          <t>Apelo comercial — texto adicional</t>
        </is>
      </c>
      <c r="B54" s="6" t="n"/>
      <c r="C54" s="7" t="inlineStr">
        <is>
          <t>texto livre (ou envie arquivo pdf/docx/xlsx à parte)</t>
        </is>
      </c>
      <c r="D54" s="8" t="inlineStr">
        <is>
          <t>apelo_comercial_documentos.texto_adicional</t>
        </is>
      </c>
    </row>
    <row r="55" ht="20" customHeight="1">
      <c r="A55" s="4" t="inlineStr">
        <is>
          <t>5 · Lotes (Empreendimento › Tipologias) — 10 vagas</t>
        </is>
      </c>
    </row>
    <row r="56" ht="13" customHeight="1">
      <c r="A56" s="12" t="inlineStr">
        <is>
          <t>Em Loteamento o tipo é sempre "lote"; a tela não mostra Tipo, Dormitórios e Vagas.</t>
        </is>
      </c>
    </row>
    <row r="57">
      <c r="A57" s="15" t="inlineStr">
        <is>
          <t>Lote 1</t>
        </is>
      </c>
    </row>
    <row r="58">
      <c r="A58" s="5" t="inlineStr">
        <is>
          <t>Lote 1 — Nome</t>
        </is>
      </c>
      <c r="B58" s="6" t="n"/>
      <c r="C58" s="7" t="inlineStr">
        <is>
          <t>texto (até 100)</t>
        </is>
      </c>
      <c r="D58" s="8" t="inlineStr">
        <is>
          <t>tipologias[1].nome</t>
        </is>
      </c>
    </row>
    <row r="59">
      <c r="A59" s="5" t="inlineStr">
        <is>
          <t>Lote 1 — Área privativa (fechada)</t>
        </is>
      </c>
      <c r="B59" s="10" t="n"/>
      <c r="C59" s="7" t="inlineStr">
        <is>
          <t>m²</t>
        </is>
      </c>
      <c r="D59" s="8" t="inlineStr">
        <is>
          <t>tipologias[1].area_privativa_m2</t>
        </is>
      </c>
    </row>
    <row r="60">
      <c r="A60" s="5" t="inlineStr">
        <is>
          <t>Lote 1 — Área aberta</t>
        </is>
      </c>
      <c r="B60" s="10" t="n"/>
      <c r="C60" s="7" t="inlineStr">
        <is>
          <t>m² (entra no VGV)</t>
        </is>
      </c>
      <c r="D60" s="8" t="inlineStr">
        <is>
          <t>tipologias[1].area_privativa_aberta_m2</t>
        </is>
      </c>
    </row>
    <row r="61">
      <c r="A61" s="5" t="inlineStr">
        <is>
          <t>Lote 1 — Unidades</t>
        </is>
      </c>
      <c r="B61" s="14" t="n"/>
      <c r="C61" s="7" t="inlineStr">
        <is>
          <t>unidades (inteiro &gt; 0)</t>
        </is>
      </c>
      <c r="D61" s="8" t="inlineStr">
        <is>
          <t>tipologias[1].quantidade</t>
        </is>
      </c>
    </row>
    <row r="62">
      <c r="A62" s="5" t="inlineStr">
        <is>
          <t>Lote 1 — Preço/m² sugerido</t>
        </is>
      </c>
      <c r="B62" s="16" t="n"/>
      <c r="C62" s="7" t="inlineStr">
        <is>
          <t>R$/m² (preço padrão da alocação)</t>
        </is>
      </c>
      <c r="D62" s="8" t="inlineStr">
        <is>
          <t>tipologias[1].preco_m2</t>
        </is>
      </c>
    </row>
    <row r="63">
      <c r="A63" s="15" t="inlineStr">
        <is>
          <t>Lote 2</t>
        </is>
      </c>
    </row>
    <row r="64">
      <c r="A64" s="5" t="inlineStr">
        <is>
          <t>Lote 2 — Nome</t>
        </is>
      </c>
      <c r="B64" s="6" t="n"/>
      <c r="C64" s="7" t="inlineStr">
        <is>
          <t>texto (até 100)</t>
        </is>
      </c>
      <c r="D64" s="8" t="inlineStr">
        <is>
          <t>tipologias[2].nome</t>
        </is>
      </c>
    </row>
    <row r="65">
      <c r="A65" s="5" t="inlineStr">
        <is>
          <t>Lote 2 — Área privativa (fechada)</t>
        </is>
      </c>
      <c r="B65" s="10" t="n"/>
      <c r="C65" s="7" t="inlineStr">
        <is>
          <t>m²</t>
        </is>
      </c>
      <c r="D65" s="8" t="inlineStr">
        <is>
          <t>tipologias[2].area_privativa_m2</t>
        </is>
      </c>
    </row>
    <row r="66">
      <c r="A66" s="5" t="inlineStr">
        <is>
          <t>Lote 2 — Área aberta</t>
        </is>
      </c>
      <c r="B66" s="10" t="n"/>
      <c r="C66" s="7" t="inlineStr">
        <is>
          <t>m² (entra no VGV)</t>
        </is>
      </c>
      <c r="D66" s="8" t="inlineStr">
        <is>
          <t>tipologias[2].area_privativa_aberta_m2</t>
        </is>
      </c>
    </row>
    <row r="67">
      <c r="A67" s="5" t="inlineStr">
        <is>
          <t>Lote 2 — Unidades</t>
        </is>
      </c>
      <c r="B67" s="14" t="n"/>
      <c r="C67" s="7" t="inlineStr">
        <is>
          <t>unidades (inteiro &gt; 0)</t>
        </is>
      </c>
      <c r="D67" s="8" t="inlineStr">
        <is>
          <t>tipologias[2].quantidade</t>
        </is>
      </c>
    </row>
    <row r="68">
      <c r="A68" s="5" t="inlineStr">
        <is>
          <t>Lote 2 — Preço/m² sugerido</t>
        </is>
      </c>
      <c r="B68" s="16" t="n"/>
      <c r="C68" s="7" t="inlineStr">
        <is>
          <t>R$/m² (preço padrão da alocação)</t>
        </is>
      </c>
      <c r="D68" s="8" t="inlineStr">
        <is>
          <t>tipologias[2].preco_m2</t>
        </is>
      </c>
    </row>
    <row r="69">
      <c r="A69" s="15" t="inlineStr">
        <is>
          <t>Lote 3</t>
        </is>
      </c>
    </row>
    <row r="70">
      <c r="A70" s="5" t="inlineStr">
        <is>
          <t>Lote 3 — Nome</t>
        </is>
      </c>
      <c r="B70" s="6" t="n"/>
      <c r="C70" s="7" t="inlineStr">
        <is>
          <t>texto (até 100)</t>
        </is>
      </c>
      <c r="D70" s="8" t="inlineStr">
        <is>
          <t>tipologias[3].nome</t>
        </is>
      </c>
    </row>
    <row r="71">
      <c r="A71" s="5" t="inlineStr">
        <is>
          <t>Lote 3 — Área privativa (fechada)</t>
        </is>
      </c>
      <c r="B71" s="10" t="n"/>
      <c r="C71" s="7" t="inlineStr">
        <is>
          <t>m²</t>
        </is>
      </c>
      <c r="D71" s="8" t="inlineStr">
        <is>
          <t>tipologias[3].area_privativa_m2</t>
        </is>
      </c>
    </row>
    <row r="72">
      <c r="A72" s="5" t="inlineStr">
        <is>
          <t>Lote 3 — Área aberta</t>
        </is>
      </c>
      <c r="B72" s="10" t="n"/>
      <c r="C72" s="7" t="inlineStr">
        <is>
          <t>m² (entra no VGV)</t>
        </is>
      </c>
      <c r="D72" s="8" t="inlineStr">
        <is>
          <t>tipologias[3].area_privativa_aberta_m2</t>
        </is>
      </c>
    </row>
    <row r="73">
      <c r="A73" s="5" t="inlineStr">
        <is>
          <t>Lote 3 — Unidades</t>
        </is>
      </c>
      <c r="B73" s="14" t="n"/>
      <c r="C73" s="7" t="inlineStr">
        <is>
          <t>unidades (inteiro &gt; 0)</t>
        </is>
      </c>
      <c r="D73" s="8" t="inlineStr">
        <is>
          <t>tipologias[3].quantidade</t>
        </is>
      </c>
    </row>
    <row r="74">
      <c r="A74" s="5" t="inlineStr">
        <is>
          <t>Lote 3 — Preço/m² sugerido</t>
        </is>
      </c>
      <c r="B74" s="16" t="n"/>
      <c r="C74" s="7" t="inlineStr">
        <is>
          <t>R$/m² (preço padrão da alocação)</t>
        </is>
      </c>
      <c r="D74" s="8" t="inlineStr">
        <is>
          <t>tipologias[3].preco_m2</t>
        </is>
      </c>
    </row>
    <row r="75">
      <c r="A75" s="15" t="inlineStr">
        <is>
          <t>Lote 4</t>
        </is>
      </c>
    </row>
    <row r="76">
      <c r="A76" s="5" t="inlineStr">
        <is>
          <t>Lote 4 — Nome</t>
        </is>
      </c>
      <c r="B76" s="6" t="n"/>
      <c r="C76" s="7" t="inlineStr">
        <is>
          <t>texto (até 100)</t>
        </is>
      </c>
      <c r="D76" s="8" t="inlineStr">
        <is>
          <t>tipologias[4].nome</t>
        </is>
      </c>
    </row>
    <row r="77">
      <c r="A77" s="5" t="inlineStr">
        <is>
          <t>Lote 4 — Área privativa (fechada)</t>
        </is>
      </c>
      <c r="B77" s="10" t="n"/>
      <c r="C77" s="7" t="inlineStr">
        <is>
          <t>m²</t>
        </is>
      </c>
      <c r="D77" s="8" t="inlineStr">
        <is>
          <t>tipologias[4].area_privativa_m2</t>
        </is>
      </c>
    </row>
    <row r="78">
      <c r="A78" s="5" t="inlineStr">
        <is>
          <t>Lote 4 — Área aberta</t>
        </is>
      </c>
      <c r="B78" s="10" t="n"/>
      <c r="C78" s="7" t="inlineStr">
        <is>
          <t>m² (entra no VGV)</t>
        </is>
      </c>
      <c r="D78" s="8" t="inlineStr">
        <is>
          <t>tipologias[4].area_privativa_aberta_m2</t>
        </is>
      </c>
    </row>
    <row r="79">
      <c r="A79" s="5" t="inlineStr">
        <is>
          <t>Lote 4 — Unidades</t>
        </is>
      </c>
      <c r="B79" s="14" t="n"/>
      <c r="C79" s="7" t="inlineStr">
        <is>
          <t>unidades (inteiro &gt; 0)</t>
        </is>
      </c>
      <c r="D79" s="8" t="inlineStr">
        <is>
          <t>tipologias[4].quantidade</t>
        </is>
      </c>
    </row>
    <row r="80">
      <c r="A80" s="5" t="inlineStr">
        <is>
          <t>Lote 4 — Preço/m² sugerido</t>
        </is>
      </c>
      <c r="B80" s="16" t="n"/>
      <c r="C80" s="7" t="inlineStr">
        <is>
          <t>R$/m² (preço padrão da alocação)</t>
        </is>
      </c>
      <c r="D80" s="8" t="inlineStr">
        <is>
          <t>tipologias[4].preco_m2</t>
        </is>
      </c>
    </row>
    <row r="81">
      <c r="A81" s="15" t="inlineStr">
        <is>
          <t>Lote 5</t>
        </is>
      </c>
    </row>
    <row r="82">
      <c r="A82" s="5" t="inlineStr">
        <is>
          <t>Lote 5 — Nome</t>
        </is>
      </c>
      <c r="B82" s="6" t="n"/>
      <c r="C82" s="7" t="inlineStr">
        <is>
          <t>texto (até 100)</t>
        </is>
      </c>
      <c r="D82" s="8" t="inlineStr">
        <is>
          <t>tipologias[5].nome</t>
        </is>
      </c>
    </row>
    <row r="83">
      <c r="A83" s="5" t="inlineStr">
        <is>
          <t>Lote 5 — Área privativa (fechada)</t>
        </is>
      </c>
      <c r="B83" s="10" t="n"/>
      <c r="C83" s="7" t="inlineStr">
        <is>
          <t>m²</t>
        </is>
      </c>
      <c r="D83" s="8" t="inlineStr">
        <is>
          <t>tipologias[5].area_privativa_m2</t>
        </is>
      </c>
    </row>
    <row r="84">
      <c r="A84" s="5" t="inlineStr">
        <is>
          <t>Lote 5 — Área aberta</t>
        </is>
      </c>
      <c r="B84" s="10" t="n"/>
      <c r="C84" s="7" t="inlineStr">
        <is>
          <t>m² (entra no VGV)</t>
        </is>
      </c>
      <c r="D84" s="8" t="inlineStr">
        <is>
          <t>tipologias[5].area_privativa_aberta_m2</t>
        </is>
      </c>
    </row>
    <row r="85">
      <c r="A85" s="5" t="inlineStr">
        <is>
          <t>Lote 5 — Unidades</t>
        </is>
      </c>
      <c r="B85" s="14" t="n"/>
      <c r="C85" s="7" t="inlineStr">
        <is>
          <t>unidades (inteiro &gt; 0)</t>
        </is>
      </c>
      <c r="D85" s="8" t="inlineStr">
        <is>
          <t>tipologias[5].quantidade</t>
        </is>
      </c>
    </row>
    <row r="86">
      <c r="A86" s="5" t="inlineStr">
        <is>
          <t>Lote 5 — Preço/m² sugerido</t>
        </is>
      </c>
      <c r="B86" s="16" t="n"/>
      <c r="C86" s="7" t="inlineStr">
        <is>
          <t>R$/m² (preço padrão da alocação)</t>
        </is>
      </c>
      <c r="D86" s="8" t="inlineStr">
        <is>
          <t>tipologias[5].preco_m2</t>
        </is>
      </c>
    </row>
    <row r="87">
      <c r="A87" s="15" t="inlineStr">
        <is>
          <t>Lote 6</t>
        </is>
      </c>
    </row>
    <row r="88">
      <c r="A88" s="5" t="inlineStr">
        <is>
          <t>Lote 6 — Nome</t>
        </is>
      </c>
      <c r="B88" s="6" t="n"/>
      <c r="C88" s="7" t="inlineStr">
        <is>
          <t>texto (até 100)</t>
        </is>
      </c>
      <c r="D88" s="8" t="inlineStr">
        <is>
          <t>tipologias[6].nome</t>
        </is>
      </c>
    </row>
    <row r="89">
      <c r="A89" s="5" t="inlineStr">
        <is>
          <t>Lote 6 — Área privativa (fechada)</t>
        </is>
      </c>
      <c r="B89" s="10" t="n"/>
      <c r="C89" s="7" t="inlineStr">
        <is>
          <t>m²</t>
        </is>
      </c>
      <c r="D89" s="8" t="inlineStr">
        <is>
          <t>tipologias[6].area_privativa_m2</t>
        </is>
      </c>
    </row>
    <row r="90">
      <c r="A90" s="5" t="inlineStr">
        <is>
          <t>Lote 6 — Área aberta</t>
        </is>
      </c>
      <c r="B90" s="10" t="n"/>
      <c r="C90" s="7" t="inlineStr">
        <is>
          <t>m² (entra no VGV)</t>
        </is>
      </c>
      <c r="D90" s="8" t="inlineStr">
        <is>
          <t>tipologias[6].area_privativa_aberta_m2</t>
        </is>
      </c>
    </row>
    <row r="91">
      <c r="A91" s="5" t="inlineStr">
        <is>
          <t>Lote 6 — Unidades</t>
        </is>
      </c>
      <c r="B91" s="14" t="n"/>
      <c r="C91" s="7" t="inlineStr">
        <is>
          <t>unidades (inteiro &gt; 0)</t>
        </is>
      </c>
      <c r="D91" s="8" t="inlineStr">
        <is>
          <t>tipologias[6].quantidade</t>
        </is>
      </c>
    </row>
    <row r="92">
      <c r="A92" s="5" t="inlineStr">
        <is>
          <t>Lote 6 — Preço/m² sugerido</t>
        </is>
      </c>
      <c r="B92" s="16" t="n"/>
      <c r="C92" s="7" t="inlineStr">
        <is>
          <t>R$/m² (preço padrão da alocação)</t>
        </is>
      </c>
      <c r="D92" s="8" t="inlineStr">
        <is>
          <t>tipologias[6].preco_m2</t>
        </is>
      </c>
    </row>
    <row r="93">
      <c r="A93" s="15" t="inlineStr">
        <is>
          <t>Lote 7</t>
        </is>
      </c>
    </row>
    <row r="94">
      <c r="A94" s="5" t="inlineStr">
        <is>
          <t>Lote 7 — Nome</t>
        </is>
      </c>
      <c r="B94" s="6" t="n"/>
      <c r="C94" s="7" t="inlineStr">
        <is>
          <t>texto (até 100)</t>
        </is>
      </c>
      <c r="D94" s="8" t="inlineStr">
        <is>
          <t>tipologias[7].nome</t>
        </is>
      </c>
    </row>
    <row r="95">
      <c r="A95" s="5" t="inlineStr">
        <is>
          <t>Lote 7 — Área privativa (fechada)</t>
        </is>
      </c>
      <c r="B95" s="10" t="n"/>
      <c r="C95" s="7" t="inlineStr">
        <is>
          <t>m²</t>
        </is>
      </c>
      <c r="D95" s="8" t="inlineStr">
        <is>
          <t>tipologias[7].area_privativa_m2</t>
        </is>
      </c>
    </row>
    <row r="96">
      <c r="A96" s="5" t="inlineStr">
        <is>
          <t>Lote 7 — Área aberta</t>
        </is>
      </c>
      <c r="B96" s="10" t="n"/>
      <c r="C96" s="7" t="inlineStr">
        <is>
          <t>m² (entra no VGV)</t>
        </is>
      </c>
      <c r="D96" s="8" t="inlineStr">
        <is>
          <t>tipologias[7].area_privativa_aberta_m2</t>
        </is>
      </c>
    </row>
    <row r="97">
      <c r="A97" s="5" t="inlineStr">
        <is>
          <t>Lote 7 — Unidades</t>
        </is>
      </c>
      <c r="B97" s="14" t="n"/>
      <c r="C97" s="7" t="inlineStr">
        <is>
          <t>unidades (inteiro &gt; 0)</t>
        </is>
      </c>
      <c r="D97" s="8" t="inlineStr">
        <is>
          <t>tipologias[7].quantidade</t>
        </is>
      </c>
    </row>
    <row r="98">
      <c r="A98" s="5" t="inlineStr">
        <is>
          <t>Lote 7 — Preço/m² sugerido</t>
        </is>
      </c>
      <c r="B98" s="16" t="n"/>
      <c r="C98" s="7" t="inlineStr">
        <is>
          <t>R$/m² (preço padrão da alocação)</t>
        </is>
      </c>
      <c r="D98" s="8" t="inlineStr">
        <is>
          <t>tipologias[7].preco_m2</t>
        </is>
      </c>
    </row>
    <row r="99">
      <c r="A99" s="15" t="inlineStr">
        <is>
          <t>Lote 8</t>
        </is>
      </c>
    </row>
    <row r="100">
      <c r="A100" s="5" t="inlineStr">
        <is>
          <t>Lote 8 — Nome</t>
        </is>
      </c>
      <c r="B100" s="6" t="n"/>
      <c r="C100" s="7" t="inlineStr">
        <is>
          <t>texto (até 100)</t>
        </is>
      </c>
      <c r="D100" s="8" t="inlineStr">
        <is>
          <t>tipologias[8].nome</t>
        </is>
      </c>
    </row>
    <row r="101">
      <c r="A101" s="5" t="inlineStr">
        <is>
          <t>Lote 8 — Área privativa (fechada)</t>
        </is>
      </c>
      <c r="B101" s="10" t="n"/>
      <c r="C101" s="7" t="inlineStr">
        <is>
          <t>m²</t>
        </is>
      </c>
      <c r="D101" s="8" t="inlineStr">
        <is>
          <t>tipologias[8].area_privativa_m2</t>
        </is>
      </c>
    </row>
    <row r="102">
      <c r="A102" s="5" t="inlineStr">
        <is>
          <t>Lote 8 — Área aberta</t>
        </is>
      </c>
      <c r="B102" s="10" t="n"/>
      <c r="C102" s="7" t="inlineStr">
        <is>
          <t>m² (entra no VGV)</t>
        </is>
      </c>
      <c r="D102" s="8" t="inlineStr">
        <is>
          <t>tipologias[8].area_privativa_aberta_m2</t>
        </is>
      </c>
    </row>
    <row r="103">
      <c r="A103" s="5" t="inlineStr">
        <is>
          <t>Lote 8 — Unidades</t>
        </is>
      </c>
      <c r="B103" s="14" t="n"/>
      <c r="C103" s="7" t="inlineStr">
        <is>
          <t>unidades (inteiro &gt; 0)</t>
        </is>
      </c>
      <c r="D103" s="8" t="inlineStr">
        <is>
          <t>tipologias[8].quantidade</t>
        </is>
      </c>
    </row>
    <row r="104">
      <c r="A104" s="5" t="inlineStr">
        <is>
          <t>Lote 8 — Preço/m² sugerido</t>
        </is>
      </c>
      <c r="B104" s="16" t="n"/>
      <c r="C104" s="7" t="inlineStr">
        <is>
          <t>R$/m² (preço padrão da alocação)</t>
        </is>
      </c>
      <c r="D104" s="8" t="inlineStr">
        <is>
          <t>tipologias[8].preco_m2</t>
        </is>
      </c>
    </row>
    <row r="105">
      <c r="A105" s="15" t="inlineStr">
        <is>
          <t>Lote 9</t>
        </is>
      </c>
    </row>
    <row r="106">
      <c r="A106" s="5" t="inlineStr">
        <is>
          <t>Lote 9 — Nome</t>
        </is>
      </c>
      <c r="B106" s="6" t="n"/>
      <c r="C106" s="7" t="inlineStr">
        <is>
          <t>texto (até 100)</t>
        </is>
      </c>
      <c r="D106" s="8" t="inlineStr">
        <is>
          <t>tipologias[9].nome</t>
        </is>
      </c>
    </row>
    <row r="107">
      <c r="A107" s="5" t="inlineStr">
        <is>
          <t>Lote 9 — Área privativa (fechada)</t>
        </is>
      </c>
      <c r="B107" s="10" t="n"/>
      <c r="C107" s="7" t="inlineStr">
        <is>
          <t>m²</t>
        </is>
      </c>
      <c r="D107" s="8" t="inlineStr">
        <is>
          <t>tipologias[9].area_privativa_m2</t>
        </is>
      </c>
    </row>
    <row r="108">
      <c r="A108" s="5" t="inlineStr">
        <is>
          <t>Lote 9 — Área aberta</t>
        </is>
      </c>
      <c r="B108" s="10" t="n"/>
      <c r="C108" s="7" t="inlineStr">
        <is>
          <t>m² (entra no VGV)</t>
        </is>
      </c>
      <c r="D108" s="8" t="inlineStr">
        <is>
          <t>tipologias[9].area_privativa_aberta_m2</t>
        </is>
      </c>
    </row>
    <row r="109">
      <c r="A109" s="5" t="inlineStr">
        <is>
          <t>Lote 9 — Unidades</t>
        </is>
      </c>
      <c r="B109" s="14" t="n"/>
      <c r="C109" s="7" t="inlineStr">
        <is>
          <t>unidades (inteiro &gt; 0)</t>
        </is>
      </c>
      <c r="D109" s="8" t="inlineStr">
        <is>
          <t>tipologias[9].quantidade</t>
        </is>
      </c>
    </row>
    <row r="110">
      <c r="A110" s="5" t="inlineStr">
        <is>
          <t>Lote 9 — Preço/m² sugerido</t>
        </is>
      </c>
      <c r="B110" s="16" t="n"/>
      <c r="C110" s="7" t="inlineStr">
        <is>
          <t>R$/m² (preço padrão da alocação)</t>
        </is>
      </c>
      <c r="D110" s="8" t="inlineStr">
        <is>
          <t>tipologias[9].preco_m2</t>
        </is>
      </c>
    </row>
    <row r="111">
      <c r="A111" s="15" t="inlineStr">
        <is>
          <t>Lote 10</t>
        </is>
      </c>
    </row>
    <row r="112">
      <c r="A112" s="5" t="inlineStr">
        <is>
          <t>Lote 10 — Nome</t>
        </is>
      </c>
      <c r="B112" s="6" t="n"/>
      <c r="C112" s="7" t="inlineStr">
        <is>
          <t>texto (até 100)</t>
        </is>
      </c>
      <c r="D112" s="8" t="inlineStr">
        <is>
          <t>tipologias[10].nome</t>
        </is>
      </c>
    </row>
    <row r="113">
      <c r="A113" s="5" t="inlineStr">
        <is>
          <t>Lote 10 — Área privativa (fechada)</t>
        </is>
      </c>
      <c r="B113" s="10" t="n"/>
      <c r="C113" s="7" t="inlineStr">
        <is>
          <t>m²</t>
        </is>
      </c>
      <c r="D113" s="8" t="inlineStr">
        <is>
          <t>tipologias[10].area_privativa_m2</t>
        </is>
      </c>
    </row>
    <row r="114">
      <c r="A114" s="5" t="inlineStr">
        <is>
          <t>Lote 10 — Área aberta</t>
        </is>
      </c>
      <c r="B114" s="10" t="n"/>
      <c r="C114" s="7" t="inlineStr">
        <is>
          <t>m² (entra no VGV)</t>
        </is>
      </c>
      <c r="D114" s="8" t="inlineStr">
        <is>
          <t>tipologias[10].area_privativa_aberta_m2</t>
        </is>
      </c>
    </row>
    <row r="115">
      <c r="A115" s="5" t="inlineStr">
        <is>
          <t>Lote 10 — Unidades</t>
        </is>
      </c>
      <c r="B115" s="14" t="n"/>
      <c r="C115" s="7" t="inlineStr">
        <is>
          <t>unidades (inteiro &gt; 0)</t>
        </is>
      </c>
      <c r="D115" s="8" t="inlineStr">
        <is>
          <t>tipologias[10].quantidade</t>
        </is>
      </c>
    </row>
    <row r="116">
      <c r="A116" s="5" t="inlineStr">
        <is>
          <t>Lote 10 — Preço/m² sugerido</t>
        </is>
      </c>
      <c r="B116" s="16" t="n"/>
      <c r="C116" s="7" t="inlineStr">
        <is>
          <t>R$/m² (preço padrão da alocação)</t>
        </is>
      </c>
      <c r="D116" s="8" t="inlineStr">
        <is>
          <t>tipologias[10].preco_m2</t>
        </is>
      </c>
    </row>
    <row r="117" ht="20" customHeight="1">
      <c r="A117" s="4" t="inlineStr">
        <is>
          <t>6 · Grupos de venda (Viabilidade › Receitas) — 5 vagas; absorção = % das unidades vendido em cada período</t>
        </is>
      </c>
    </row>
    <row r="118" ht="26" customHeight="1">
      <c r="A118" s="12" t="inlineStr">
        <is>
          <t>Pós-chaves = 100% − Pré − Lançamento − Obra e Repasse = 100% − Σ % do grupo na seção de Pagamento: ambos calculados (zona de referência). Sem pré-lançamento, deixe a absorção de pré em branco.</t>
        </is>
      </c>
    </row>
    <row r="119">
      <c r="A119" s="15" t="inlineStr">
        <is>
          <t>Grupo de venda 1</t>
        </is>
      </c>
    </row>
    <row r="120">
      <c r="A120" s="5" t="inlineStr">
        <is>
          <t>Grupo 1 — Nome</t>
        </is>
      </c>
      <c r="B120" s="6" t="n"/>
      <c r="C120" s="7" t="inlineStr">
        <is>
          <t>texto</t>
        </is>
      </c>
      <c r="D120" s="8" t="inlineStr">
        <is>
          <t>grupos[1].nome</t>
        </is>
      </c>
    </row>
    <row r="121">
      <c r="A121" s="5" t="inlineStr">
        <is>
          <t>Grupo 1 — Absorção no Pré-lançamento (só com pré)</t>
        </is>
      </c>
      <c r="B121" s="11" t="n"/>
      <c r="C121" s="7" t="inlineStr">
        <is>
          <t>% das unidades</t>
        </is>
      </c>
      <c r="D121" s="8" t="inlineStr">
        <is>
          <t>grupos[1].pre_lancamento_pct</t>
        </is>
      </c>
    </row>
    <row r="122">
      <c r="A122" s="5" t="inlineStr">
        <is>
          <t>Grupo 1 — Absorção no Lançamento</t>
        </is>
      </c>
      <c r="B122" s="11" t="n"/>
      <c r="C122" s="7" t="inlineStr">
        <is>
          <t>% das unidades</t>
        </is>
      </c>
      <c r="D122" s="8" t="inlineStr">
        <is>
          <t>grupos[1].lancamento_pct</t>
        </is>
      </c>
    </row>
    <row r="123">
      <c r="A123" s="5" t="inlineStr">
        <is>
          <t>Grupo 1 — Absorção Durante a obra</t>
        </is>
      </c>
      <c r="B123" s="11" t="n"/>
      <c r="C123" s="7" t="inlineStr">
        <is>
          <t>% das unidades</t>
        </is>
      </c>
      <c r="D123" s="8" t="inlineStr">
        <is>
          <t>grupos[1].obra_pct</t>
        </is>
      </c>
    </row>
    <row r="124">
      <c r="A124" s="5" t="inlineStr">
        <is>
          <t>Grupo 1 — Janela pós-chaves</t>
        </is>
      </c>
      <c r="B124" s="14" t="n"/>
      <c r="C124" s="7" t="inlineStr">
        <is>
          <t>meses (1 a 12)</t>
        </is>
      </c>
      <c r="D124" s="8" t="inlineStr">
        <is>
          <t>grupos[1].pos_chaves_meses</t>
        </is>
      </c>
    </row>
    <row r="125">
      <c r="A125" s="5" t="inlineStr">
        <is>
          <t>Grupo 1 — Correção de estoque</t>
        </is>
      </c>
      <c r="B125" s="6" t="n"/>
      <c r="C125" s="7" t="inlineStr">
        <is>
          <t>Sim/Não</t>
        </is>
      </c>
      <c r="D125" s="8" t="inlineStr">
        <is>
          <t>grupos[1].correcao_estoque</t>
        </is>
      </c>
    </row>
    <row r="126">
      <c r="A126" s="5" t="inlineStr">
        <is>
          <t>Grupo 1 — Resíduo sem prazo</t>
        </is>
      </c>
      <c r="B126" s="6" t="n"/>
      <c r="C126" s="7" t="inlineStr">
        <is>
          <t>lista: imediato | concentrado</t>
        </is>
      </c>
      <c r="D126" s="8" t="inlineStr">
        <is>
          <t>grupos[1].residuo_sem_prazo</t>
        </is>
      </c>
    </row>
    <row r="127">
      <c r="A127" s="15" t="inlineStr">
        <is>
          <t>Grupo de venda 2</t>
        </is>
      </c>
    </row>
    <row r="128">
      <c r="A128" s="5" t="inlineStr">
        <is>
          <t>Grupo 2 — Nome</t>
        </is>
      </c>
      <c r="B128" s="6" t="n"/>
      <c r="C128" s="7" t="inlineStr">
        <is>
          <t>texto</t>
        </is>
      </c>
      <c r="D128" s="8" t="inlineStr">
        <is>
          <t>grupos[2].nome</t>
        </is>
      </c>
    </row>
    <row r="129">
      <c r="A129" s="5" t="inlineStr">
        <is>
          <t>Grupo 2 — Absorção no Pré-lançamento (só com pré)</t>
        </is>
      </c>
      <c r="B129" s="11" t="n"/>
      <c r="C129" s="7" t="inlineStr">
        <is>
          <t>% das unidades</t>
        </is>
      </c>
      <c r="D129" s="8" t="inlineStr">
        <is>
          <t>grupos[2].pre_lancamento_pct</t>
        </is>
      </c>
    </row>
    <row r="130">
      <c r="A130" s="5" t="inlineStr">
        <is>
          <t>Grupo 2 — Absorção no Lançamento</t>
        </is>
      </c>
      <c r="B130" s="11" t="n"/>
      <c r="C130" s="7" t="inlineStr">
        <is>
          <t>% das unidades</t>
        </is>
      </c>
      <c r="D130" s="8" t="inlineStr">
        <is>
          <t>grupos[2].lancamento_pct</t>
        </is>
      </c>
    </row>
    <row r="131">
      <c r="A131" s="5" t="inlineStr">
        <is>
          <t>Grupo 2 — Absorção Durante a obra</t>
        </is>
      </c>
      <c r="B131" s="11" t="n"/>
      <c r="C131" s="7" t="inlineStr">
        <is>
          <t>% das unidades</t>
        </is>
      </c>
      <c r="D131" s="8" t="inlineStr">
        <is>
          <t>grupos[2].obra_pct</t>
        </is>
      </c>
    </row>
    <row r="132">
      <c r="A132" s="5" t="inlineStr">
        <is>
          <t>Grupo 2 — Janela pós-chaves</t>
        </is>
      </c>
      <c r="B132" s="14" t="n"/>
      <c r="C132" s="7" t="inlineStr">
        <is>
          <t>meses (1 a 12)</t>
        </is>
      </c>
      <c r="D132" s="8" t="inlineStr">
        <is>
          <t>grupos[2].pos_chaves_meses</t>
        </is>
      </c>
    </row>
    <row r="133">
      <c r="A133" s="5" t="inlineStr">
        <is>
          <t>Grupo 2 — Correção de estoque</t>
        </is>
      </c>
      <c r="B133" s="6" t="n"/>
      <c r="C133" s="7" t="inlineStr">
        <is>
          <t>Sim/Não</t>
        </is>
      </c>
      <c r="D133" s="8" t="inlineStr">
        <is>
          <t>grupos[2].correcao_estoque</t>
        </is>
      </c>
    </row>
    <row r="134">
      <c r="A134" s="5" t="inlineStr">
        <is>
          <t>Grupo 2 — Resíduo sem prazo</t>
        </is>
      </c>
      <c r="B134" s="6" t="n"/>
      <c r="C134" s="7" t="inlineStr">
        <is>
          <t>lista: imediato | concentrado</t>
        </is>
      </c>
      <c r="D134" s="8" t="inlineStr">
        <is>
          <t>grupos[2].residuo_sem_prazo</t>
        </is>
      </c>
    </row>
    <row r="135">
      <c r="A135" s="15" t="inlineStr">
        <is>
          <t>Grupo de venda 3</t>
        </is>
      </c>
    </row>
    <row r="136">
      <c r="A136" s="5" t="inlineStr">
        <is>
          <t>Grupo 3 — Nome</t>
        </is>
      </c>
      <c r="B136" s="6" t="n"/>
      <c r="C136" s="7" t="inlineStr">
        <is>
          <t>texto</t>
        </is>
      </c>
      <c r="D136" s="8" t="inlineStr">
        <is>
          <t>grupos[3].nome</t>
        </is>
      </c>
    </row>
    <row r="137">
      <c r="A137" s="5" t="inlineStr">
        <is>
          <t>Grupo 3 — Absorção no Pré-lançamento (só com pré)</t>
        </is>
      </c>
      <c r="B137" s="11" t="n"/>
      <c r="C137" s="7" t="inlineStr">
        <is>
          <t>% das unidades</t>
        </is>
      </c>
      <c r="D137" s="8" t="inlineStr">
        <is>
          <t>grupos[3].pre_lancamento_pct</t>
        </is>
      </c>
    </row>
    <row r="138">
      <c r="A138" s="5" t="inlineStr">
        <is>
          <t>Grupo 3 — Absorção no Lançamento</t>
        </is>
      </c>
      <c r="B138" s="11" t="n"/>
      <c r="C138" s="7" t="inlineStr">
        <is>
          <t>% das unidades</t>
        </is>
      </c>
      <c r="D138" s="8" t="inlineStr">
        <is>
          <t>grupos[3].lancamento_pct</t>
        </is>
      </c>
    </row>
    <row r="139">
      <c r="A139" s="5" t="inlineStr">
        <is>
          <t>Grupo 3 — Absorção Durante a obra</t>
        </is>
      </c>
      <c r="B139" s="11" t="n"/>
      <c r="C139" s="7" t="inlineStr">
        <is>
          <t>% das unidades</t>
        </is>
      </c>
      <c r="D139" s="8" t="inlineStr">
        <is>
          <t>grupos[3].obra_pct</t>
        </is>
      </c>
    </row>
    <row r="140">
      <c r="A140" s="5" t="inlineStr">
        <is>
          <t>Grupo 3 — Janela pós-chaves</t>
        </is>
      </c>
      <c r="B140" s="14" t="n"/>
      <c r="C140" s="7" t="inlineStr">
        <is>
          <t>meses (1 a 12)</t>
        </is>
      </c>
      <c r="D140" s="8" t="inlineStr">
        <is>
          <t>grupos[3].pos_chaves_meses</t>
        </is>
      </c>
    </row>
    <row r="141">
      <c r="A141" s="5" t="inlineStr">
        <is>
          <t>Grupo 3 — Correção de estoque</t>
        </is>
      </c>
      <c r="B141" s="6" t="n"/>
      <c r="C141" s="7" t="inlineStr">
        <is>
          <t>Sim/Não</t>
        </is>
      </c>
      <c r="D141" s="8" t="inlineStr">
        <is>
          <t>grupos[3].correcao_estoque</t>
        </is>
      </c>
    </row>
    <row r="142">
      <c r="A142" s="5" t="inlineStr">
        <is>
          <t>Grupo 3 — Resíduo sem prazo</t>
        </is>
      </c>
      <c r="B142" s="6" t="n"/>
      <c r="C142" s="7" t="inlineStr">
        <is>
          <t>lista: imediato | concentrado</t>
        </is>
      </c>
      <c r="D142" s="8" t="inlineStr">
        <is>
          <t>grupos[3].residuo_sem_prazo</t>
        </is>
      </c>
    </row>
    <row r="143">
      <c r="A143" s="15" t="inlineStr">
        <is>
          <t>Grupo de venda 4</t>
        </is>
      </c>
    </row>
    <row r="144">
      <c r="A144" s="5" t="inlineStr">
        <is>
          <t>Grupo 4 — Nome</t>
        </is>
      </c>
      <c r="B144" s="6" t="n"/>
      <c r="C144" s="7" t="inlineStr">
        <is>
          <t>texto</t>
        </is>
      </c>
      <c r="D144" s="8" t="inlineStr">
        <is>
          <t>grupos[4].nome</t>
        </is>
      </c>
    </row>
    <row r="145">
      <c r="A145" s="5" t="inlineStr">
        <is>
          <t>Grupo 4 — Absorção no Pré-lançamento (só com pré)</t>
        </is>
      </c>
      <c r="B145" s="11" t="n"/>
      <c r="C145" s="7" t="inlineStr">
        <is>
          <t>% das unidades</t>
        </is>
      </c>
      <c r="D145" s="8" t="inlineStr">
        <is>
          <t>grupos[4].pre_lancamento_pct</t>
        </is>
      </c>
    </row>
    <row r="146">
      <c r="A146" s="5" t="inlineStr">
        <is>
          <t>Grupo 4 — Absorção no Lançamento</t>
        </is>
      </c>
      <c r="B146" s="11" t="n"/>
      <c r="C146" s="7" t="inlineStr">
        <is>
          <t>% das unidades</t>
        </is>
      </c>
      <c r="D146" s="8" t="inlineStr">
        <is>
          <t>grupos[4].lancamento_pct</t>
        </is>
      </c>
    </row>
    <row r="147">
      <c r="A147" s="5" t="inlineStr">
        <is>
          <t>Grupo 4 — Absorção Durante a obra</t>
        </is>
      </c>
      <c r="B147" s="11" t="n"/>
      <c r="C147" s="7" t="inlineStr">
        <is>
          <t>% das unidades</t>
        </is>
      </c>
      <c r="D147" s="8" t="inlineStr">
        <is>
          <t>grupos[4].obra_pct</t>
        </is>
      </c>
    </row>
    <row r="148">
      <c r="A148" s="5" t="inlineStr">
        <is>
          <t>Grupo 4 — Janela pós-chaves</t>
        </is>
      </c>
      <c r="B148" s="14" t="n"/>
      <c r="C148" s="7" t="inlineStr">
        <is>
          <t>meses (1 a 12)</t>
        </is>
      </c>
      <c r="D148" s="8" t="inlineStr">
        <is>
          <t>grupos[4].pos_chaves_meses</t>
        </is>
      </c>
    </row>
    <row r="149">
      <c r="A149" s="5" t="inlineStr">
        <is>
          <t>Grupo 4 — Correção de estoque</t>
        </is>
      </c>
      <c r="B149" s="6" t="n"/>
      <c r="C149" s="7" t="inlineStr">
        <is>
          <t>Sim/Não</t>
        </is>
      </c>
      <c r="D149" s="8" t="inlineStr">
        <is>
          <t>grupos[4].correcao_estoque</t>
        </is>
      </c>
    </row>
    <row r="150">
      <c r="A150" s="5" t="inlineStr">
        <is>
          <t>Grupo 4 — Resíduo sem prazo</t>
        </is>
      </c>
      <c r="B150" s="6" t="n"/>
      <c r="C150" s="7" t="inlineStr">
        <is>
          <t>lista: imediato | concentrado</t>
        </is>
      </c>
      <c r="D150" s="8" t="inlineStr">
        <is>
          <t>grupos[4].residuo_sem_prazo</t>
        </is>
      </c>
    </row>
    <row r="151">
      <c r="A151" s="15" t="inlineStr">
        <is>
          <t>Grupo de venda 5</t>
        </is>
      </c>
    </row>
    <row r="152">
      <c r="A152" s="5" t="inlineStr">
        <is>
          <t>Grupo 5 — Nome</t>
        </is>
      </c>
      <c r="B152" s="6" t="n"/>
      <c r="C152" s="7" t="inlineStr">
        <is>
          <t>texto</t>
        </is>
      </c>
      <c r="D152" s="8" t="inlineStr">
        <is>
          <t>grupos[5].nome</t>
        </is>
      </c>
    </row>
    <row r="153">
      <c r="A153" s="5" t="inlineStr">
        <is>
          <t>Grupo 5 — Absorção no Pré-lançamento (só com pré)</t>
        </is>
      </c>
      <c r="B153" s="11" t="n"/>
      <c r="C153" s="7" t="inlineStr">
        <is>
          <t>% das unidades</t>
        </is>
      </c>
      <c r="D153" s="8" t="inlineStr">
        <is>
          <t>grupos[5].pre_lancamento_pct</t>
        </is>
      </c>
    </row>
    <row r="154">
      <c r="A154" s="5" t="inlineStr">
        <is>
          <t>Grupo 5 — Absorção no Lançamento</t>
        </is>
      </c>
      <c r="B154" s="11" t="n"/>
      <c r="C154" s="7" t="inlineStr">
        <is>
          <t>% das unidades</t>
        </is>
      </c>
      <c r="D154" s="8" t="inlineStr">
        <is>
          <t>grupos[5].lancamento_pct</t>
        </is>
      </c>
    </row>
    <row r="155">
      <c r="A155" s="5" t="inlineStr">
        <is>
          <t>Grupo 5 — Absorção Durante a obra</t>
        </is>
      </c>
      <c r="B155" s="11" t="n"/>
      <c r="C155" s="7" t="inlineStr">
        <is>
          <t>% das unidades</t>
        </is>
      </c>
      <c r="D155" s="8" t="inlineStr">
        <is>
          <t>grupos[5].obra_pct</t>
        </is>
      </c>
    </row>
    <row r="156">
      <c r="A156" s="5" t="inlineStr">
        <is>
          <t>Grupo 5 — Janela pós-chaves</t>
        </is>
      </c>
      <c r="B156" s="14" t="n"/>
      <c r="C156" s="7" t="inlineStr">
        <is>
          <t>meses (1 a 12)</t>
        </is>
      </c>
      <c r="D156" s="8" t="inlineStr">
        <is>
          <t>grupos[5].pos_chaves_meses</t>
        </is>
      </c>
    </row>
    <row r="157">
      <c r="A157" s="5" t="inlineStr">
        <is>
          <t>Grupo 5 — Correção de estoque</t>
        </is>
      </c>
      <c r="B157" s="6" t="n"/>
      <c r="C157" s="7" t="inlineStr">
        <is>
          <t>Sim/Não</t>
        </is>
      </c>
      <c r="D157" s="8" t="inlineStr">
        <is>
          <t>grupos[5].correcao_estoque</t>
        </is>
      </c>
    </row>
    <row r="158">
      <c r="A158" s="5" t="inlineStr">
        <is>
          <t>Grupo 5 — Resíduo sem prazo</t>
        </is>
      </c>
      <c r="B158" s="6" t="n"/>
      <c r="C158" s="7" t="inlineStr">
        <is>
          <t>lista: imediato | concentrado</t>
        </is>
      </c>
      <c r="D158" s="8" t="inlineStr">
        <is>
          <t>grupos[5].residuo_sem_prazo</t>
        </is>
      </c>
    </row>
    <row r="159" ht="20" customHeight="1">
      <c r="A159" s="4" t="inlineStr">
        <is>
          <t>7 · Fluxo de pagamento por grupo — 10 vagas (uma linha por condição; até 4 de Parcelamento por grupo)</t>
        </is>
      </c>
    </row>
    <row r="160" ht="13" customHeight="1">
      <c r="A160" s="12" t="inlineStr">
        <is>
          <t>Os juros vêm do campo "Juros de tabela". Nome do grupo exatamente como na seção 6. Σ % do grupo ≤ 100%; o que sobrar é o repasse.</t>
        </is>
      </c>
    </row>
    <row r="161">
      <c r="A161" s="15" t="inlineStr">
        <is>
          <t>Condição de pagamento 1</t>
        </is>
      </c>
    </row>
    <row r="162">
      <c r="A162" s="5" t="inlineStr">
        <is>
          <t>Condição 1 — Grupo</t>
        </is>
      </c>
      <c r="B162" s="6" t="n"/>
      <c r="C162" s="7" t="inlineStr">
        <is>
          <t>nome do grupo (seção 6)</t>
        </is>
      </c>
      <c r="D162" s="8" t="inlineStr">
        <is>
          <t>pagamento[1].grupo</t>
        </is>
      </c>
    </row>
    <row r="163">
      <c r="A163" s="5" t="inlineStr">
        <is>
          <t>Condição 1 — Linha</t>
        </is>
      </c>
      <c r="B163" s="6" t="n"/>
      <c r="C163" s="7" t="inlineStr">
        <is>
          <t>lista: Entrada | Parcelamento</t>
        </is>
      </c>
      <c r="D163" s="8" t="inlineStr">
        <is>
          <t>pagamento[1].linha</t>
        </is>
      </c>
    </row>
    <row r="164">
      <c r="A164" s="5" t="inlineStr">
        <is>
          <t>Condição 1 — % do total</t>
        </is>
      </c>
      <c r="B164" s="11" t="n"/>
      <c r="C164" s="7" t="inlineStr">
        <is>
          <t>% do preço</t>
        </is>
      </c>
      <c r="D164" s="8" t="inlineStr">
        <is>
          <t>pagamento[1].pct</t>
        </is>
      </c>
    </row>
    <row r="165">
      <c r="A165" s="5" t="inlineStr">
        <is>
          <t>Condição 1 — Nº de parcelas</t>
        </is>
      </c>
      <c r="B165" s="14" t="n"/>
      <c r="C165" s="7" t="inlineStr">
        <is>
          <t>inteiro (vazio se ao longo da obra)</t>
        </is>
      </c>
      <c r="D165" s="8" t="inlineStr">
        <is>
          <t>pagamento[1].parcelas</t>
        </is>
      </c>
    </row>
    <row r="166">
      <c r="A166" s="5" t="inlineStr">
        <is>
          <t>Condição 1 — Desconto (só Entrada)</t>
        </is>
      </c>
      <c r="B166" s="11" t="n"/>
      <c r="C166" s="7" t="inlineStr">
        <is>
          <t>% sobre a entrada</t>
        </is>
      </c>
      <c r="D166" s="8" t="inlineStr">
        <is>
          <t>pagamento[1].desconto_pct</t>
        </is>
      </c>
    </row>
    <row r="167">
      <c r="A167" s="5" t="inlineStr">
        <is>
          <t>Condição 1 — Sinal (só Parcelamento)</t>
        </is>
      </c>
      <c r="B167" s="11" t="n"/>
      <c r="C167" s="7" t="inlineStr">
        <is>
          <t>% do parcelamento</t>
        </is>
      </c>
      <c r="D167" s="8" t="inlineStr">
        <is>
          <t>pagamento[1].sinal_pct</t>
        </is>
      </c>
    </row>
    <row r="168">
      <c r="A168" s="5" t="inlineStr">
        <is>
          <t>Condição 1 — Ao longo da obra (só Parcelamento)</t>
        </is>
      </c>
      <c r="B168" s="6" t="n"/>
      <c r="C168" s="7" t="inlineStr">
        <is>
          <t>Sim/Não</t>
        </is>
      </c>
      <c r="D168" s="8" t="inlineStr">
        <is>
          <t>pagamento[1].ao_longo_obra</t>
        </is>
      </c>
    </row>
    <row r="169">
      <c r="A169" s="15" t="inlineStr">
        <is>
          <t>Condição de pagamento 2</t>
        </is>
      </c>
    </row>
    <row r="170">
      <c r="A170" s="5" t="inlineStr">
        <is>
          <t>Condição 2 — Grupo</t>
        </is>
      </c>
      <c r="B170" s="6" t="n"/>
      <c r="C170" s="7" t="inlineStr">
        <is>
          <t>nome do grupo (seção 6)</t>
        </is>
      </c>
      <c r="D170" s="8" t="inlineStr">
        <is>
          <t>pagamento[2].grupo</t>
        </is>
      </c>
    </row>
    <row r="171">
      <c r="A171" s="5" t="inlineStr">
        <is>
          <t>Condição 2 — Linha</t>
        </is>
      </c>
      <c r="B171" s="6" t="n"/>
      <c r="C171" s="7" t="inlineStr">
        <is>
          <t>lista: Entrada | Parcelamento</t>
        </is>
      </c>
      <c r="D171" s="8" t="inlineStr">
        <is>
          <t>pagamento[2].linha</t>
        </is>
      </c>
    </row>
    <row r="172">
      <c r="A172" s="5" t="inlineStr">
        <is>
          <t>Condição 2 — % do total</t>
        </is>
      </c>
      <c r="B172" s="11" t="n"/>
      <c r="C172" s="7" t="inlineStr">
        <is>
          <t>% do preço</t>
        </is>
      </c>
      <c r="D172" s="8" t="inlineStr">
        <is>
          <t>pagamento[2].pct</t>
        </is>
      </c>
    </row>
    <row r="173">
      <c r="A173" s="5" t="inlineStr">
        <is>
          <t>Condição 2 — Nº de parcelas</t>
        </is>
      </c>
      <c r="B173" s="14" t="n"/>
      <c r="C173" s="7" t="inlineStr">
        <is>
          <t>inteiro (vazio se ao longo da obra)</t>
        </is>
      </c>
      <c r="D173" s="8" t="inlineStr">
        <is>
          <t>pagamento[2].parcelas</t>
        </is>
      </c>
    </row>
    <row r="174">
      <c r="A174" s="5" t="inlineStr">
        <is>
          <t>Condição 2 — Desconto (só Entrada)</t>
        </is>
      </c>
      <c r="B174" s="11" t="n"/>
      <c r="C174" s="7" t="inlineStr">
        <is>
          <t>% sobre a entrada</t>
        </is>
      </c>
      <c r="D174" s="8" t="inlineStr">
        <is>
          <t>pagamento[2].desconto_pct</t>
        </is>
      </c>
    </row>
    <row r="175">
      <c r="A175" s="5" t="inlineStr">
        <is>
          <t>Condição 2 — Sinal (só Parcelamento)</t>
        </is>
      </c>
      <c r="B175" s="11" t="n"/>
      <c r="C175" s="7" t="inlineStr">
        <is>
          <t>% do parcelamento</t>
        </is>
      </c>
      <c r="D175" s="8" t="inlineStr">
        <is>
          <t>pagamento[2].sinal_pct</t>
        </is>
      </c>
    </row>
    <row r="176">
      <c r="A176" s="5" t="inlineStr">
        <is>
          <t>Condição 2 — Ao longo da obra (só Parcelamento)</t>
        </is>
      </c>
      <c r="B176" s="6" t="n"/>
      <c r="C176" s="7" t="inlineStr">
        <is>
          <t>Sim/Não</t>
        </is>
      </c>
      <c r="D176" s="8" t="inlineStr">
        <is>
          <t>pagamento[2].ao_longo_obra</t>
        </is>
      </c>
    </row>
    <row r="177">
      <c r="A177" s="15" t="inlineStr">
        <is>
          <t>Condição de pagamento 3</t>
        </is>
      </c>
    </row>
    <row r="178">
      <c r="A178" s="5" t="inlineStr">
        <is>
          <t>Condição 3 — Grupo</t>
        </is>
      </c>
      <c r="B178" s="6" t="n"/>
      <c r="C178" s="7" t="inlineStr">
        <is>
          <t>nome do grupo (seção 6)</t>
        </is>
      </c>
      <c r="D178" s="8" t="inlineStr">
        <is>
          <t>pagamento[3].grupo</t>
        </is>
      </c>
    </row>
    <row r="179">
      <c r="A179" s="5" t="inlineStr">
        <is>
          <t>Condição 3 — Linha</t>
        </is>
      </c>
      <c r="B179" s="6" t="n"/>
      <c r="C179" s="7" t="inlineStr">
        <is>
          <t>lista: Entrada | Parcelamento</t>
        </is>
      </c>
      <c r="D179" s="8" t="inlineStr">
        <is>
          <t>pagamento[3].linha</t>
        </is>
      </c>
    </row>
    <row r="180">
      <c r="A180" s="5" t="inlineStr">
        <is>
          <t>Condição 3 — % do total</t>
        </is>
      </c>
      <c r="B180" s="11" t="n"/>
      <c r="C180" s="7" t="inlineStr">
        <is>
          <t>% do preço</t>
        </is>
      </c>
      <c r="D180" s="8" t="inlineStr">
        <is>
          <t>pagamento[3].pct</t>
        </is>
      </c>
    </row>
    <row r="181">
      <c r="A181" s="5" t="inlineStr">
        <is>
          <t>Condição 3 — Nº de parcelas</t>
        </is>
      </c>
      <c r="B181" s="14" t="n"/>
      <c r="C181" s="7" t="inlineStr">
        <is>
          <t>inteiro (vazio se ao longo da obra)</t>
        </is>
      </c>
      <c r="D181" s="8" t="inlineStr">
        <is>
          <t>pagamento[3].parcelas</t>
        </is>
      </c>
    </row>
    <row r="182">
      <c r="A182" s="5" t="inlineStr">
        <is>
          <t>Condição 3 — Desconto (só Entrada)</t>
        </is>
      </c>
      <c r="B182" s="11" t="n"/>
      <c r="C182" s="7" t="inlineStr">
        <is>
          <t>% sobre a entrada</t>
        </is>
      </c>
      <c r="D182" s="8" t="inlineStr">
        <is>
          <t>pagamento[3].desconto_pct</t>
        </is>
      </c>
    </row>
    <row r="183">
      <c r="A183" s="5" t="inlineStr">
        <is>
          <t>Condição 3 — Sinal (só Parcelamento)</t>
        </is>
      </c>
      <c r="B183" s="11" t="n"/>
      <c r="C183" s="7" t="inlineStr">
        <is>
          <t>% do parcelamento</t>
        </is>
      </c>
      <c r="D183" s="8" t="inlineStr">
        <is>
          <t>pagamento[3].sinal_pct</t>
        </is>
      </c>
    </row>
    <row r="184">
      <c r="A184" s="5" t="inlineStr">
        <is>
          <t>Condição 3 — Ao longo da obra (só Parcelamento)</t>
        </is>
      </c>
      <c r="B184" s="6" t="n"/>
      <c r="C184" s="7" t="inlineStr">
        <is>
          <t>Sim/Não</t>
        </is>
      </c>
      <c r="D184" s="8" t="inlineStr">
        <is>
          <t>pagamento[3].ao_longo_obra</t>
        </is>
      </c>
    </row>
    <row r="185">
      <c r="A185" s="15" t="inlineStr">
        <is>
          <t>Condição de pagamento 4</t>
        </is>
      </c>
    </row>
    <row r="186">
      <c r="A186" s="5" t="inlineStr">
        <is>
          <t>Condição 4 — Grupo</t>
        </is>
      </c>
      <c r="B186" s="6" t="n"/>
      <c r="C186" s="7" t="inlineStr">
        <is>
          <t>nome do grupo (seção 6)</t>
        </is>
      </c>
      <c r="D186" s="8" t="inlineStr">
        <is>
          <t>pagamento[4].grupo</t>
        </is>
      </c>
    </row>
    <row r="187">
      <c r="A187" s="5" t="inlineStr">
        <is>
          <t>Condição 4 — Linha</t>
        </is>
      </c>
      <c r="B187" s="6" t="n"/>
      <c r="C187" s="7" t="inlineStr">
        <is>
          <t>lista: Entrada | Parcelamento</t>
        </is>
      </c>
      <c r="D187" s="8" t="inlineStr">
        <is>
          <t>pagamento[4].linha</t>
        </is>
      </c>
    </row>
    <row r="188">
      <c r="A188" s="5" t="inlineStr">
        <is>
          <t>Condição 4 — % do total</t>
        </is>
      </c>
      <c r="B188" s="11" t="n"/>
      <c r="C188" s="7" t="inlineStr">
        <is>
          <t>% do preço</t>
        </is>
      </c>
      <c r="D188" s="8" t="inlineStr">
        <is>
          <t>pagamento[4].pct</t>
        </is>
      </c>
    </row>
    <row r="189">
      <c r="A189" s="5" t="inlineStr">
        <is>
          <t>Condição 4 — Nº de parcelas</t>
        </is>
      </c>
      <c r="B189" s="14" t="n"/>
      <c r="C189" s="7" t="inlineStr">
        <is>
          <t>inteiro (vazio se ao longo da obra)</t>
        </is>
      </c>
      <c r="D189" s="8" t="inlineStr">
        <is>
          <t>pagamento[4].parcelas</t>
        </is>
      </c>
    </row>
    <row r="190">
      <c r="A190" s="5" t="inlineStr">
        <is>
          <t>Condição 4 — Desconto (só Entrada)</t>
        </is>
      </c>
      <c r="B190" s="11" t="n"/>
      <c r="C190" s="7" t="inlineStr">
        <is>
          <t>% sobre a entrada</t>
        </is>
      </c>
      <c r="D190" s="8" t="inlineStr">
        <is>
          <t>pagamento[4].desconto_pct</t>
        </is>
      </c>
    </row>
    <row r="191">
      <c r="A191" s="5" t="inlineStr">
        <is>
          <t>Condição 4 — Sinal (só Parcelamento)</t>
        </is>
      </c>
      <c r="B191" s="11" t="n"/>
      <c r="C191" s="7" t="inlineStr">
        <is>
          <t>% do parcelamento</t>
        </is>
      </c>
      <c r="D191" s="8" t="inlineStr">
        <is>
          <t>pagamento[4].sinal_pct</t>
        </is>
      </c>
    </row>
    <row r="192">
      <c r="A192" s="5" t="inlineStr">
        <is>
          <t>Condição 4 — Ao longo da obra (só Parcelamento)</t>
        </is>
      </c>
      <c r="B192" s="6" t="n"/>
      <c r="C192" s="7" t="inlineStr">
        <is>
          <t>Sim/Não</t>
        </is>
      </c>
      <c r="D192" s="8" t="inlineStr">
        <is>
          <t>pagamento[4].ao_longo_obra</t>
        </is>
      </c>
    </row>
    <row r="193">
      <c r="A193" s="15" t="inlineStr">
        <is>
          <t>Condição de pagamento 5</t>
        </is>
      </c>
    </row>
    <row r="194">
      <c r="A194" s="5" t="inlineStr">
        <is>
          <t>Condição 5 — Grupo</t>
        </is>
      </c>
      <c r="B194" s="6" t="n"/>
      <c r="C194" s="7" t="inlineStr">
        <is>
          <t>nome do grupo (seção 6)</t>
        </is>
      </c>
      <c r="D194" s="8" t="inlineStr">
        <is>
          <t>pagamento[5].grupo</t>
        </is>
      </c>
    </row>
    <row r="195">
      <c r="A195" s="5" t="inlineStr">
        <is>
          <t>Condição 5 — Linha</t>
        </is>
      </c>
      <c r="B195" s="6" t="n"/>
      <c r="C195" s="7" t="inlineStr">
        <is>
          <t>lista: Entrada | Parcelamento</t>
        </is>
      </c>
      <c r="D195" s="8" t="inlineStr">
        <is>
          <t>pagamento[5].linha</t>
        </is>
      </c>
    </row>
    <row r="196">
      <c r="A196" s="5" t="inlineStr">
        <is>
          <t>Condição 5 — % do total</t>
        </is>
      </c>
      <c r="B196" s="11" t="n"/>
      <c r="C196" s="7" t="inlineStr">
        <is>
          <t>% do preço</t>
        </is>
      </c>
      <c r="D196" s="8" t="inlineStr">
        <is>
          <t>pagamento[5].pct</t>
        </is>
      </c>
    </row>
    <row r="197">
      <c r="A197" s="5" t="inlineStr">
        <is>
          <t>Condição 5 — Nº de parcelas</t>
        </is>
      </c>
      <c r="B197" s="14" t="n"/>
      <c r="C197" s="7" t="inlineStr">
        <is>
          <t>inteiro (vazio se ao longo da obra)</t>
        </is>
      </c>
      <c r="D197" s="8" t="inlineStr">
        <is>
          <t>pagamento[5].parcelas</t>
        </is>
      </c>
    </row>
    <row r="198">
      <c r="A198" s="5" t="inlineStr">
        <is>
          <t>Condição 5 — Desconto (só Entrada)</t>
        </is>
      </c>
      <c r="B198" s="11" t="n"/>
      <c r="C198" s="7" t="inlineStr">
        <is>
          <t>% sobre a entrada</t>
        </is>
      </c>
      <c r="D198" s="8" t="inlineStr">
        <is>
          <t>pagamento[5].desconto_pct</t>
        </is>
      </c>
    </row>
    <row r="199">
      <c r="A199" s="5" t="inlineStr">
        <is>
          <t>Condição 5 — Sinal (só Parcelamento)</t>
        </is>
      </c>
      <c r="B199" s="11" t="n"/>
      <c r="C199" s="7" t="inlineStr">
        <is>
          <t>% do parcelamento</t>
        </is>
      </c>
      <c r="D199" s="8" t="inlineStr">
        <is>
          <t>pagamento[5].sinal_pct</t>
        </is>
      </c>
    </row>
    <row r="200">
      <c r="A200" s="5" t="inlineStr">
        <is>
          <t>Condição 5 — Ao longo da obra (só Parcelamento)</t>
        </is>
      </c>
      <c r="B200" s="6" t="n"/>
      <c r="C200" s="7" t="inlineStr">
        <is>
          <t>Sim/Não</t>
        </is>
      </c>
      <c r="D200" s="8" t="inlineStr">
        <is>
          <t>pagamento[5].ao_longo_obra</t>
        </is>
      </c>
    </row>
    <row r="201">
      <c r="A201" s="15" t="inlineStr">
        <is>
          <t>Condição de pagamento 6</t>
        </is>
      </c>
    </row>
    <row r="202">
      <c r="A202" s="5" t="inlineStr">
        <is>
          <t>Condição 6 — Grupo</t>
        </is>
      </c>
      <c r="B202" s="6" t="n"/>
      <c r="C202" s="7" t="inlineStr">
        <is>
          <t>nome do grupo (seção 6)</t>
        </is>
      </c>
      <c r="D202" s="8" t="inlineStr">
        <is>
          <t>pagamento[6].grupo</t>
        </is>
      </c>
    </row>
    <row r="203">
      <c r="A203" s="5" t="inlineStr">
        <is>
          <t>Condição 6 — Linha</t>
        </is>
      </c>
      <c r="B203" s="6" t="n"/>
      <c r="C203" s="7" t="inlineStr">
        <is>
          <t>lista: Entrada | Parcelamento</t>
        </is>
      </c>
      <c r="D203" s="8" t="inlineStr">
        <is>
          <t>pagamento[6].linha</t>
        </is>
      </c>
    </row>
    <row r="204">
      <c r="A204" s="5" t="inlineStr">
        <is>
          <t>Condição 6 — % do total</t>
        </is>
      </c>
      <c r="B204" s="11" t="n"/>
      <c r="C204" s="7" t="inlineStr">
        <is>
          <t>% do preço</t>
        </is>
      </c>
      <c r="D204" s="8" t="inlineStr">
        <is>
          <t>pagamento[6].pct</t>
        </is>
      </c>
    </row>
    <row r="205">
      <c r="A205" s="5" t="inlineStr">
        <is>
          <t>Condição 6 — Nº de parcelas</t>
        </is>
      </c>
      <c r="B205" s="14" t="n"/>
      <c r="C205" s="7" t="inlineStr">
        <is>
          <t>inteiro (vazio se ao longo da obra)</t>
        </is>
      </c>
      <c r="D205" s="8" t="inlineStr">
        <is>
          <t>pagamento[6].parcelas</t>
        </is>
      </c>
    </row>
    <row r="206">
      <c r="A206" s="5" t="inlineStr">
        <is>
          <t>Condição 6 — Desconto (só Entrada)</t>
        </is>
      </c>
      <c r="B206" s="11" t="n"/>
      <c r="C206" s="7" t="inlineStr">
        <is>
          <t>% sobre a entrada</t>
        </is>
      </c>
      <c r="D206" s="8" t="inlineStr">
        <is>
          <t>pagamento[6].desconto_pct</t>
        </is>
      </c>
    </row>
    <row r="207">
      <c r="A207" s="5" t="inlineStr">
        <is>
          <t>Condição 6 — Sinal (só Parcelamento)</t>
        </is>
      </c>
      <c r="B207" s="11" t="n"/>
      <c r="C207" s="7" t="inlineStr">
        <is>
          <t>% do parcelamento</t>
        </is>
      </c>
      <c r="D207" s="8" t="inlineStr">
        <is>
          <t>pagamento[6].sinal_pct</t>
        </is>
      </c>
    </row>
    <row r="208">
      <c r="A208" s="5" t="inlineStr">
        <is>
          <t>Condição 6 — Ao longo da obra (só Parcelamento)</t>
        </is>
      </c>
      <c r="B208" s="6" t="n"/>
      <c r="C208" s="7" t="inlineStr">
        <is>
          <t>Sim/Não</t>
        </is>
      </c>
      <c r="D208" s="8" t="inlineStr">
        <is>
          <t>pagamento[6].ao_longo_obra</t>
        </is>
      </c>
    </row>
    <row r="209">
      <c r="A209" s="15" t="inlineStr">
        <is>
          <t>Condição de pagamento 7</t>
        </is>
      </c>
    </row>
    <row r="210">
      <c r="A210" s="5" t="inlineStr">
        <is>
          <t>Condição 7 — Grupo</t>
        </is>
      </c>
      <c r="B210" s="6" t="n"/>
      <c r="C210" s="7" t="inlineStr">
        <is>
          <t>nome do grupo (seção 6)</t>
        </is>
      </c>
      <c r="D210" s="8" t="inlineStr">
        <is>
          <t>pagamento[7].grupo</t>
        </is>
      </c>
    </row>
    <row r="211">
      <c r="A211" s="5" t="inlineStr">
        <is>
          <t>Condição 7 — Linha</t>
        </is>
      </c>
      <c r="B211" s="6" t="n"/>
      <c r="C211" s="7" t="inlineStr">
        <is>
          <t>lista: Entrada | Parcelamento</t>
        </is>
      </c>
      <c r="D211" s="8" t="inlineStr">
        <is>
          <t>pagamento[7].linha</t>
        </is>
      </c>
    </row>
    <row r="212">
      <c r="A212" s="5" t="inlineStr">
        <is>
          <t>Condição 7 — % do total</t>
        </is>
      </c>
      <c r="B212" s="11" t="n"/>
      <c r="C212" s="7" t="inlineStr">
        <is>
          <t>% do preço</t>
        </is>
      </c>
      <c r="D212" s="8" t="inlineStr">
        <is>
          <t>pagamento[7].pct</t>
        </is>
      </c>
    </row>
    <row r="213">
      <c r="A213" s="5" t="inlineStr">
        <is>
          <t>Condição 7 — Nº de parcelas</t>
        </is>
      </c>
      <c r="B213" s="14" t="n"/>
      <c r="C213" s="7" t="inlineStr">
        <is>
          <t>inteiro (vazio se ao longo da obra)</t>
        </is>
      </c>
      <c r="D213" s="8" t="inlineStr">
        <is>
          <t>pagamento[7].parcelas</t>
        </is>
      </c>
    </row>
    <row r="214">
      <c r="A214" s="5" t="inlineStr">
        <is>
          <t>Condição 7 — Desconto (só Entrada)</t>
        </is>
      </c>
      <c r="B214" s="11" t="n"/>
      <c r="C214" s="7" t="inlineStr">
        <is>
          <t>% sobre a entrada</t>
        </is>
      </c>
      <c r="D214" s="8" t="inlineStr">
        <is>
          <t>pagamento[7].desconto_pct</t>
        </is>
      </c>
    </row>
    <row r="215">
      <c r="A215" s="5" t="inlineStr">
        <is>
          <t>Condição 7 — Sinal (só Parcelamento)</t>
        </is>
      </c>
      <c r="B215" s="11" t="n"/>
      <c r="C215" s="7" t="inlineStr">
        <is>
          <t>% do parcelamento</t>
        </is>
      </c>
      <c r="D215" s="8" t="inlineStr">
        <is>
          <t>pagamento[7].sinal_pct</t>
        </is>
      </c>
    </row>
    <row r="216">
      <c r="A216" s="5" t="inlineStr">
        <is>
          <t>Condição 7 — Ao longo da obra (só Parcelamento)</t>
        </is>
      </c>
      <c r="B216" s="6" t="n"/>
      <c r="C216" s="7" t="inlineStr">
        <is>
          <t>Sim/Não</t>
        </is>
      </c>
      <c r="D216" s="8" t="inlineStr">
        <is>
          <t>pagamento[7].ao_longo_obra</t>
        </is>
      </c>
    </row>
    <row r="217">
      <c r="A217" s="15" t="inlineStr">
        <is>
          <t>Condição de pagamento 8</t>
        </is>
      </c>
    </row>
    <row r="218">
      <c r="A218" s="5" t="inlineStr">
        <is>
          <t>Condição 8 — Grupo</t>
        </is>
      </c>
      <c r="B218" s="6" t="n"/>
      <c r="C218" s="7" t="inlineStr">
        <is>
          <t>nome do grupo (seção 6)</t>
        </is>
      </c>
      <c r="D218" s="8" t="inlineStr">
        <is>
          <t>pagamento[8].grupo</t>
        </is>
      </c>
    </row>
    <row r="219">
      <c r="A219" s="5" t="inlineStr">
        <is>
          <t>Condição 8 — Linha</t>
        </is>
      </c>
      <c r="B219" s="6" t="n"/>
      <c r="C219" s="7" t="inlineStr">
        <is>
          <t>lista: Entrada | Parcelamento</t>
        </is>
      </c>
      <c r="D219" s="8" t="inlineStr">
        <is>
          <t>pagamento[8].linha</t>
        </is>
      </c>
    </row>
    <row r="220">
      <c r="A220" s="5" t="inlineStr">
        <is>
          <t>Condição 8 — % do total</t>
        </is>
      </c>
      <c r="B220" s="11" t="n"/>
      <c r="C220" s="7" t="inlineStr">
        <is>
          <t>% do preço</t>
        </is>
      </c>
      <c r="D220" s="8" t="inlineStr">
        <is>
          <t>pagamento[8].pct</t>
        </is>
      </c>
    </row>
    <row r="221">
      <c r="A221" s="5" t="inlineStr">
        <is>
          <t>Condição 8 — Nº de parcelas</t>
        </is>
      </c>
      <c r="B221" s="14" t="n"/>
      <c r="C221" s="7" t="inlineStr">
        <is>
          <t>inteiro (vazio se ao longo da obra)</t>
        </is>
      </c>
      <c r="D221" s="8" t="inlineStr">
        <is>
          <t>pagamento[8].parcelas</t>
        </is>
      </c>
    </row>
    <row r="222">
      <c r="A222" s="5" t="inlineStr">
        <is>
          <t>Condição 8 — Desconto (só Entrada)</t>
        </is>
      </c>
      <c r="B222" s="11" t="n"/>
      <c r="C222" s="7" t="inlineStr">
        <is>
          <t>% sobre a entrada</t>
        </is>
      </c>
      <c r="D222" s="8" t="inlineStr">
        <is>
          <t>pagamento[8].desconto_pct</t>
        </is>
      </c>
    </row>
    <row r="223">
      <c r="A223" s="5" t="inlineStr">
        <is>
          <t>Condição 8 — Sinal (só Parcelamento)</t>
        </is>
      </c>
      <c r="B223" s="11" t="n"/>
      <c r="C223" s="7" t="inlineStr">
        <is>
          <t>% do parcelamento</t>
        </is>
      </c>
      <c r="D223" s="8" t="inlineStr">
        <is>
          <t>pagamento[8].sinal_pct</t>
        </is>
      </c>
    </row>
    <row r="224">
      <c r="A224" s="5" t="inlineStr">
        <is>
          <t>Condição 8 — Ao longo da obra (só Parcelamento)</t>
        </is>
      </c>
      <c r="B224" s="6" t="n"/>
      <c r="C224" s="7" t="inlineStr">
        <is>
          <t>Sim/Não</t>
        </is>
      </c>
      <c r="D224" s="8" t="inlineStr">
        <is>
          <t>pagamento[8].ao_longo_obra</t>
        </is>
      </c>
    </row>
    <row r="225">
      <c r="A225" s="15" t="inlineStr">
        <is>
          <t>Condição de pagamento 9</t>
        </is>
      </c>
    </row>
    <row r="226">
      <c r="A226" s="5" t="inlineStr">
        <is>
          <t>Condição 9 — Grupo</t>
        </is>
      </c>
      <c r="B226" s="6" t="n"/>
      <c r="C226" s="7" t="inlineStr">
        <is>
          <t>nome do grupo (seção 6)</t>
        </is>
      </c>
      <c r="D226" s="8" t="inlineStr">
        <is>
          <t>pagamento[9].grupo</t>
        </is>
      </c>
    </row>
    <row r="227">
      <c r="A227" s="5" t="inlineStr">
        <is>
          <t>Condição 9 — Linha</t>
        </is>
      </c>
      <c r="B227" s="6" t="n"/>
      <c r="C227" s="7" t="inlineStr">
        <is>
          <t>lista: Entrada | Parcelamento</t>
        </is>
      </c>
      <c r="D227" s="8" t="inlineStr">
        <is>
          <t>pagamento[9].linha</t>
        </is>
      </c>
    </row>
    <row r="228">
      <c r="A228" s="5" t="inlineStr">
        <is>
          <t>Condição 9 — % do total</t>
        </is>
      </c>
      <c r="B228" s="11" t="n"/>
      <c r="C228" s="7" t="inlineStr">
        <is>
          <t>% do preço</t>
        </is>
      </c>
      <c r="D228" s="8" t="inlineStr">
        <is>
          <t>pagamento[9].pct</t>
        </is>
      </c>
    </row>
    <row r="229">
      <c r="A229" s="5" t="inlineStr">
        <is>
          <t>Condição 9 — Nº de parcelas</t>
        </is>
      </c>
      <c r="B229" s="14" t="n"/>
      <c r="C229" s="7" t="inlineStr">
        <is>
          <t>inteiro (vazio se ao longo da obra)</t>
        </is>
      </c>
      <c r="D229" s="8" t="inlineStr">
        <is>
          <t>pagamento[9].parcelas</t>
        </is>
      </c>
    </row>
    <row r="230">
      <c r="A230" s="5" t="inlineStr">
        <is>
          <t>Condição 9 — Desconto (só Entrada)</t>
        </is>
      </c>
      <c r="B230" s="11" t="n"/>
      <c r="C230" s="7" t="inlineStr">
        <is>
          <t>% sobre a entrada</t>
        </is>
      </c>
      <c r="D230" s="8" t="inlineStr">
        <is>
          <t>pagamento[9].desconto_pct</t>
        </is>
      </c>
    </row>
    <row r="231">
      <c r="A231" s="5" t="inlineStr">
        <is>
          <t>Condição 9 — Sinal (só Parcelamento)</t>
        </is>
      </c>
      <c r="B231" s="11" t="n"/>
      <c r="C231" s="7" t="inlineStr">
        <is>
          <t>% do parcelamento</t>
        </is>
      </c>
      <c r="D231" s="8" t="inlineStr">
        <is>
          <t>pagamento[9].sinal_pct</t>
        </is>
      </c>
    </row>
    <row r="232">
      <c r="A232" s="5" t="inlineStr">
        <is>
          <t>Condição 9 — Ao longo da obra (só Parcelamento)</t>
        </is>
      </c>
      <c r="B232" s="6" t="n"/>
      <c r="C232" s="7" t="inlineStr">
        <is>
          <t>Sim/Não</t>
        </is>
      </c>
      <c r="D232" s="8" t="inlineStr">
        <is>
          <t>pagamento[9].ao_longo_obra</t>
        </is>
      </c>
    </row>
    <row r="233">
      <c r="A233" s="15" t="inlineStr">
        <is>
          <t>Condição de pagamento 10</t>
        </is>
      </c>
    </row>
    <row r="234">
      <c r="A234" s="5" t="inlineStr">
        <is>
          <t>Condição 10 — Grupo</t>
        </is>
      </c>
      <c r="B234" s="6" t="n"/>
      <c r="C234" s="7" t="inlineStr">
        <is>
          <t>nome do grupo (seção 6)</t>
        </is>
      </c>
      <c r="D234" s="8" t="inlineStr">
        <is>
          <t>pagamento[10].grupo</t>
        </is>
      </c>
    </row>
    <row r="235">
      <c r="A235" s="5" t="inlineStr">
        <is>
          <t>Condição 10 — Linha</t>
        </is>
      </c>
      <c r="B235" s="6" t="n"/>
      <c r="C235" s="7" t="inlineStr">
        <is>
          <t>lista: Entrada | Parcelamento</t>
        </is>
      </c>
      <c r="D235" s="8" t="inlineStr">
        <is>
          <t>pagamento[10].linha</t>
        </is>
      </c>
    </row>
    <row r="236">
      <c r="A236" s="5" t="inlineStr">
        <is>
          <t>Condição 10 — % do total</t>
        </is>
      </c>
      <c r="B236" s="11" t="n"/>
      <c r="C236" s="7" t="inlineStr">
        <is>
          <t>% do preço</t>
        </is>
      </c>
      <c r="D236" s="8" t="inlineStr">
        <is>
          <t>pagamento[10].pct</t>
        </is>
      </c>
    </row>
    <row r="237">
      <c r="A237" s="5" t="inlineStr">
        <is>
          <t>Condição 10 — Nº de parcelas</t>
        </is>
      </c>
      <c r="B237" s="14" t="n"/>
      <c r="C237" s="7" t="inlineStr">
        <is>
          <t>inteiro (vazio se ao longo da obra)</t>
        </is>
      </c>
      <c r="D237" s="8" t="inlineStr">
        <is>
          <t>pagamento[10].parcelas</t>
        </is>
      </c>
    </row>
    <row r="238">
      <c r="A238" s="5" t="inlineStr">
        <is>
          <t>Condição 10 — Desconto (só Entrada)</t>
        </is>
      </c>
      <c r="B238" s="11" t="n"/>
      <c r="C238" s="7" t="inlineStr">
        <is>
          <t>% sobre a entrada</t>
        </is>
      </c>
      <c r="D238" s="8" t="inlineStr">
        <is>
          <t>pagamento[10].desconto_pct</t>
        </is>
      </c>
    </row>
    <row r="239">
      <c r="A239" s="5" t="inlineStr">
        <is>
          <t>Condição 10 — Sinal (só Parcelamento)</t>
        </is>
      </c>
      <c r="B239" s="11" t="n"/>
      <c r="C239" s="7" t="inlineStr">
        <is>
          <t>% do parcelamento</t>
        </is>
      </c>
      <c r="D239" s="8" t="inlineStr">
        <is>
          <t>pagamento[10].sinal_pct</t>
        </is>
      </c>
    </row>
    <row r="240">
      <c r="A240" s="5" t="inlineStr">
        <is>
          <t>Condição 10 — Ao longo da obra (só Parcelamento)</t>
        </is>
      </c>
      <c r="B240" s="6" t="n"/>
      <c r="C240" s="7" t="inlineStr">
        <is>
          <t>Sim/Não</t>
        </is>
      </c>
      <c r="D240" s="8" t="inlineStr">
        <is>
          <t>pagamento[10].ao_longo_obra</t>
        </is>
      </c>
    </row>
    <row r="241" ht="20" customHeight="1">
      <c r="A241" s="4" t="inlineStr">
        <is>
          <t>8 · Alocações de venda (lote × grupo) — 10 vagas; Σ unidades alocadas por item ≤ catálogo</t>
        </is>
      </c>
    </row>
    <row r="242">
      <c r="A242" s="15" t="inlineStr">
        <is>
          <t>Alocação 1</t>
        </is>
      </c>
    </row>
    <row r="243">
      <c r="A243" s="5" t="inlineStr">
        <is>
          <t>Alocação 1 — Grupo</t>
        </is>
      </c>
      <c r="B243" s="6" t="n"/>
      <c r="C243" s="7" t="inlineStr">
        <is>
          <t>nome do grupo (seção 6)</t>
        </is>
      </c>
      <c r="D243" s="8" t="inlineStr">
        <is>
          <t>alocacoes[1].grupo</t>
        </is>
      </c>
    </row>
    <row r="244">
      <c r="A244" s="5" t="inlineStr">
        <is>
          <t>Alocação 1 — Lote</t>
        </is>
      </c>
      <c r="B244" s="6" t="n"/>
      <c r="C244" s="7" t="inlineStr">
        <is>
          <t>nome do lote (seção 5)</t>
        </is>
      </c>
      <c r="D244" s="8" t="inlineStr">
        <is>
          <t>alocacoes[1].tipologia</t>
        </is>
      </c>
    </row>
    <row r="245">
      <c r="A245" s="5" t="inlineStr">
        <is>
          <t>Alocação 1 — Unidades</t>
        </is>
      </c>
      <c r="B245" s="14" t="n"/>
      <c r="C245" s="7" t="inlineStr">
        <is>
          <t>unidades (inteiro)</t>
        </is>
      </c>
      <c r="D245" s="8" t="inlineStr">
        <is>
          <t>alocacoes[1].unidades</t>
        </is>
      </c>
    </row>
    <row r="246">
      <c r="A246" s="5" t="inlineStr">
        <is>
          <t>Alocação 1 — Preço</t>
        </is>
      </c>
      <c r="B246" s="16" t="n"/>
      <c r="C246" s="7" t="inlineStr">
        <is>
          <t>R$/m² (sobre privativa + aberta)</t>
        </is>
      </c>
      <c r="D246" s="8" t="inlineStr">
        <is>
          <t>alocacoes[1].preco_m2</t>
        </is>
      </c>
    </row>
    <row r="247">
      <c r="A247" s="15" t="inlineStr">
        <is>
          <t>Alocação 2</t>
        </is>
      </c>
    </row>
    <row r="248">
      <c r="A248" s="5" t="inlineStr">
        <is>
          <t>Alocação 2 — Grupo</t>
        </is>
      </c>
      <c r="B248" s="6" t="n"/>
      <c r="C248" s="7" t="inlineStr">
        <is>
          <t>nome do grupo (seção 6)</t>
        </is>
      </c>
      <c r="D248" s="8" t="inlineStr">
        <is>
          <t>alocacoes[2].grupo</t>
        </is>
      </c>
    </row>
    <row r="249">
      <c r="A249" s="5" t="inlineStr">
        <is>
          <t>Alocação 2 — Lote</t>
        </is>
      </c>
      <c r="B249" s="6" t="n"/>
      <c r="C249" s="7" t="inlineStr">
        <is>
          <t>nome do lote (seção 5)</t>
        </is>
      </c>
      <c r="D249" s="8" t="inlineStr">
        <is>
          <t>alocacoes[2].tipologia</t>
        </is>
      </c>
    </row>
    <row r="250">
      <c r="A250" s="5" t="inlineStr">
        <is>
          <t>Alocação 2 — Unidades</t>
        </is>
      </c>
      <c r="B250" s="14" t="n"/>
      <c r="C250" s="7" t="inlineStr">
        <is>
          <t>unidades (inteiro)</t>
        </is>
      </c>
      <c r="D250" s="8" t="inlineStr">
        <is>
          <t>alocacoes[2].unidades</t>
        </is>
      </c>
    </row>
    <row r="251">
      <c r="A251" s="5" t="inlineStr">
        <is>
          <t>Alocação 2 — Preço</t>
        </is>
      </c>
      <c r="B251" s="16" t="n"/>
      <c r="C251" s="7" t="inlineStr">
        <is>
          <t>R$/m² (sobre privativa + aberta)</t>
        </is>
      </c>
      <c r="D251" s="8" t="inlineStr">
        <is>
          <t>alocacoes[2].preco_m2</t>
        </is>
      </c>
    </row>
    <row r="252">
      <c r="A252" s="15" t="inlineStr">
        <is>
          <t>Alocação 3</t>
        </is>
      </c>
    </row>
    <row r="253">
      <c r="A253" s="5" t="inlineStr">
        <is>
          <t>Alocação 3 — Grupo</t>
        </is>
      </c>
      <c r="B253" s="6" t="n"/>
      <c r="C253" s="7" t="inlineStr">
        <is>
          <t>nome do grupo (seção 6)</t>
        </is>
      </c>
      <c r="D253" s="8" t="inlineStr">
        <is>
          <t>alocacoes[3].grupo</t>
        </is>
      </c>
    </row>
    <row r="254">
      <c r="A254" s="5" t="inlineStr">
        <is>
          <t>Alocação 3 — Lote</t>
        </is>
      </c>
      <c r="B254" s="6" t="n"/>
      <c r="C254" s="7" t="inlineStr">
        <is>
          <t>nome do lote (seção 5)</t>
        </is>
      </c>
      <c r="D254" s="8" t="inlineStr">
        <is>
          <t>alocacoes[3].tipologia</t>
        </is>
      </c>
    </row>
    <row r="255">
      <c r="A255" s="5" t="inlineStr">
        <is>
          <t>Alocação 3 — Unidades</t>
        </is>
      </c>
      <c r="B255" s="14" t="n"/>
      <c r="C255" s="7" t="inlineStr">
        <is>
          <t>unidades (inteiro)</t>
        </is>
      </c>
      <c r="D255" s="8" t="inlineStr">
        <is>
          <t>alocacoes[3].unidades</t>
        </is>
      </c>
    </row>
    <row r="256">
      <c r="A256" s="5" t="inlineStr">
        <is>
          <t>Alocação 3 — Preço</t>
        </is>
      </c>
      <c r="B256" s="16" t="n"/>
      <c r="C256" s="7" t="inlineStr">
        <is>
          <t>R$/m² (sobre privativa + aberta)</t>
        </is>
      </c>
      <c r="D256" s="8" t="inlineStr">
        <is>
          <t>alocacoes[3].preco_m2</t>
        </is>
      </c>
    </row>
    <row r="257">
      <c r="A257" s="15" t="inlineStr">
        <is>
          <t>Alocação 4</t>
        </is>
      </c>
    </row>
    <row r="258">
      <c r="A258" s="5" t="inlineStr">
        <is>
          <t>Alocação 4 — Grupo</t>
        </is>
      </c>
      <c r="B258" s="6" t="n"/>
      <c r="C258" s="7" t="inlineStr">
        <is>
          <t>nome do grupo (seção 6)</t>
        </is>
      </c>
      <c r="D258" s="8" t="inlineStr">
        <is>
          <t>alocacoes[4].grupo</t>
        </is>
      </c>
    </row>
    <row r="259">
      <c r="A259" s="5" t="inlineStr">
        <is>
          <t>Alocação 4 — Lote</t>
        </is>
      </c>
      <c r="B259" s="6" t="n"/>
      <c r="C259" s="7" t="inlineStr">
        <is>
          <t>nome do lote (seção 5)</t>
        </is>
      </c>
      <c r="D259" s="8" t="inlineStr">
        <is>
          <t>alocacoes[4].tipologia</t>
        </is>
      </c>
    </row>
    <row r="260">
      <c r="A260" s="5" t="inlineStr">
        <is>
          <t>Alocação 4 — Unidades</t>
        </is>
      </c>
      <c r="B260" s="14" t="n"/>
      <c r="C260" s="7" t="inlineStr">
        <is>
          <t>unidades (inteiro)</t>
        </is>
      </c>
      <c r="D260" s="8" t="inlineStr">
        <is>
          <t>alocacoes[4].unidades</t>
        </is>
      </c>
    </row>
    <row r="261">
      <c r="A261" s="5" t="inlineStr">
        <is>
          <t>Alocação 4 — Preço</t>
        </is>
      </c>
      <c r="B261" s="16" t="n"/>
      <c r="C261" s="7" t="inlineStr">
        <is>
          <t>R$/m² (sobre privativa + aberta)</t>
        </is>
      </c>
      <c r="D261" s="8" t="inlineStr">
        <is>
          <t>alocacoes[4].preco_m2</t>
        </is>
      </c>
    </row>
    <row r="262">
      <c r="A262" s="15" t="inlineStr">
        <is>
          <t>Alocação 5</t>
        </is>
      </c>
    </row>
    <row r="263">
      <c r="A263" s="5" t="inlineStr">
        <is>
          <t>Alocação 5 — Grupo</t>
        </is>
      </c>
      <c r="B263" s="6" t="n"/>
      <c r="C263" s="7" t="inlineStr">
        <is>
          <t>nome do grupo (seção 6)</t>
        </is>
      </c>
      <c r="D263" s="8" t="inlineStr">
        <is>
          <t>alocacoes[5].grupo</t>
        </is>
      </c>
    </row>
    <row r="264">
      <c r="A264" s="5" t="inlineStr">
        <is>
          <t>Alocação 5 — Lote</t>
        </is>
      </c>
      <c r="B264" s="6" t="n"/>
      <c r="C264" s="7" t="inlineStr">
        <is>
          <t>nome do lote (seção 5)</t>
        </is>
      </c>
      <c r="D264" s="8" t="inlineStr">
        <is>
          <t>alocacoes[5].tipologia</t>
        </is>
      </c>
    </row>
    <row r="265">
      <c r="A265" s="5" t="inlineStr">
        <is>
          <t>Alocação 5 — Unidades</t>
        </is>
      </c>
      <c r="B265" s="14" t="n"/>
      <c r="C265" s="7" t="inlineStr">
        <is>
          <t>unidades (inteiro)</t>
        </is>
      </c>
      <c r="D265" s="8" t="inlineStr">
        <is>
          <t>alocacoes[5].unidades</t>
        </is>
      </c>
    </row>
    <row r="266">
      <c r="A266" s="5" t="inlineStr">
        <is>
          <t>Alocação 5 — Preço</t>
        </is>
      </c>
      <c r="B266" s="16" t="n"/>
      <c r="C266" s="7" t="inlineStr">
        <is>
          <t>R$/m² (sobre privativa + aberta)</t>
        </is>
      </c>
      <c r="D266" s="8" t="inlineStr">
        <is>
          <t>alocacoes[5].preco_m2</t>
        </is>
      </c>
    </row>
    <row r="267">
      <c r="A267" s="15" t="inlineStr">
        <is>
          <t>Alocação 6</t>
        </is>
      </c>
    </row>
    <row r="268">
      <c r="A268" s="5" t="inlineStr">
        <is>
          <t>Alocação 6 — Grupo</t>
        </is>
      </c>
      <c r="B268" s="6" t="n"/>
      <c r="C268" s="7" t="inlineStr">
        <is>
          <t>nome do grupo (seção 6)</t>
        </is>
      </c>
      <c r="D268" s="8" t="inlineStr">
        <is>
          <t>alocacoes[6].grupo</t>
        </is>
      </c>
    </row>
    <row r="269">
      <c r="A269" s="5" t="inlineStr">
        <is>
          <t>Alocação 6 — Lote</t>
        </is>
      </c>
      <c r="B269" s="6" t="n"/>
      <c r="C269" s="7" t="inlineStr">
        <is>
          <t>nome do lote (seção 5)</t>
        </is>
      </c>
      <c r="D269" s="8" t="inlineStr">
        <is>
          <t>alocacoes[6].tipologia</t>
        </is>
      </c>
    </row>
    <row r="270">
      <c r="A270" s="5" t="inlineStr">
        <is>
          <t>Alocação 6 — Unidades</t>
        </is>
      </c>
      <c r="B270" s="14" t="n"/>
      <c r="C270" s="7" t="inlineStr">
        <is>
          <t>unidades (inteiro)</t>
        </is>
      </c>
      <c r="D270" s="8" t="inlineStr">
        <is>
          <t>alocacoes[6].unidades</t>
        </is>
      </c>
    </row>
    <row r="271">
      <c r="A271" s="5" t="inlineStr">
        <is>
          <t>Alocação 6 — Preço</t>
        </is>
      </c>
      <c r="B271" s="16" t="n"/>
      <c r="C271" s="7" t="inlineStr">
        <is>
          <t>R$/m² (sobre privativa + aberta)</t>
        </is>
      </c>
      <c r="D271" s="8" t="inlineStr">
        <is>
          <t>alocacoes[6].preco_m2</t>
        </is>
      </c>
    </row>
    <row r="272">
      <c r="A272" s="15" t="inlineStr">
        <is>
          <t>Alocação 7</t>
        </is>
      </c>
    </row>
    <row r="273">
      <c r="A273" s="5" t="inlineStr">
        <is>
          <t>Alocação 7 — Grupo</t>
        </is>
      </c>
      <c r="B273" s="6" t="n"/>
      <c r="C273" s="7" t="inlineStr">
        <is>
          <t>nome do grupo (seção 6)</t>
        </is>
      </c>
      <c r="D273" s="8" t="inlineStr">
        <is>
          <t>alocacoes[7].grupo</t>
        </is>
      </c>
    </row>
    <row r="274">
      <c r="A274" s="5" t="inlineStr">
        <is>
          <t>Alocação 7 — Lote</t>
        </is>
      </c>
      <c r="B274" s="6" t="n"/>
      <c r="C274" s="7" t="inlineStr">
        <is>
          <t>nome do lote (seção 5)</t>
        </is>
      </c>
      <c r="D274" s="8" t="inlineStr">
        <is>
          <t>alocacoes[7].tipologia</t>
        </is>
      </c>
    </row>
    <row r="275">
      <c r="A275" s="5" t="inlineStr">
        <is>
          <t>Alocação 7 — Unidades</t>
        </is>
      </c>
      <c r="B275" s="14" t="n"/>
      <c r="C275" s="7" t="inlineStr">
        <is>
          <t>unidades (inteiro)</t>
        </is>
      </c>
      <c r="D275" s="8" t="inlineStr">
        <is>
          <t>alocacoes[7].unidades</t>
        </is>
      </c>
    </row>
    <row r="276">
      <c r="A276" s="5" t="inlineStr">
        <is>
          <t>Alocação 7 — Preço</t>
        </is>
      </c>
      <c r="B276" s="16" t="n"/>
      <c r="C276" s="7" t="inlineStr">
        <is>
          <t>R$/m² (sobre privativa + aberta)</t>
        </is>
      </c>
      <c r="D276" s="8" t="inlineStr">
        <is>
          <t>alocacoes[7].preco_m2</t>
        </is>
      </c>
    </row>
    <row r="277">
      <c r="A277" s="15" t="inlineStr">
        <is>
          <t>Alocação 8</t>
        </is>
      </c>
    </row>
    <row r="278">
      <c r="A278" s="5" t="inlineStr">
        <is>
          <t>Alocação 8 — Grupo</t>
        </is>
      </c>
      <c r="B278" s="6" t="n"/>
      <c r="C278" s="7" t="inlineStr">
        <is>
          <t>nome do grupo (seção 6)</t>
        </is>
      </c>
      <c r="D278" s="8" t="inlineStr">
        <is>
          <t>alocacoes[8].grupo</t>
        </is>
      </c>
    </row>
    <row r="279">
      <c r="A279" s="5" t="inlineStr">
        <is>
          <t>Alocação 8 — Lote</t>
        </is>
      </c>
      <c r="B279" s="6" t="n"/>
      <c r="C279" s="7" t="inlineStr">
        <is>
          <t>nome do lote (seção 5)</t>
        </is>
      </c>
      <c r="D279" s="8" t="inlineStr">
        <is>
          <t>alocacoes[8].tipologia</t>
        </is>
      </c>
    </row>
    <row r="280">
      <c r="A280" s="5" t="inlineStr">
        <is>
          <t>Alocação 8 — Unidades</t>
        </is>
      </c>
      <c r="B280" s="14" t="n"/>
      <c r="C280" s="7" t="inlineStr">
        <is>
          <t>unidades (inteiro)</t>
        </is>
      </c>
      <c r="D280" s="8" t="inlineStr">
        <is>
          <t>alocacoes[8].unidades</t>
        </is>
      </c>
    </row>
    <row r="281">
      <c r="A281" s="5" t="inlineStr">
        <is>
          <t>Alocação 8 — Preço</t>
        </is>
      </c>
      <c r="B281" s="16" t="n"/>
      <c r="C281" s="7" t="inlineStr">
        <is>
          <t>R$/m² (sobre privativa + aberta)</t>
        </is>
      </c>
      <c r="D281" s="8" t="inlineStr">
        <is>
          <t>alocacoes[8].preco_m2</t>
        </is>
      </c>
    </row>
    <row r="282">
      <c r="A282" s="15" t="inlineStr">
        <is>
          <t>Alocação 9</t>
        </is>
      </c>
    </row>
    <row r="283">
      <c r="A283" s="5" t="inlineStr">
        <is>
          <t>Alocação 9 — Grupo</t>
        </is>
      </c>
      <c r="B283" s="6" t="n"/>
      <c r="C283" s="7" t="inlineStr">
        <is>
          <t>nome do grupo (seção 6)</t>
        </is>
      </c>
      <c r="D283" s="8" t="inlineStr">
        <is>
          <t>alocacoes[9].grupo</t>
        </is>
      </c>
    </row>
    <row r="284">
      <c r="A284" s="5" t="inlineStr">
        <is>
          <t>Alocação 9 — Lote</t>
        </is>
      </c>
      <c r="B284" s="6" t="n"/>
      <c r="C284" s="7" t="inlineStr">
        <is>
          <t>nome do lote (seção 5)</t>
        </is>
      </c>
      <c r="D284" s="8" t="inlineStr">
        <is>
          <t>alocacoes[9].tipologia</t>
        </is>
      </c>
    </row>
    <row r="285">
      <c r="A285" s="5" t="inlineStr">
        <is>
          <t>Alocação 9 — Unidades</t>
        </is>
      </c>
      <c r="B285" s="14" t="n"/>
      <c r="C285" s="7" t="inlineStr">
        <is>
          <t>unidades (inteiro)</t>
        </is>
      </c>
      <c r="D285" s="8" t="inlineStr">
        <is>
          <t>alocacoes[9].unidades</t>
        </is>
      </c>
    </row>
    <row r="286">
      <c r="A286" s="5" t="inlineStr">
        <is>
          <t>Alocação 9 — Preço</t>
        </is>
      </c>
      <c r="B286" s="16" t="n"/>
      <c r="C286" s="7" t="inlineStr">
        <is>
          <t>R$/m² (sobre privativa + aberta)</t>
        </is>
      </c>
      <c r="D286" s="8" t="inlineStr">
        <is>
          <t>alocacoes[9].preco_m2</t>
        </is>
      </c>
    </row>
    <row r="287">
      <c r="A287" s="15" t="inlineStr">
        <is>
          <t>Alocação 10</t>
        </is>
      </c>
    </row>
    <row r="288">
      <c r="A288" s="5" t="inlineStr">
        <is>
          <t>Alocação 10 — Grupo</t>
        </is>
      </c>
      <c r="B288" s="6" t="n"/>
      <c r="C288" s="7" t="inlineStr">
        <is>
          <t>nome do grupo (seção 6)</t>
        </is>
      </c>
      <c r="D288" s="8" t="inlineStr">
        <is>
          <t>alocacoes[10].grupo</t>
        </is>
      </c>
    </row>
    <row r="289">
      <c r="A289" s="5" t="inlineStr">
        <is>
          <t>Alocação 10 — Lote</t>
        </is>
      </c>
      <c r="B289" s="6" t="n"/>
      <c r="C289" s="7" t="inlineStr">
        <is>
          <t>nome do lote (seção 5)</t>
        </is>
      </c>
      <c r="D289" s="8" t="inlineStr">
        <is>
          <t>alocacoes[10].tipologia</t>
        </is>
      </c>
    </row>
    <row r="290">
      <c r="A290" s="5" t="inlineStr">
        <is>
          <t>Alocação 10 — Unidades</t>
        </is>
      </c>
      <c r="B290" s="14" t="n"/>
      <c r="C290" s="7" t="inlineStr">
        <is>
          <t>unidades (inteiro)</t>
        </is>
      </c>
      <c r="D290" s="8" t="inlineStr">
        <is>
          <t>alocacoes[10].unidades</t>
        </is>
      </c>
    </row>
    <row r="291">
      <c r="A291" s="5" t="inlineStr">
        <is>
          <t>Alocação 10 — Preço</t>
        </is>
      </c>
      <c r="B291" s="16" t="n"/>
      <c r="C291" s="7" t="inlineStr">
        <is>
          <t>R$/m² (sobre privativa + aberta)</t>
        </is>
      </c>
      <c r="D291" s="8" t="inlineStr">
        <is>
          <t>alocacoes[10].preco_m2</t>
        </is>
      </c>
    </row>
    <row r="292" ht="20" customHeight="1">
      <c r="A292" s="4" t="inlineStr">
        <is>
          <t>9 · Custos (Viabilidade › Custos) — 28 vagas + permutas do terreno</t>
        </is>
      </c>
    </row>
    <row r="293" ht="117" customHeight="1">
      <c r="A293" s="12" t="inlineStr">
        <is>
          <t>Categorias e unidades aceitas (rs = R$ · rs_m2_priv = R$/m² privativo · rs_m2_terreno · pct_vgv · pct_obra · pct_recebido · pct_constr). TERRENO: Preço (rs, rs_m2_terreno; permuta financeira: rs, pct_vgv) · Registro (rs, rs_m2_priv) · Outro (rs, pct_vgv). OBRA: Construção, Decoração (rs, rs_m2_priv) · Outorga, Contingência, Outro (rs, pct_vgv) · Gestão da obra (rs, pct_obra). DIRETOS: Marketing &amp; Publicidade, Manutenção pós-obra, Outro (rs, pct_vgv, pct_recebido) · Corretagem de vendas (pct_vgv) · Projetos (rs, rs_m2_priv, pct_constr) · Licenças e Aprovações (rs, rs_m2_priv). INDIRETO: Marketing global, Gestão, Outro (rs, pct_vgv, pct_recebido) · Stand de vendas (rs, pct_vgv). FINANCEIRO: Juros de financiamento, Taxas bancárias, Estruturação de dívida, Investidores, Outro (rs, pct_vgv). Cronograma padrão: terreno/Preço = customizado; terreno/demais, indireto = planejamento; obra/diretos/financeiro = obra; Manutenção pós-obra = pos_obra. Início e Duração só valem com cronograma = customizado; cronograma ancorado em fase customizada = escrever "fase: &lt;nome da fase&gt;". Corretagem sai no mês da venda e a permuta física na entrega das unidades (não escolhem distribuição). Obrigatórias: terreno/Preço, obra/Construção, diretos/Corretagem de vendas (% VGV).</t>
        </is>
      </c>
    </row>
    <row r="294" ht="39" customHeight="1">
      <c r="A294" s="12" t="inlineStr">
        <is>
          <t>Em cada vaga: escolha a Unidade e preencha o Valor na linha certa — "Valor (R$ ou R$/m²)" quando a unidade for rs, rs_m2_priv ou rs_m2_terreno; "Valor (%)" quando for pct_*. A coluna Unidade da linha de valor mostra o que a unidade escolhida significa. Vagas 1 a 3 já vêm com Grupo e Categoria obrigatórios (cinza).</t>
        </is>
      </c>
    </row>
    <row r="295">
      <c r="A295" s="15" t="inlineStr">
        <is>
          <t>Custo 1 — obrigatório: terreno / Preço</t>
        </is>
      </c>
    </row>
    <row r="296">
      <c r="A296" s="5" t="inlineStr">
        <is>
          <t>Custo 1 — Grupo</t>
        </is>
      </c>
      <c r="B296" s="9" t="inlineStr">
        <is>
          <t>terreno</t>
        </is>
      </c>
      <c r="C296" s="7" t="inlineStr">
        <is>
          <t>lista: terreno | obra | diretos | indireto | financeiro</t>
        </is>
      </c>
      <c r="D296" s="8" t="inlineStr">
        <is>
          <t>custos[1].grupo</t>
        </is>
      </c>
    </row>
    <row r="297">
      <c r="A297" s="5" t="inlineStr">
        <is>
          <t>Custo 1 — Categoria</t>
        </is>
      </c>
      <c r="B297" s="9" t="inlineStr">
        <is>
          <t>Preço</t>
        </is>
      </c>
      <c r="C297" s="7" t="inlineStr">
        <is>
          <t>ver tabela acima</t>
        </is>
      </c>
      <c r="D297" s="8" t="inlineStr">
        <is>
          <t>custos[1].categoria</t>
        </is>
      </c>
    </row>
    <row r="298">
      <c r="A298" s="5" t="inlineStr">
        <is>
          <t>Custo 1 — Subcategoria / descrição</t>
        </is>
      </c>
      <c r="B298" s="6" t="n"/>
      <c r="C298" s="7" t="inlineStr">
        <is>
          <t>Preço: Valor à vista | Parcelado; Outro: texto</t>
        </is>
      </c>
      <c r="D298" s="8" t="inlineStr">
        <is>
          <t>custos[1].subcategoria</t>
        </is>
      </c>
    </row>
    <row r="299">
      <c r="A299" s="5" t="inlineStr">
        <is>
          <t>Custo 1 — Unidade</t>
        </is>
      </c>
      <c r="B299" s="6" t="n"/>
      <c r="C299" s="7" t="inlineStr">
        <is>
          <t>lista: rs | rs_m2_priv | rs_m2_terreno | pct_vgv | pct_obra | pct_recebido | pct_constr</t>
        </is>
      </c>
      <c r="D299" s="8" t="inlineStr">
        <is>
          <t>custos[1].unidade</t>
        </is>
      </c>
    </row>
    <row r="300">
      <c r="A300" s="5" t="inlineStr">
        <is>
          <t>Custo 1 — Valor (R$ ou R$/m²)</t>
        </is>
      </c>
      <c r="B300" s="16" t="n"/>
      <c r="C300" s="7">
        <f>IF($B$299="","escolha a Unidade acima",IF($B$299="rs","R$ (valor cheio)",IF($B$299="rs_m2_priv","R$/m² privativo (fechada+aberta)",IF($B$299="rs_m2_terreno","R$/m² de terreno",IF(LEFT($B$299,3)="pct","— (use a linha de %)","unidade inválida")))))</f>
        <v/>
      </c>
      <c r="D300" s="8" t="inlineStr">
        <is>
          <t>custos[1].valor_rs</t>
        </is>
      </c>
    </row>
    <row r="301">
      <c r="A301" s="5" t="inlineStr">
        <is>
          <t>Custo 1 — Valor (%)</t>
        </is>
      </c>
      <c r="B301" s="11" t="n"/>
      <c r="C301" s="7">
        <f>IF($B$299="","escolha a Unidade acima",IF($B$299="pct_vgv","% do VGV",IF($B$299="pct_receita","% da receita líquida (RET, sem juros)",IF($B$299="pct_obra","% da obra (grupo Obras inteiro)",IF($B$299="pct_recebido","% do recebido (com juros de tabela)",IF($B$299="pct_constr","% da construção (constr.+decor.+gestão da obra)",IF(LEFT($B$299,2)="rs","— (use a linha de R$)","unidade inválida"))))))</f>
        <v/>
      </c>
      <c r="D301" s="8" t="inlineStr">
        <is>
          <t>custos[1].valor_pct</t>
        </is>
      </c>
    </row>
    <row r="302">
      <c r="A302" s="5" t="inlineStr">
        <is>
          <t>Custo 1 — Distribuição</t>
        </is>
      </c>
      <c r="B302" s="6" t="n"/>
      <c r="C302" s="7" t="inlineStr">
        <is>
          <t>Linear | nome de uma curva do catálogo (ex.: Curva S) | unit_delivery | sales_revenue</t>
        </is>
      </c>
      <c r="D302" s="8" t="inlineStr">
        <is>
          <t>custos[1].distribuicao</t>
        </is>
      </c>
    </row>
    <row r="303">
      <c r="A303" s="5" t="inlineStr">
        <is>
          <t>Custo 1 — Cronograma</t>
        </is>
      </c>
      <c r="B303" s="6" t="n"/>
      <c r="C303" s="7" t="inlineStr">
        <is>
          <t>evento, customizado ou "fase: &lt;nome&gt;"</t>
        </is>
      </c>
      <c r="D303" s="8" t="inlineStr">
        <is>
          <t>custos[1].cronograma</t>
        </is>
      </c>
    </row>
    <row r="304">
      <c r="A304" s="5" t="inlineStr">
        <is>
          <t>Custo 1 — Início (só customizado)</t>
        </is>
      </c>
      <c r="B304" s="14" t="n"/>
      <c r="C304" s="7" t="inlineStr">
        <is>
          <t>mês (inteiro ≥ 0)</t>
        </is>
      </c>
      <c r="D304" s="8" t="inlineStr">
        <is>
          <t>custos[1].inicio_mes</t>
        </is>
      </c>
    </row>
    <row r="305">
      <c r="A305" s="5" t="inlineStr">
        <is>
          <t>Custo 1 — Duração (só customizado)</t>
        </is>
      </c>
      <c r="B305" s="14" t="n"/>
      <c r="C305" s="7" t="inlineStr">
        <is>
          <t>meses (inteiro ≥ 1)</t>
        </is>
      </c>
      <c r="D305" s="8" t="inlineStr">
        <is>
          <t>custos[1].duracao_meses</t>
        </is>
      </c>
    </row>
    <row r="306">
      <c r="A306" s="15" t="inlineStr">
        <is>
          <t>Custo 2 — obrigatório: obra / Construção</t>
        </is>
      </c>
    </row>
    <row r="307">
      <c r="A307" s="5" t="inlineStr">
        <is>
          <t>Custo 2 — Grupo</t>
        </is>
      </c>
      <c r="B307" s="9" t="inlineStr">
        <is>
          <t>obra</t>
        </is>
      </c>
      <c r="C307" s="7" t="inlineStr">
        <is>
          <t>lista: terreno | obra | diretos | indireto | financeiro</t>
        </is>
      </c>
      <c r="D307" s="8" t="inlineStr">
        <is>
          <t>custos[2].grupo</t>
        </is>
      </c>
    </row>
    <row r="308">
      <c r="A308" s="5" t="inlineStr">
        <is>
          <t>Custo 2 — Categoria</t>
        </is>
      </c>
      <c r="B308" s="9" t="inlineStr">
        <is>
          <t>Construção</t>
        </is>
      </c>
      <c r="C308" s="7" t="inlineStr">
        <is>
          <t>ver tabela acima</t>
        </is>
      </c>
      <c r="D308" s="8" t="inlineStr">
        <is>
          <t>custos[2].categoria</t>
        </is>
      </c>
    </row>
    <row r="309">
      <c r="A309" s="5" t="inlineStr">
        <is>
          <t>Custo 2 — Subcategoria / descrição</t>
        </is>
      </c>
      <c r="B309" s="6" t="n"/>
      <c r="C309" s="7" t="inlineStr">
        <is>
          <t>Preço: Valor à vista | Parcelado; Outro: texto</t>
        </is>
      </c>
      <c r="D309" s="8" t="inlineStr">
        <is>
          <t>custos[2].subcategoria</t>
        </is>
      </c>
    </row>
    <row r="310">
      <c r="A310" s="5" t="inlineStr">
        <is>
          <t>Custo 2 — Unidade</t>
        </is>
      </c>
      <c r="B310" s="6" t="n"/>
      <c r="C310" s="7" t="inlineStr">
        <is>
          <t>lista: rs | rs_m2_priv | rs_m2_terreno | pct_vgv | pct_obra | pct_recebido | pct_constr</t>
        </is>
      </c>
      <c r="D310" s="8" t="inlineStr">
        <is>
          <t>custos[2].unidade</t>
        </is>
      </c>
    </row>
    <row r="311">
      <c r="A311" s="5" t="inlineStr">
        <is>
          <t>Custo 2 — Valor (R$ ou R$/m²)</t>
        </is>
      </c>
      <c r="B311" s="16" t="n"/>
      <c r="C311" s="7">
        <f>IF($B$310="","escolha a Unidade acima",IF($B$310="rs","R$ (valor cheio)",IF($B$310="rs_m2_priv","R$/m² privativo (fechada+aberta)",IF($B$310="rs_m2_terreno","R$/m² de terreno",IF(LEFT($B$310,3)="pct","— (use a linha de %)","unidade inválida")))))</f>
        <v/>
      </c>
      <c r="D311" s="8" t="inlineStr">
        <is>
          <t>custos[2].valor_rs</t>
        </is>
      </c>
    </row>
    <row r="312">
      <c r="A312" s="5" t="inlineStr">
        <is>
          <t>Custo 2 — Valor (%)</t>
        </is>
      </c>
      <c r="B312" s="11" t="n"/>
      <c r="C312" s="7">
        <f>IF($B$310="","escolha a Unidade acima",IF($B$310="pct_vgv","% do VGV",IF($B$310="pct_receita","% da receita líquida (RET, sem juros)",IF($B$310="pct_obra","% da obra (grupo Obras inteiro)",IF($B$310="pct_recebido","% do recebido (com juros de tabela)",IF($B$310="pct_constr","% da construção (constr.+decor.+gestão da obra)",IF(LEFT($B$310,2)="rs","— (use a linha de R$)","unidade inválida"))))))</f>
        <v/>
      </c>
      <c r="D312" s="8" t="inlineStr">
        <is>
          <t>custos[2].valor_pct</t>
        </is>
      </c>
    </row>
    <row r="313">
      <c r="A313" s="5" t="inlineStr">
        <is>
          <t>Custo 2 — Distribuição</t>
        </is>
      </c>
      <c r="B313" s="6" t="n"/>
      <c r="C313" s="7" t="inlineStr">
        <is>
          <t>Linear | nome de uma curva do catálogo (ex.: Curva S) | unit_delivery | sales_revenue</t>
        </is>
      </c>
      <c r="D313" s="8" t="inlineStr">
        <is>
          <t>custos[2].distribuicao</t>
        </is>
      </c>
    </row>
    <row r="314">
      <c r="A314" s="5" t="inlineStr">
        <is>
          <t>Custo 2 — Cronograma</t>
        </is>
      </c>
      <c r="B314" s="6" t="n"/>
      <c r="C314" s="7" t="inlineStr">
        <is>
          <t>evento, customizado ou "fase: &lt;nome&gt;"</t>
        </is>
      </c>
      <c r="D314" s="8" t="inlineStr">
        <is>
          <t>custos[2].cronograma</t>
        </is>
      </c>
    </row>
    <row r="315">
      <c r="A315" s="5" t="inlineStr">
        <is>
          <t>Custo 2 — Início (só customizado)</t>
        </is>
      </c>
      <c r="B315" s="14" t="n"/>
      <c r="C315" s="7" t="inlineStr">
        <is>
          <t>mês (inteiro ≥ 0)</t>
        </is>
      </c>
      <c r="D315" s="8" t="inlineStr">
        <is>
          <t>custos[2].inicio_mes</t>
        </is>
      </c>
    </row>
    <row r="316">
      <c r="A316" s="5" t="inlineStr">
        <is>
          <t>Custo 2 — Duração (só customizado)</t>
        </is>
      </c>
      <c r="B316" s="14" t="n"/>
      <c r="C316" s="7" t="inlineStr">
        <is>
          <t>meses (inteiro ≥ 1)</t>
        </is>
      </c>
      <c r="D316" s="8" t="inlineStr">
        <is>
          <t>custos[2].duracao_meses</t>
        </is>
      </c>
    </row>
    <row r="317">
      <c r="A317" s="15" t="inlineStr">
        <is>
          <t>Custo 3 — obrigatório: diretos / Corretagem de vendas (% VGV)</t>
        </is>
      </c>
    </row>
    <row r="318">
      <c r="A318" s="5" t="inlineStr">
        <is>
          <t>Custo 3 — Grupo</t>
        </is>
      </c>
      <c r="B318" s="9" t="inlineStr">
        <is>
          <t>diretos</t>
        </is>
      </c>
      <c r="C318" s="7" t="inlineStr">
        <is>
          <t>lista: terreno | obra | diretos | indireto | financeiro</t>
        </is>
      </c>
      <c r="D318" s="8" t="inlineStr">
        <is>
          <t>custos[3].grupo</t>
        </is>
      </c>
    </row>
    <row r="319">
      <c r="A319" s="5" t="inlineStr">
        <is>
          <t>Custo 3 — Categoria</t>
        </is>
      </c>
      <c r="B319" s="9" t="inlineStr">
        <is>
          <t>Corretagem de vendas</t>
        </is>
      </c>
      <c r="C319" s="7" t="inlineStr">
        <is>
          <t>ver tabela acima</t>
        </is>
      </c>
      <c r="D319" s="8" t="inlineStr">
        <is>
          <t>custos[3].categoria</t>
        </is>
      </c>
    </row>
    <row r="320">
      <c r="A320" s="5" t="inlineStr">
        <is>
          <t>Custo 3 — Subcategoria / descrição</t>
        </is>
      </c>
      <c r="B320" s="6" t="n"/>
      <c r="C320" s="7" t="inlineStr">
        <is>
          <t>Preço: Valor à vista | Parcelado; Outro: texto</t>
        </is>
      </c>
      <c r="D320" s="8" t="inlineStr">
        <is>
          <t>custos[3].subcategoria</t>
        </is>
      </c>
    </row>
    <row r="321">
      <c r="A321" s="5" t="inlineStr">
        <is>
          <t>Custo 3 — Unidade</t>
        </is>
      </c>
      <c r="B321" s="9" t="inlineStr">
        <is>
          <t>pct_vgv</t>
        </is>
      </c>
      <c r="C321" s="7" t="inlineStr">
        <is>
          <t>lista: rs | rs_m2_priv | rs_m2_terreno | pct_vgv | pct_obra | pct_recebido | pct_constr</t>
        </is>
      </c>
      <c r="D321" s="8" t="inlineStr">
        <is>
          <t>custos[3].unidade</t>
        </is>
      </c>
    </row>
    <row r="322">
      <c r="A322" s="5" t="inlineStr">
        <is>
          <t>Custo 3 — Valor (R$ ou R$/m²)</t>
        </is>
      </c>
      <c r="B322" s="16" t="n"/>
      <c r="C322" s="7">
        <f>IF($B$321="","escolha a Unidade acima",IF($B$321="rs","R$ (valor cheio)",IF($B$321="rs_m2_priv","R$/m² privativo (fechada+aberta)",IF($B$321="rs_m2_terreno","R$/m² de terreno",IF(LEFT($B$321,3)="pct","— (use a linha de %)","unidade inválida")))))</f>
        <v/>
      </c>
      <c r="D322" s="8" t="inlineStr">
        <is>
          <t>custos[3].valor_rs</t>
        </is>
      </c>
    </row>
    <row r="323">
      <c r="A323" s="5" t="inlineStr">
        <is>
          <t>Custo 3 — Valor (%)</t>
        </is>
      </c>
      <c r="B323" s="11" t="n"/>
      <c r="C323" s="7">
        <f>IF($B$321="","escolha a Unidade acima",IF($B$321="pct_vgv","% do VGV",IF($B$321="pct_receita","% da receita líquida (RET, sem juros)",IF($B$321="pct_obra","% da obra (grupo Obras inteiro)",IF($B$321="pct_recebido","% do recebido (com juros de tabela)",IF($B$321="pct_constr","% da construção (constr.+decor.+gestão da obra)",IF(LEFT($B$321,2)="rs","— (use a linha de R$)","unidade inválida"))))))</f>
        <v/>
      </c>
      <c r="D323" s="8" t="inlineStr">
        <is>
          <t>custos[3].valor_pct</t>
        </is>
      </c>
    </row>
    <row r="324">
      <c r="A324" s="5" t="inlineStr">
        <is>
          <t>Custo 3 — Distribuição</t>
        </is>
      </c>
      <c r="B324" s="6" t="n"/>
      <c r="C324" s="7" t="inlineStr">
        <is>
          <t>Linear | nome de uma curva do catálogo (ex.: Curva S) | unit_delivery | sales_revenue</t>
        </is>
      </c>
      <c r="D324" s="8" t="inlineStr">
        <is>
          <t>custos[3].distribuicao</t>
        </is>
      </c>
    </row>
    <row r="325">
      <c r="A325" s="5" t="inlineStr">
        <is>
          <t>Custo 3 — Cronograma</t>
        </is>
      </c>
      <c r="B325" s="6" t="n"/>
      <c r="C325" s="7" t="inlineStr">
        <is>
          <t>evento, customizado ou "fase: &lt;nome&gt;"</t>
        </is>
      </c>
      <c r="D325" s="8" t="inlineStr">
        <is>
          <t>custos[3].cronograma</t>
        </is>
      </c>
    </row>
    <row r="326">
      <c r="A326" s="5" t="inlineStr">
        <is>
          <t>Custo 3 — Início (só customizado)</t>
        </is>
      </c>
      <c r="B326" s="14" t="n"/>
      <c r="C326" s="7" t="inlineStr">
        <is>
          <t>mês (inteiro ≥ 0)</t>
        </is>
      </c>
      <c r="D326" s="8" t="inlineStr">
        <is>
          <t>custos[3].inicio_mes</t>
        </is>
      </c>
    </row>
    <row r="327">
      <c r="A327" s="5" t="inlineStr">
        <is>
          <t>Custo 3 — Duração (só customizado)</t>
        </is>
      </c>
      <c r="B327" s="14" t="n"/>
      <c r="C327" s="7" t="inlineStr">
        <is>
          <t>meses (inteiro ≥ 1)</t>
        </is>
      </c>
      <c r="D327" s="8" t="inlineStr">
        <is>
          <t>custos[3].duracao_meses</t>
        </is>
      </c>
    </row>
    <row r="328">
      <c r="A328" s="15" t="inlineStr">
        <is>
          <t>Custo 4</t>
        </is>
      </c>
    </row>
    <row r="329">
      <c r="A329" s="5" t="inlineStr">
        <is>
          <t>Custo 4 — Grupo</t>
        </is>
      </c>
      <c r="B329" s="6" t="n"/>
      <c r="C329" s="7" t="inlineStr">
        <is>
          <t>lista: terreno | obra | diretos | indireto | financeiro</t>
        </is>
      </c>
      <c r="D329" s="8" t="inlineStr">
        <is>
          <t>custos[4].grupo</t>
        </is>
      </c>
    </row>
    <row r="330">
      <c r="A330" s="5" t="inlineStr">
        <is>
          <t>Custo 4 — Categoria</t>
        </is>
      </c>
      <c r="B330" s="6" t="n"/>
      <c r="C330" s="7" t="inlineStr">
        <is>
          <t>ver tabela acima</t>
        </is>
      </c>
      <c r="D330" s="8" t="inlineStr">
        <is>
          <t>custos[4].categoria</t>
        </is>
      </c>
    </row>
    <row r="331">
      <c r="A331" s="5" t="inlineStr">
        <is>
          <t>Custo 4 — Subcategoria / descrição</t>
        </is>
      </c>
      <c r="B331" s="6" t="n"/>
      <c r="C331" s="7" t="inlineStr">
        <is>
          <t>Preço: Valor à vista | Parcelado; Outro: texto</t>
        </is>
      </c>
      <c r="D331" s="8" t="inlineStr">
        <is>
          <t>custos[4].subcategoria</t>
        </is>
      </c>
    </row>
    <row r="332">
      <c r="A332" s="5" t="inlineStr">
        <is>
          <t>Custo 4 — Unidade</t>
        </is>
      </c>
      <c r="B332" s="6" t="n"/>
      <c r="C332" s="7" t="inlineStr">
        <is>
          <t>lista: rs | rs_m2_priv | rs_m2_terreno | pct_vgv | pct_obra | pct_recebido | pct_constr</t>
        </is>
      </c>
      <c r="D332" s="8" t="inlineStr">
        <is>
          <t>custos[4].unidade</t>
        </is>
      </c>
    </row>
    <row r="333">
      <c r="A333" s="5" t="inlineStr">
        <is>
          <t>Custo 4 — Valor (R$ ou R$/m²)</t>
        </is>
      </c>
      <c r="B333" s="16" t="n"/>
      <c r="C333" s="7">
        <f>IF($B$332="","escolha a Unidade acima",IF($B$332="rs","R$ (valor cheio)",IF($B$332="rs_m2_priv","R$/m² privativo (fechada+aberta)",IF($B$332="rs_m2_terreno","R$/m² de terreno",IF(LEFT($B$332,3)="pct","— (use a linha de %)","unidade inválida")))))</f>
        <v/>
      </c>
      <c r="D333" s="8" t="inlineStr">
        <is>
          <t>custos[4].valor_rs</t>
        </is>
      </c>
    </row>
    <row r="334">
      <c r="A334" s="5" t="inlineStr">
        <is>
          <t>Custo 4 — Valor (%)</t>
        </is>
      </c>
      <c r="B334" s="11" t="n"/>
      <c r="C334" s="7">
        <f>IF($B$332="","escolha a Unidade acima",IF($B$332="pct_vgv","% do VGV",IF($B$332="pct_receita","% da receita líquida (RET, sem juros)",IF($B$332="pct_obra","% da obra (grupo Obras inteiro)",IF($B$332="pct_recebido","% do recebido (com juros de tabela)",IF($B$332="pct_constr","% da construção (constr.+decor.+gestão da obra)",IF(LEFT($B$332,2)="rs","— (use a linha de R$)","unidade inválida"))))))</f>
        <v/>
      </c>
      <c r="D334" s="8" t="inlineStr">
        <is>
          <t>custos[4].valor_pct</t>
        </is>
      </c>
    </row>
    <row r="335">
      <c r="A335" s="5" t="inlineStr">
        <is>
          <t>Custo 4 — Distribuição</t>
        </is>
      </c>
      <c r="B335" s="6" t="n"/>
      <c r="C335" s="7" t="inlineStr">
        <is>
          <t>Linear | nome de uma curva do catálogo (ex.: Curva S) | unit_delivery | sales_revenue</t>
        </is>
      </c>
      <c r="D335" s="8" t="inlineStr">
        <is>
          <t>custos[4].distribuicao</t>
        </is>
      </c>
    </row>
    <row r="336">
      <c r="A336" s="5" t="inlineStr">
        <is>
          <t>Custo 4 — Cronograma</t>
        </is>
      </c>
      <c r="B336" s="6" t="n"/>
      <c r="C336" s="7" t="inlineStr">
        <is>
          <t>evento, customizado ou "fase: &lt;nome&gt;"</t>
        </is>
      </c>
      <c r="D336" s="8" t="inlineStr">
        <is>
          <t>custos[4].cronograma</t>
        </is>
      </c>
    </row>
    <row r="337">
      <c r="A337" s="5" t="inlineStr">
        <is>
          <t>Custo 4 — Início (só customizado)</t>
        </is>
      </c>
      <c r="B337" s="14" t="n"/>
      <c r="C337" s="7" t="inlineStr">
        <is>
          <t>mês (inteiro ≥ 0)</t>
        </is>
      </c>
      <c r="D337" s="8" t="inlineStr">
        <is>
          <t>custos[4].inicio_mes</t>
        </is>
      </c>
    </row>
    <row r="338">
      <c r="A338" s="5" t="inlineStr">
        <is>
          <t>Custo 4 — Duração (só customizado)</t>
        </is>
      </c>
      <c r="B338" s="14" t="n"/>
      <c r="C338" s="7" t="inlineStr">
        <is>
          <t>meses (inteiro ≥ 1)</t>
        </is>
      </c>
      <c r="D338" s="8" t="inlineStr">
        <is>
          <t>custos[4].duracao_meses</t>
        </is>
      </c>
    </row>
    <row r="339">
      <c r="A339" s="15" t="inlineStr">
        <is>
          <t>Custo 5</t>
        </is>
      </c>
    </row>
    <row r="340">
      <c r="A340" s="5" t="inlineStr">
        <is>
          <t>Custo 5 — Grupo</t>
        </is>
      </c>
      <c r="B340" s="6" t="n"/>
      <c r="C340" s="7" t="inlineStr">
        <is>
          <t>lista: terreno | obra | diretos | indireto | financeiro</t>
        </is>
      </c>
      <c r="D340" s="8" t="inlineStr">
        <is>
          <t>custos[5].grupo</t>
        </is>
      </c>
    </row>
    <row r="341">
      <c r="A341" s="5" t="inlineStr">
        <is>
          <t>Custo 5 — Categoria</t>
        </is>
      </c>
      <c r="B341" s="6" t="n"/>
      <c r="C341" s="7" t="inlineStr">
        <is>
          <t>ver tabela acima</t>
        </is>
      </c>
      <c r="D341" s="8" t="inlineStr">
        <is>
          <t>custos[5].categoria</t>
        </is>
      </c>
    </row>
    <row r="342">
      <c r="A342" s="5" t="inlineStr">
        <is>
          <t>Custo 5 — Subcategoria / descrição</t>
        </is>
      </c>
      <c r="B342" s="6" t="n"/>
      <c r="C342" s="7" t="inlineStr">
        <is>
          <t>Preço: Valor à vista | Parcelado; Outro: texto</t>
        </is>
      </c>
      <c r="D342" s="8" t="inlineStr">
        <is>
          <t>custos[5].subcategoria</t>
        </is>
      </c>
    </row>
    <row r="343">
      <c r="A343" s="5" t="inlineStr">
        <is>
          <t>Custo 5 — Unidade</t>
        </is>
      </c>
      <c r="B343" s="6" t="n"/>
      <c r="C343" s="7" t="inlineStr">
        <is>
          <t>lista: rs | rs_m2_priv | rs_m2_terreno | pct_vgv | pct_obra | pct_recebido | pct_constr</t>
        </is>
      </c>
      <c r="D343" s="8" t="inlineStr">
        <is>
          <t>custos[5].unidade</t>
        </is>
      </c>
    </row>
    <row r="344">
      <c r="A344" s="5" t="inlineStr">
        <is>
          <t>Custo 5 — Valor (R$ ou R$/m²)</t>
        </is>
      </c>
      <c r="B344" s="16" t="n"/>
      <c r="C344" s="7">
        <f>IF($B$343="","escolha a Unidade acima",IF($B$343="rs","R$ (valor cheio)",IF($B$343="rs_m2_priv","R$/m² privativo (fechada+aberta)",IF($B$343="rs_m2_terreno","R$/m² de terreno",IF(LEFT($B$343,3)="pct","— (use a linha de %)","unidade inválida")))))</f>
        <v/>
      </c>
      <c r="D344" s="8" t="inlineStr">
        <is>
          <t>custos[5].valor_rs</t>
        </is>
      </c>
    </row>
    <row r="345">
      <c r="A345" s="5" t="inlineStr">
        <is>
          <t>Custo 5 — Valor (%)</t>
        </is>
      </c>
      <c r="B345" s="11" t="n"/>
      <c r="C345" s="7">
        <f>IF($B$343="","escolha a Unidade acima",IF($B$343="pct_vgv","% do VGV",IF($B$343="pct_receita","% da receita líquida (RET, sem juros)",IF($B$343="pct_obra","% da obra (grupo Obras inteiro)",IF($B$343="pct_recebido","% do recebido (com juros de tabela)",IF($B$343="pct_constr","% da construção (constr.+decor.+gestão da obra)",IF(LEFT($B$343,2)="rs","— (use a linha de R$)","unidade inválida"))))))</f>
        <v/>
      </c>
      <c r="D345" s="8" t="inlineStr">
        <is>
          <t>custos[5].valor_pct</t>
        </is>
      </c>
    </row>
    <row r="346">
      <c r="A346" s="5" t="inlineStr">
        <is>
          <t>Custo 5 — Distribuição</t>
        </is>
      </c>
      <c r="B346" s="6" t="n"/>
      <c r="C346" s="7" t="inlineStr">
        <is>
          <t>Linear | nome de uma curva do catálogo (ex.: Curva S) | unit_delivery | sales_revenue</t>
        </is>
      </c>
      <c r="D346" s="8" t="inlineStr">
        <is>
          <t>custos[5].distribuicao</t>
        </is>
      </c>
    </row>
    <row r="347">
      <c r="A347" s="5" t="inlineStr">
        <is>
          <t>Custo 5 — Cronograma</t>
        </is>
      </c>
      <c r="B347" s="6" t="n"/>
      <c r="C347" s="7" t="inlineStr">
        <is>
          <t>evento, customizado ou "fase: &lt;nome&gt;"</t>
        </is>
      </c>
      <c r="D347" s="8" t="inlineStr">
        <is>
          <t>custos[5].cronograma</t>
        </is>
      </c>
    </row>
    <row r="348">
      <c r="A348" s="5" t="inlineStr">
        <is>
          <t>Custo 5 — Início (só customizado)</t>
        </is>
      </c>
      <c r="B348" s="14" t="n"/>
      <c r="C348" s="7" t="inlineStr">
        <is>
          <t>mês (inteiro ≥ 0)</t>
        </is>
      </c>
      <c r="D348" s="8" t="inlineStr">
        <is>
          <t>custos[5].inicio_mes</t>
        </is>
      </c>
    </row>
    <row r="349">
      <c r="A349" s="5" t="inlineStr">
        <is>
          <t>Custo 5 — Duração (só customizado)</t>
        </is>
      </c>
      <c r="B349" s="14" t="n"/>
      <c r="C349" s="7" t="inlineStr">
        <is>
          <t>meses (inteiro ≥ 1)</t>
        </is>
      </c>
      <c r="D349" s="8" t="inlineStr">
        <is>
          <t>custos[5].duracao_meses</t>
        </is>
      </c>
    </row>
    <row r="350">
      <c r="A350" s="15" t="inlineStr">
        <is>
          <t>Custo 6</t>
        </is>
      </c>
    </row>
    <row r="351">
      <c r="A351" s="5" t="inlineStr">
        <is>
          <t>Custo 6 — Grupo</t>
        </is>
      </c>
      <c r="B351" s="6" t="n"/>
      <c r="C351" s="7" t="inlineStr">
        <is>
          <t>lista: terreno | obra | diretos | indireto | financeiro</t>
        </is>
      </c>
      <c r="D351" s="8" t="inlineStr">
        <is>
          <t>custos[6].grupo</t>
        </is>
      </c>
    </row>
    <row r="352">
      <c r="A352" s="5" t="inlineStr">
        <is>
          <t>Custo 6 — Categoria</t>
        </is>
      </c>
      <c r="B352" s="6" t="n"/>
      <c r="C352" s="7" t="inlineStr">
        <is>
          <t>ver tabela acima</t>
        </is>
      </c>
      <c r="D352" s="8" t="inlineStr">
        <is>
          <t>custos[6].categoria</t>
        </is>
      </c>
    </row>
    <row r="353">
      <c r="A353" s="5" t="inlineStr">
        <is>
          <t>Custo 6 — Subcategoria / descrição</t>
        </is>
      </c>
      <c r="B353" s="6" t="n"/>
      <c r="C353" s="7" t="inlineStr">
        <is>
          <t>Preço: Valor à vista | Parcelado; Outro: texto</t>
        </is>
      </c>
      <c r="D353" s="8" t="inlineStr">
        <is>
          <t>custos[6].subcategoria</t>
        </is>
      </c>
    </row>
    <row r="354">
      <c r="A354" s="5" t="inlineStr">
        <is>
          <t>Custo 6 — Unidade</t>
        </is>
      </c>
      <c r="B354" s="6" t="n"/>
      <c r="C354" s="7" t="inlineStr">
        <is>
          <t>lista: rs | rs_m2_priv | rs_m2_terreno | pct_vgv | pct_obra | pct_recebido | pct_constr</t>
        </is>
      </c>
      <c r="D354" s="8" t="inlineStr">
        <is>
          <t>custos[6].unidade</t>
        </is>
      </c>
    </row>
    <row r="355">
      <c r="A355" s="5" t="inlineStr">
        <is>
          <t>Custo 6 — Valor (R$ ou R$/m²)</t>
        </is>
      </c>
      <c r="B355" s="16" t="n"/>
      <c r="C355" s="7">
        <f>IF($B$354="","escolha a Unidade acima",IF($B$354="rs","R$ (valor cheio)",IF($B$354="rs_m2_priv","R$/m² privativo (fechada+aberta)",IF($B$354="rs_m2_terreno","R$/m² de terreno",IF(LEFT($B$354,3)="pct","— (use a linha de %)","unidade inválida")))))</f>
        <v/>
      </c>
      <c r="D355" s="8" t="inlineStr">
        <is>
          <t>custos[6].valor_rs</t>
        </is>
      </c>
    </row>
    <row r="356">
      <c r="A356" s="5" t="inlineStr">
        <is>
          <t>Custo 6 — Valor (%)</t>
        </is>
      </c>
      <c r="B356" s="11" t="n"/>
      <c r="C356" s="7">
        <f>IF($B$354="","escolha a Unidade acima",IF($B$354="pct_vgv","% do VGV",IF($B$354="pct_receita","% da receita líquida (RET, sem juros)",IF($B$354="pct_obra","% da obra (grupo Obras inteiro)",IF($B$354="pct_recebido","% do recebido (com juros de tabela)",IF($B$354="pct_constr","% da construção (constr.+decor.+gestão da obra)",IF(LEFT($B$354,2)="rs","— (use a linha de R$)","unidade inválida"))))))</f>
        <v/>
      </c>
      <c r="D356" s="8" t="inlineStr">
        <is>
          <t>custos[6].valor_pct</t>
        </is>
      </c>
    </row>
    <row r="357">
      <c r="A357" s="5" t="inlineStr">
        <is>
          <t>Custo 6 — Distribuição</t>
        </is>
      </c>
      <c r="B357" s="6" t="n"/>
      <c r="C357" s="7" t="inlineStr">
        <is>
          <t>Linear | nome de uma curva do catálogo (ex.: Curva S) | unit_delivery | sales_revenue</t>
        </is>
      </c>
      <c r="D357" s="8" t="inlineStr">
        <is>
          <t>custos[6].distribuicao</t>
        </is>
      </c>
    </row>
    <row r="358">
      <c r="A358" s="5" t="inlineStr">
        <is>
          <t>Custo 6 — Cronograma</t>
        </is>
      </c>
      <c r="B358" s="6" t="n"/>
      <c r="C358" s="7" t="inlineStr">
        <is>
          <t>evento, customizado ou "fase: &lt;nome&gt;"</t>
        </is>
      </c>
      <c r="D358" s="8" t="inlineStr">
        <is>
          <t>custos[6].cronograma</t>
        </is>
      </c>
    </row>
    <row r="359">
      <c r="A359" s="5" t="inlineStr">
        <is>
          <t>Custo 6 — Início (só customizado)</t>
        </is>
      </c>
      <c r="B359" s="14" t="n"/>
      <c r="C359" s="7" t="inlineStr">
        <is>
          <t>mês (inteiro ≥ 0)</t>
        </is>
      </c>
      <c r="D359" s="8" t="inlineStr">
        <is>
          <t>custos[6].inicio_mes</t>
        </is>
      </c>
    </row>
    <row r="360">
      <c r="A360" s="5" t="inlineStr">
        <is>
          <t>Custo 6 — Duração (só customizado)</t>
        </is>
      </c>
      <c r="B360" s="14" t="n"/>
      <c r="C360" s="7" t="inlineStr">
        <is>
          <t>meses (inteiro ≥ 1)</t>
        </is>
      </c>
      <c r="D360" s="8" t="inlineStr">
        <is>
          <t>custos[6].duracao_meses</t>
        </is>
      </c>
    </row>
    <row r="361">
      <c r="A361" s="15" t="inlineStr">
        <is>
          <t>Custo 7</t>
        </is>
      </c>
    </row>
    <row r="362">
      <c r="A362" s="5" t="inlineStr">
        <is>
          <t>Custo 7 — Grupo</t>
        </is>
      </c>
      <c r="B362" s="6" t="n"/>
      <c r="C362" s="7" t="inlineStr">
        <is>
          <t>lista: terreno | obra | diretos | indireto | financeiro</t>
        </is>
      </c>
      <c r="D362" s="8" t="inlineStr">
        <is>
          <t>custos[7].grupo</t>
        </is>
      </c>
    </row>
    <row r="363">
      <c r="A363" s="5" t="inlineStr">
        <is>
          <t>Custo 7 — Categoria</t>
        </is>
      </c>
      <c r="B363" s="6" t="n"/>
      <c r="C363" s="7" t="inlineStr">
        <is>
          <t>ver tabela acima</t>
        </is>
      </c>
      <c r="D363" s="8" t="inlineStr">
        <is>
          <t>custos[7].categoria</t>
        </is>
      </c>
    </row>
    <row r="364">
      <c r="A364" s="5" t="inlineStr">
        <is>
          <t>Custo 7 — Subcategoria / descrição</t>
        </is>
      </c>
      <c r="B364" s="6" t="n"/>
      <c r="C364" s="7" t="inlineStr">
        <is>
          <t>Preço: Valor à vista | Parcelado; Outro: texto</t>
        </is>
      </c>
      <c r="D364" s="8" t="inlineStr">
        <is>
          <t>custos[7].subcategoria</t>
        </is>
      </c>
    </row>
    <row r="365">
      <c r="A365" s="5" t="inlineStr">
        <is>
          <t>Custo 7 — Unidade</t>
        </is>
      </c>
      <c r="B365" s="6" t="n"/>
      <c r="C365" s="7" t="inlineStr">
        <is>
          <t>lista: rs | rs_m2_priv | rs_m2_terreno | pct_vgv | pct_obra | pct_recebido | pct_constr</t>
        </is>
      </c>
      <c r="D365" s="8" t="inlineStr">
        <is>
          <t>custos[7].unidade</t>
        </is>
      </c>
    </row>
    <row r="366">
      <c r="A366" s="5" t="inlineStr">
        <is>
          <t>Custo 7 — Valor (R$ ou R$/m²)</t>
        </is>
      </c>
      <c r="B366" s="16" t="n"/>
      <c r="C366" s="7">
        <f>IF($B$365="","escolha a Unidade acima",IF($B$365="rs","R$ (valor cheio)",IF($B$365="rs_m2_priv","R$/m² privativo (fechada+aberta)",IF($B$365="rs_m2_terreno","R$/m² de terreno",IF(LEFT($B$365,3)="pct","— (use a linha de %)","unidade inválida")))))</f>
        <v/>
      </c>
      <c r="D366" s="8" t="inlineStr">
        <is>
          <t>custos[7].valor_rs</t>
        </is>
      </c>
    </row>
    <row r="367">
      <c r="A367" s="5" t="inlineStr">
        <is>
          <t>Custo 7 — Valor (%)</t>
        </is>
      </c>
      <c r="B367" s="11" t="n"/>
      <c r="C367" s="7">
        <f>IF($B$365="","escolha a Unidade acima",IF($B$365="pct_vgv","% do VGV",IF($B$365="pct_receita","% da receita líquida (RET, sem juros)",IF($B$365="pct_obra","% da obra (grupo Obras inteiro)",IF($B$365="pct_recebido","% do recebido (com juros de tabela)",IF($B$365="pct_constr","% da construção (constr.+decor.+gestão da obra)",IF(LEFT($B$365,2)="rs","— (use a linha de R$)","unidade inválida"))))))</f>
        <v/>
      </c>
      <c r="D367" s="8" t="inlineStr">
        <is>
          <t>custos[7].valor_pct</t>
        </is>
      </c>
    </row>
    <row r="368">
      <c r="A368" s="5" t="inlineStr">
        <is>
          <t>Custo 7 — Distribuição</t>
        </is>
      </c>
      <c r="B368" s="6" t="n"/>
      <c r="C368" s="7" t="inlineStr">
        <is>
          <t>Linear | nome de uma curva do catálogo (ex.: Curva S) | unit_delivery | sales_revenue</t>
        </is>
      </c>
      <c r="D368" s="8" t="inlineStr">
        <is>
          <t>custos[7].distribuicao</t>
        </is>
      </c>
    </row>
    <row r="369">
      <c r="A369" s="5" t="inlineStr">
        <is>
          <t>Custo 7 — Cronograma</t>
        </is>
      </c>
      <c r="B369" s="6" t="n"/>
      <c r="C369" s="7" t="inlineStr">
        <is>
          <t>evento, customizado ou "fase: &lt;nome&gt;"</t>
        </is>
      </c>
      <c r="D369" s="8" t="inlineStr">
        <is>
          <t>custos[7].cronograma</t>
        </is>
      </c>
    </row>
    <row r="370">
      <c r="A370" s="5" t="inlineStr">
        <is>
          <t>Custo 7 — Início (só customizado)</t>
        </is>
      </c>
      <c r="B370" s="14" t="n"/>
      <c r="C370" s="7" t="inlineStr">
        <is>
          <t>mês (inteiro ≥ 0)</t>
        </is>
      </c>
      <c r="D370" s="8" t="inlineStr">
        <is>
          <t>custos[7].inicio_mes</t>
        </is>
      </c>
    </row>
    <row r="371">
      <c r="A371" s="5" t="inlineStr">
        <is>
          <t>Custo 7 — Duração (só customizado)</t>
        </is>
      </c>
      <c r="B371" s="14" t="n"/>
      <c r="C371" s="7" t="inlineStr">
        <is>
          <t>meses (inteiro ≥ 1)</t>
        </is>
      </c>
      <c r="D371" s="8" t="inlineStr">
        <is>
          <t>custos[7].duracao_meses</t>
        </is>
      </c>
    </row>
    <row r="372">
      <c r="A372" s="15" t="inlineStr">
        <is>
          <t>Custo 8</t>
        </is>
      </c>
    </row>
    <row r="373">
      <c r="A373" s="5" t="inlineStr">
        <is>
          <t>Custo 8 — Grupo</t>
        </is>
      </c>
      <c r="B373" s="6" t="n"/>
      <c r="C373" s="7" t="inlineStr">
        <is>
          <t>lista: terreno | obra | diretos | indireto | financeiro</t>
        </is>
      </c>
      <c r="D373" s="8" t="inlineStr">
        <is>
          <t>custos[8].grupo</t>
        </is>
      </c>
    </row>
    <row r="374">
      <c r="A374" s="5" t="inlineStr">
        <is>
          <t>Custo 8 — Categoria</t>
        </is>
      </c>
      <c r="B374" s="6" t="n"/>
      <c r="C374" s="7" t="inlineStr">
        <is>
          <t>ver tabela acima</t>
        </is>
      </c>
      <c r="D374" s="8" t="inlineStr">
        <is>
          <t>custos[8].categoria</t>
        </is>
      </c>
    </row>
    <row r="375">
      <c r="A375" s="5" t="inlineStr">
        <is>
          <t>Custo 8 — Subcategoria / descrição</t>
        </is>
      </c>
      <c r="B375" s="6" t="n"/>
      <c r="C375" s="7" t="inlineStr">
        <is>
          <t>Preço: Valor à vista | Parcelado; Outro: texto</t>
        </is>
      </c>
      <c r="D375" s="8" t="inlineStr">
        <is>
          <t>custos[8].subcategoria</t>
        </is>
      </c>
    </row>
    <row r="376">
      <c r="A376" s="5" t="inlineStr">
        <is>
          <t>Custo 8 — Unidade</t>
        </is>
      </c>
      <c r="B376" s="6" t="n"/>
      <c r="C376" s="7" t="inlineStr">
        <is>
          <t>lista: rs | rs_m2_priv | rs_m2_terreno | pct_vgv | pct_obra | pct_recebido | pct_constr</t>
        </is>
      </c>
      <c r="D376" s="8" t="inlineStr">
        <is>
          <t>custos[8].unidade</t>
        </is>
      </c>
    </row>
    <row r="377">
      <c r="A377" s="5" t="inlineStr">
        <is>
          <t>Custo 8 — Valor (R$ ou R$/m²)</t>
        </is>
      </c>
      <c r="B377" s="16" t="n"/>
      <c r="C377" s="7">
        <f>IF($B$376="","escolha a Unidade acima",IF($B$376="rs","R$ (valor cheio)",IF($B$376="rs_m2_priv","R$/m² privativo (fechada+aberta)",IF($B$376="rs_m2_terreno","R$/m² de terreno",IF(LEFT($B$376,3)="pct","— (use a linha de %)","unidade inválida")))))</f>
        <v/>
      </c>
      <c r="D377" s="8" t="inlineStr">
        <is>
          <t>custos[8].valor_rs</t>
        </is>
      </c>
    </row>
    <row r="378">
      <c r="A378" s="5" t="inlineStr">
        <is>
          <t>Custo 8 — Valor (%)</t>
        </is>
      </c>
      <c r="B378" s="11" t="n"/>
      <c r="C378" s="7">
        <f>IF($B$376="","escolha a Unidade acima",IF($B$376="pct_vgv","% do VGV",IF($B$376="pct_receita","% da receita líquida (RET, sem juros)",IF($B$376="pct_obra","% da obra (grupo Obras inteiro)",IF($B$376="pct_recebido","% do recebido (com juros de tabela)",IF($B$376="pct_constr","% da construção (constr.+decor.+gestão da obra)",IF(LEFT($B$376,2)="rs","— (use a linha de R$)","unidade inválida"))))))</f>
        <v/>
      </c>
      <c r="D378" s="8" t="inlineStr">
        <is>
          <t>custos[8].valor_pct</t>
        </is>
      </c>
    </row>
    <row r="379">
      <c r="A379" s="5" t="inlineStr">
        <is>
          <t>Custo 8 — Distribuição</t>
        </is>
      </c>
      <c r="B379" s="6" t="n"/>
      <c r="C379" s="7" t="inlineStr">
        <is>
          <t>Linear | nome de uma curva do catálogo (ex.: Curva S) | unit_delivery | sales_revenue</t>
        </is>
      </c>
      <c r="D379" s="8" t="inlineStr">
        <is>
          <t>custos[8].distribuicao</t>
        </is>
      </c>
    </row>
    <row r="380">
      <c r="A380" s="5" t="inlineStr">
        <is>
          <t>Custo 8 — Cronograma</t>
        </is>
      </c>
      <c r="B380" s="6" t="n"/>
      <c r="C380" s="7" t="inlineStr">
        <is>
          <t>evento, customizado ou "fase: &lt;nome&gt;"</t>
        </is>
      </c>
      <c r="D380" s="8" t="inlineStr">
        <is>
          <t>custos[8].cronograma</t>
        </is>
      </c>
    </row>
    <row r="381">
      <c r="A381" s="5" t="inlineStr">
        <is>
          <t>Custo 8 — Início (só customizado)</t>
        </is>
      </c>
      <c r="B381" s="14" t="n"/>
      <c r="C381" s="7" t="inlineStr">
        <is>
          <t>mês (inteiro ≥ 0)</t>
        </is>
      </c>
      <c r="D381" s="8" t="inlineStr">
        <is>
          <t>custos[8].inicio_mes</t>
        </is>
      </c>
    </row>
    <row r="382">
      <c r="A382" s="5" t="inlineStr">
        <is>
          <t>Custo 8 — Duração (só customizado)</t>
        </is>
      </c>
      <c r="B382" s="14" t="n"/>
      <c r="C382" s="7" t="inlineStr">
        <is>
          <t>meses (inteiro ≥ 1)</t>
        </is>
      </c>
      <c r="D382" s="8" t="inlineStr">
        <is>
          <t>custos[8].duracao_meses</t>
        </is>
      </c>
    </row>
    <row r="383">
      <c r="A383" s="15" t="inlineStr">
        <is>
          <t>Custo 9</t>
        </is>
      </c>
    </row>
    <row r="384">
      <c r="A384" s="5" t="inlineStr">
        <is>
          <t>Custo 9 — Grupo</t>
        </is>
      </c>
      <c r="B384" s="6" t="n"/>
      <c r="C384" s="7" t="inlineStr">
        <is>
          <t>lista: terreno | obra | diretos | indireto | financeiro</t>
        </is>
      </c>
      <c r="D384" s="8" t="inlineStr">
        <is>
          <t>custos[9].grupo</t>
        </is>
      </c>
    </row>
    <row r="385">
      <c r="A385" s="5" t="inlineStr">
        <is>
          <t>Custo 9 — Categoria</t>
        </is>
      </c>
      <c r="B385" s="6" t="n"/>
      <c r="C385" s="7" t="inlineStr">
        <is>
          <t>ver tabela acima</t>
        </is>
      </c>
      <c r="D385" s="8" t="inlineStr">
        <is>
          <t>custos[9].categoria</t>
        </is>
      </c>
    </row>
    <row r="386">
      <c r="A386" s="5" t="inlineStr">
        <is>
          <t>Custo 9 — Subcategoria / descrição</t>
        </is>
      </c>
      <c r="B386" s="6" t="n"/>
      <c r="C386" s="7" t="inlineStr">
        <is>
          <t>Preço: Valor à vista | Parcelado; Outro: texto</t>
        </is>
      </c>
      <c r="D386" s="8" t="inlineStr">
        <is>
          <t>custos[9].subcategoria</t>
        </is>
      </c>
    </row>
    <row r="387">
      <c r="A387" s="5" t="inlineStr">
        <is>
          <t>Custo 9 — Unidade</t>
        </is>
      </c>
      <c r="B387" s="6" t="n"/>
      <c r="C387" s="7" t="inlineStr">
        <is>
          <t>lista: rs | rs_m2_priv | rs_m2_terreno | pct_vgv | pct_obra | pct_recebido | pct_constr</t>
        </is>
      </c>
      <c r="D387" s="8" t="inlineStr">
        <is>
          <t>custos[9].unidade</t>
        </is>
      </c>
    </row>
    <row r="388">
      <c r="A388" s="5" t="inlineStr">
        <is>
          <t>Custo 9 — Valor (R$ ou R$/m²)</t>
        </is>
      </c>
      <c r="B388" s="16" t="n"/>
      <c r="C388" s="7">
        <f>IF($B$387="","escolha a Unidade acima",IF($B$387="rs","R$ (valor cheio)",IF($B$387="rs_m2_priv","R$/m² privativo (fechada+aberta)",IF($B$387="rs_m2_terreno","R$/m² de terreno",IF(LEFT($B$387,3)="pct","— (use a linha de %)","unidade inválida")))))</f>
        <v/>
      </c>
      <c r="D388" s="8" t="inlineStr">
        <is>
          <t>custos[9].valor_rs</t>
        </is>
      </c>
    </row>
    <row r="389">
      <c r="A389" s="5" t="inlineStr">
        <is>
          <t>Custo 9 — Valor (%)</t>
        </is>
      </c>
      <c r="B389" s="11" t="n"/>
      <c r="C389" s="7">
        <f>IF($B$387="","escolha a Unidade acima",IF($B$387="pct_vgv","% do VGV",IF($B$387="pct_receita","% da receita líquida (RET, sem juros)",IF($B$387="pct_obra","% da obra (grupo Obras inteiro)",IF($B$387="pct_recebido","% do recebido (com juros de tabela)",IF($B$387="pct_constr","% da construção (constr.+decor.+gestão da obra)",IF(LEFT($B$387,2)="rs","— (use a linha de R$)","unidade inválida"))))))</f>
        <v/>
      </c>
      <c r="D389" s="8" t="inlineStr">
        <is>
          <t>custos[9].valor_pct</t>
        </is>
      </c>
    </row>
    <row r="390">
      <c r="A390" s="5" t="inlineStr">
        <is>
          <t>Custo 9 — Distribuição</t>
        </is>
      </c>
      <c r="B390" s="6" t="n"/>
      <c r="C390" s="7" t="inlineStr">
        <is>
          <t>Linear | nome de uma curva do catálogo (ex.: Curva S) | unit_delivery | sales_revenue</t>
        </is>
      </c>
      <c r="D390" s="8" t="inlineStr">
        <is>
          <t>custos[9].distribuicao</t>
        </is>
      </c>
    </row>
    <row r="391">
      <c r="A391" s="5" t="inlineStr">
        <is>
          <t>Custo 9 — Cronograma</t>
        </is>
      </c>
      <c r="B391" s="6" t="n"/>
      <c r="C391" s="7" t="inlineStr">
        <is>
          <t>evento, customizado ou "fase: &lt;nome&gt;"</t>
        </is>
      </c>
      <c r="D391" s="8" t="inlineStr">
        <is>
          <t>custos[9].cronograma</t>
        </is>
      </c>
    </row>
    <row r="392">
      <c r="A392" s="5" t="inlineStr">
        <is>
          <t>Custo 9 — Início (só customizado)</t>
        </is>
      </c>
      <c r="B392" s="14" t="n"/>
      <c r="C392" s="7" t="inlineStr">
        <is>
          <t>mês (inteiro ≥ 0)</t>
        </is>
      </c>
      <c r="D392" s="8" t="inlineStr">
        <is>
          <t>custos[9].inicio_mes</t>
        </is>
      </c>
    </row>
    <row r="393">
      <c r="A393" s="5" t="inlineStr">
        <is>
          <t>Custo 9 — Duração (só customizado)</t>
        </is>
      </c>
      <c r="B393" s="14" t="n"/>
      <c r="C393" s="7" t="inlineStr">
        <is>
          <t>meses (inteiro ≥ 1)</t>
        </is>
      </c>
      <c r="D393" s="8" t="inlineStr">
        <is>
          <t>custos[9].duracao_meses</t>
        </is>
      </c>
    </row>
    <row r="394">
      <c r="A394" s="15" t="inlineStr">
        <is>
          <t>Custo 10</t>
        </is>
      </c>
    </row>
    <row r="395">
      <c r="A395" s="5" t="inlineStr">
        <is>
          <t>Custo 10 — Grupo</t>
        </is>
      </c>
      <c r="B395" s="6" t="n"/>
      <c r="C395" s="7" t="inlineStr">
        <is>
          <t>lista: terreno | obra | diretos | indireto | financeiro</t>
        </is>
      </c>
      <c r="D395" s="8" t="inlineStr">
        <is>
          <t>custos[10].grupo</t>
        </is>
      </c>
    </row>
    <row r="396">
      <c r="A396" s="5" t="inlineStr">
        <is>
          <t>Custo 10 — Categoria</t>
        </is>
      </c>
      <c r="B396" s="6" t="n"/>
      <c r="C396" s="7" t="inlineStr">
        <is>
          <t>ver tabela acima</t>
        </is>
      </c>
      <c r="D396" s="8" t="inlineStr">
        <is>
          <t>custos[10].categoria</t>
        </is>
      </c>
    </row>
    <row r="397">
      <c r="A397" s="5" t="inlineStr">
        <is>
          <t>Custo 10 — Subcategoria / descrição</t>
        </is>
      </c>
      <c r="B397" s="6" t="n"/>
      <c r="C397" s="7" t="inlineStr">
        <is>
          <t>Preço: Valor à vista | Parcelado; Outro: texto</t>
        </is>
      </c>
      <c r="D397" s="8" t="inlineStr">
        <is>
          <t>custos[10].subcategoria</t>
        </is>
      </c>
    </row>
    <row r="398">
      <c r="A398" s="5" t="inlineStr">
        <is>
          <t>Custo 10 — Unidade</t>
        </is>
      </c>
      <c r="B398" s="6" t="n"/>
      <c r="C398" s="7" t="inlineStr">
        <is>
          <t>lista: rs | rs_m2_priv | rs_m2_terreno | pct_vgv | pct_obra | pct_recebido | pct_constr</t>
        </is>
      </c>
      <c r="D398" s="8" t="inlineStr">
        <is>
          <t>custos[10].unidade</t>
        </is>
      </c>
    </row>
    <row r="399">
      <c r="A399" s="5" t="inlineStr">
        <is>
          <t>Custo 10 — Valor (R$ ou R$/m²)</t>
        </is>
      </c>
      <c r="B399" s="16" t="n"/>
      <c r="C399" s="7">
        <f>IF($B$398="","escolha a Unidade acima",IF($B$398="rs","R$ (valor cheio)",IF($B$398="rs_m2_priv","R$/m² privativo (fechada+aberta)",IF($B$398="rs_m2_terreno","R$/m² de terreno",IF(LEFT($B$398,3)="pct","— (use a linha de %)","unidade inválida")))))</f>
        <v/>
      </c>
      <c r="D399" s="8" t="inlineStr">
        <is>
          <t>custos[10].valor_rs</t>
        </is>
      </c>
    </row>
    <row r="400">
      <c r="A400" s="5" t="inlineStr">
        <is>
          <t>Custo 10 — Valor (%)</t>
        </is>
      </c>
      <c r="B400" s="11" t="n"/>
      <c r="C400" s="7">
        <f>IF($B$398="","escolha a Unidade acima",IF($B$398="pct_vgv","% do VGV",IF($B$398="pct_receita","% da receita líquida (RET, sem juros)",IF($B$398="pct_obra","% da obra (grupo Obras inteiro)",IF($B$398="pct_recebido","% do recebido (com juros de tabela)",IF($B$398="pct_constr","% da construção (constr.+decor.+gestão da obra)",IF(LEFT($B$398,2)="rs","— (use a linha de R$)","unidade inválida"))))))</f>
        <v/>
      </c>
      <c r="D400" s="8" t="inlineStr">
        <is>
          <t>custos[10].valor_pct</t>
        </is>
      </c>
    </row>
    <row r="401">
      <c r="A401" s="5" t="inlineStr">
        <is>
          <t>Custo 10 — Distribuição</t>
        </is>
      </c>
      <c r="B401" s="6" t="n"/>
      <c r="C401" s="7" t="inlineStr">
        <is>
          <t>Linear | nome de uma curva do catálogo (ex.: Curva S) | unit_delivery | sales_revenue</t>
        </is>
      </c>
      <c r="D401" s="8" t="inlineStr">
        <is>
          <t>custos[10].distribuicao</t>
        </is>
      </c>
    </row>
    <row r="402">
      <c r="A402" s="5" t="inlineStr">
        <is>
          <t>Custo 10 — Cronograma</t>
        </is>
      </c>
      <c r="B402" s="6" t="n"/>
      <c r="C402" s="7" t="inlineStr">
        <is>
          <t>evento, customizado ou "fase: &lt;nome&gt;"</t>
        </is>
      </c>
      <c r="D402" s="8" t="inlineStr">
        <is>
          <t>custos[10].cronograma</t>
        </is>
      </c>
    </row>
    <row r="403">
      <c r="A403" s="5" t="inlineStr">
        <is>
          <t>Custo 10 — Início (só customizado)</t>
        </is>
      </c>
      <c r="B403" s="14" t="n"/>
      <c r="C403" s="7" t="inlineStr">
        <is>
          <t>mês (inteiro ≥ 0)</t>
        </is>
      </c>
      <c r="D403" s="8" t="inlineStr">
        <is>
          <t>custos[10].inicio_mes</t>
        </is>
      </c>
    </row>
    <row r="404">
      <c r="A404" s="5" t="inlineStr">
        <is>
          <t>Custo 10 — Duração (só customizado)</t>
        </is>
      </c>
      <c r="B404" s="14" t="n"/>
      <c r="C404" s="7" t="inlineStr">
        <is>
          <t>meses (inteiro ≥ 1)</t>
        </is>
      </c>
      <c r="D404" s="8" t="inlineStr">
        <is>
          <t>custos[10].duracao_meses</t>
        </is>
      </c>
    </row>
    <row r="405">
      <c r="A405" s="15" t="inlineStr">
        <is>
          <t>Custo 11</t>
        </is>
      </c>
    </row>
    <row r="406">
      <c r="A406" s="5" t="inlineStr">
        <is>
          <t>Custo 11 — Grupo</t>
        </is>
      </c>
      <c r="B406" s="6" t="n"/>
      <c r="C406" s="7" t="inlineStr">
        <is>
          <t>lista: terreno | obra | diretos | indireto | financeiro</t>
        </is>
      </c>
      <c r="D406" s="8" t="inlineStr">
        <is>
          <t>custos[11].grupo</t>
        </is>
      </c>
    </row>
    <row r="407">
      <c r="A407" s="5" t="inlineStr">
        <is>
          <t>Custo 11 — Categoria</t>
        </is>
      </c>
      <c r="B407" s="6" t="n"/>
      <c r="C407" s="7" t="inlineStr">
        <is>
          <t>ver tabela acima</t>
        </is>
      </c>
      <c r="D407" s="8" t="inlineStr">
        <is>
          <t>custos[11].categoria</t>
        </is>
      </c>
    </row>
    <row r="408">
      <c r="A408" s="5" t="inlineStr">
        <is>
          <t>Custo 11 — Subcategoria / descrição</t>
        </is>
      </c>
      <c r="B408" s="6" t="n"/>
      <c r="C408" s="7" t="inlineStr">
        <is>
          <t>Preço: Valor à vista | Parcelado; Outro: texto</t>
        </is>
      </c>
      <c r="D408" s="8" t="inlineStr">
        <is>
          <t>custos[11].subcategoria</t>
        </is>
      </c>
    </row>
    <row r="409">
      <c r="A409" s="5" t="inlineStr">
        <is>
          <t>Custo 11 — Unidade</t>
        </is>
      </c>
      <c r="B409" s="6" t="n"/>
      <c r="C409" s="7" t="inlineStr">
        <is>
          <t>lista: rs | rs_m2_priv | rs_m2_terreno | pct_vgv | pct_obra | pct_recebido | pct_constr</t>
        </is>
      </c>
      <c r="D409" s="8" t="inlineStr">
        <is>
          <t>custos[11].unidade</t>
        </is>
      </c>
    </row>
    <row r="410">
      <c r="A410" s="5" t="inlineStr">
        <is>
          <t>Custo 11 — Valor (R$ ou R$/m²)</t>
        </is>
      </c>
      <c r="B410" s="16" t="n"/>
      <c r="C410" s="7">
        <f>IF($B$409="","escolha a Unidade acima",IF($B$409="rs","R$ (valor cheio)",IF($B$409="rs_m2_priv","R$/m² privativo (fechada+aberta)",IF($B$409="rs_m2_terreno","R$/m² de terreno",IF(LEFT($B$409,3)="pct","— (use a linha de %)","unidade inválida")))))</f>
        <v/>
      </c>
      <c r="D410" s="8" t="inlineStr">
        <is>
          <t>custos[11].valor_rs</t>
        </is>
      </c>
    </row>
    <row r="411">
      <c r="A411" s="5" t="inlineStr">
        <is>
          <t>Custo 11 — Valor (%)</t>
        </is>
      </c>
      <c r="B411" s="11" t="n"/>
      <c r="C411" s="7">
        <f>IF($B$409="","escolha a Unidade acima",IF($B$409="pct_vgv","% do VGV",IF($B$409="pct_receita","% da receita líquida (RET, sem juros)",IF($B$409="pct_obra","% da obra (grupo Obras inteiro)",IF($B$409="pct_recebido","% do recebido (com juros de tabela)",IF($B$409="pct_constr","% da construção (constr.+decor.+gestão da obra)",IF(LEFT($B$409,2)="rs","— (use a linha de R$)","unidade inválida"))))))</f>
        <v/>
      </c>
      <c r="D411" s="8" t="inlineStr">
        <is>
          <t>custos[11].valor_pct</t>
        </is>
      </c>
    </row>
    <row r="412">
      <c r="A412" s="5" t="inlineStr">
        <is>
          <t>Custo 11 — Distribuição</t>
        </is>
      </c>
      <c r="B412" s="6" t="n"/>
      <c r="C412" s="7" t="inlineStr">
        <is>
          <t>Linear | nome de uma curva do catálogo (ex.: Curva S) | unit_delivery | sales_revenue</t>
        </is>
      </c>
      <c r="D412" s="8" t="inlineStr">
        <is>
          <t>custos[11].distribuicao</t>
        </is>
      </c>
    </row>
    <row r="413">
      <c r="A413" s="5" t="inlineStr">
        <is>
          <t>Custo 11 — Cronograma</t>
        </is>
      </c>
      <c r="B413" s="6" t="n"/>
      <c r="C413" s="7" t="inlineStr">
        <is>
          <t>evento, customizado ou "fase: &lt;nome&gt;"</t>
        </is>
      </c>
      <c r="D413" s="8" t="inlineStr">
        <is>
          <t>custos[11].cronograma</t>
        </is>
      </c>
    </row>
    <row r="414">
      <c r="A414" s="5" t="inlineStr">
        <is>
          <t>Custo 11 — Início (só customizado)</t>
        </is>
      </c>
      <c r="B414" s="14" t="n"/>
      <c r="C414" s="7" t="inlineStr">
        <is>
          <t>mês (inteiro ≥ 0)</t>
        </is>
      </c>
      <c r="D414" s="8" t="inlineStr">
        <is>
          <t>custos[11].inicio_mes</t>
        </is>
      </c>
    </row>
    <row r="415">
      <c r="A415" s="5" t="inlineStr">
        <is>
          <t>Custo 11 — Duração (só customizado)</t>
        </is>
      </c>
      <c r="B415" s="14" t="n"/>
      <c r="C415" s="7" t="inlineStr">
        <is>
          <t>meses (inteiro ≥ 1)</t>
        </is>
      </c>
      <c r="D415" s="8" t="inlineStr">
        <is>
          <t>custos[11].duracao_meses</t>
        </is>
      </c>
    </row>
    <row r="416">
      <c r="A416" s="15" t="inlineStr">
        <is>
          <t>Custo 12</t>
        </is>
      </c>
    </row>
    <row r="417">
      <c r="A417" s="5" t="inlineStr">
        <is>
          <t>Custo 12 — Grupo</t>
        </is>
      </c>
      <c r="B417" s="6" t="n"/>
      <c r="C417" s="7" t="inlineStr">
        <is>
          <t>lista: terreno | obra | diretos | indireto | financeiro</t>
        </is>
      </c>
      <c r="D417" s="8" t="inlineStr">
        <is>
          <t>custos[12].grupo</t>
        </is>
      </c>
    </row>
    <row r="418">
      <c r="A418" s="5" t="inlineStr">
        <is>
          <t>Custo 12 — Categoria</t>
        </is>
      </c>
      <c r="B418" s="6" t="n"/>
      <c r="C418" s="7" t="inlineStr">
        <is>
          <t>ver tabela acima</t>
        </is>
      </c>
      <c r="D418" s="8" t="inlineStr">
        <is>
          <t>custos[12].categoria</t>
        </is>
      </c>
    </row>
    <row r="419">
      <c r="A419" s="5" t="inlineStr">
        <is>
          <t>Custo 12 — Subcategoria / descrição</t>
        </is>
      </c>
      <c r="B419" s="6" t="n"/>
      <c r="C419" s="7" t="inlineStr">
        <is>
          <t>Preço: Valor à vista | Parcelado; Outro: texto</t>
        </is>
      </c>
      <c r="D419" s="8" t="inlineStr">
        <is>
          <t>custos[12].subcategoria</t>
        </is>
      </c>
    </row>
    <row r="420">
      <c r="A420" s="5" t="inlineStr">
        <is>
          <t>Custo 12 — Unidade</t>
        </is>
      </c>
      <c r="B420" s="6" t="n"/>
      <c r="C420" s="7" t="inlineStr">
        <is>
          <t>lista: rs | rs_m2_priv | rs_m2_terreno | pct_vgv | pct_obra | pct_recebido | pct_constr</t>
        </is>
      </c>
      <c r="D420" s="8" t="inlineStr">
        <is>
          <t>custos[12].unidade</t>
        </is>
      </c>
    </row>
    <row r="421">
      <c r="A421" s="5" t="inlineStr">
        <is>
          <t>Custo 12 — Valor (R$ ou R$/m²)</t>
        </is>
      </c>
      <c r="B421" s="16" t="n"/>
      <c r="C421" s="7">
        <f>IF($B$420="","escolha a Unidade acima",IF($B$420="rs","R$ (valor cheio)",IF($B$420="rs_m2_priv","R$/m² privativo (fechada+aberta)",IF($B$420="rs_m2_terreno","R$/m² de terreno",IF(LEFT($B$420,3)="pct","— (use a linha de %)","unidade inválida")))))</f>
        <v/>
      </c>
      <c r="D421" s="8" t="inlineStr">
        <is>
          <t>custos[12].valor_rs</t>
        </is>
      </c>
    </row>
    <row r="422">
      <c r="A422" s="5" t="inlineStr">
        <is>
          <t>Custo 12 — Valor (%)</t>
        </is>
      </c>
      <c r="B422" s="11" t="n"/>
      <c r="C422" s="7">
        <f>IF($B$420="","escolha a Unidade acima",IF($B$420="pct_vgv","% do VGV",IF($B$420="pct_receita","% da receita líquida (RET, sem juros)",IF($B$420="pct_obra","% da obra (grupo Obras inteiro)",IF($B$420="pct_recebido","% do recebido (com juros de tabela)",IF($B$420="pct_constr","% da construção (constr.+decor.+gestão da obra)",IF(LEFT($B$420,2)="rs","— (use a linha de R$)","unidade inválida"))))))</f>
        <v/>
      </c>
      <c r="D422" s="8" t="inlineStr">
        <is>
          <t>custos[12].valor_pct</t>
        </is>
      </c>
    </row>
    <row r="423">
      <c r="A423" s="5" t="inlineStr">
        <is>
          <t>Custo 12 — Distribuição</t>
        </is>
      </c>
      <c r="B423" s="6" t="n"/>
      <c r="C423" s="7" t="inlineStr">
        <is>
          <t>Linear | nome de uma curva do catálogo (ex.: Curva S) | unit_delivery | sales_revenue</t>
        </is>
      </c>
      <c r="D423" s="8" t="inlineStr">
        <is>
          <t>custos[12].distribuicao</t>
        </is>
      </c>
    </row>
    <row r="424">
      <c r="A424" s="5" t="inlineStr">
        <is>
          <t>Custo 12 — Cronograma</t>
        </is>
      </c>
      <c r="B424" s="6" t="n"/>
      <c r="C424" s="7" t="inlineStr">
        <is>
          <t>evento, customizado ou "fase: &lt;nome&gt;"</t>
        </is>
      </c>
      <c r="D424" s="8" t="inlineStr">
        <is>
          <t>custos[12].cronograma</t>
        </is>
      </c>
    </row>
    <row r="425">
      <c r="A425" s="5" t="inlineStr">
        <is>
          <t>Custo 12 — Início (só customizado)</t>
        </is>
      </c>
      <c r="B425" s="14" t="n"/>
      <c r="C425" s="7" t="inlineStr">
        <is>
          <t>mês (inteiro ≥ 0)</t>
        </is>
      </c>
      <c r="D425" s="8" t="inlineStr">
        <is>
          <t>custos[12].inicio_mes</t>
        </is>
      </c>
    </row>
    <row r="426">
      <c r="A426" s="5" t="inlineStr">
        <is>
          <t>Custo 12 — Duração (só customizado)</t>
        </is>
      </c>
      <c r="B426" s="14" t="n"/>
      <c r="C426" s="7" t="inlineStr">
        <is>
          <t>meses (inteiro ≥ 1)</t>
        </is>
      </c>
      <c r="D426" s="8" t="inlineStr">
        <is>
          <t>custos[12].duracao_meses</t>
        </is>
      </c>
    </row>
    <row r="427">
      <c r="A427" s="15" t="inlineStr">
        <is>
          <t>Custo 13</t>
        </is>
      </c>
    </row>
    <row r="428">
      <c r="A428" s="5" t="inlineStr">
        <is>
          <t>Custo 13 — Grupo</t>
        </is>
      </c>
      <c r="B428" s="6" t="n"/>
      <c r="C428" s="7" t="inlineStr">
        <is>
          <t>lista: terreno | obra | diretos | indireto | financeiro</t>
        </is>
      </c>
      <c r="D428" s="8" t="inlineStr">
        <is>
          <t>custos[13].grupo</t>
        </is>
      </c>
    </row>
    <row r="429">
      <c r="A429" s="5" t="inlineStr">
        <is>
          <t>Custo 13 — Categoria</t>
        </is>
      </c>
      <c r="B429" s="6" t="n"/>
      <c r="C429" s="7" t="inlineStr">
        <is>
          <t>ver tabela acima</t>
        </is>
      </c>
      <c r="D429" s="8" t="inlineStr">
        <is>
          <t>custos[13].categoria</t>
        </is>
      </c>
    </row>
    <row r="430">
      <c r="A430" s="5" t="inlineStr">
        <is>
          <t>Custo 13 — Subcategoria / descrição</t>
        </is>
      </c>
      <c r="B430" s="6" t="n"/>
      <c r="C430" s="7" t="inlineStr">
        <is>
          <t>Preço: Valor à vista | Parcelado; Outro: texto</t>
        </is>
      </c>
      <c r="D430" s="8" t="inlineStr">
        <is>
          <t>custos[13].subcategoria</t>
        </is>
      </c>
    </row>
    <row r="431">
      <c r="A431" s="5" t="inlineStr">
        <is>
          <t>Custo 13 — Unidade</t>
        </is>
      </c>
      <c r="B431" s="6" t="n"/>
      <c r="C431" s="7" t="inlineStr">
        <is>
          <t>lista: rs | rs_m2_priv | rs_m2_terreno | pct_vgv | pct_obra | pct_recebido | pct_constr</t>
        </is>
      </c>
      <c r="D431" s="8" t="inlineStr">
        <is>
          <t>custos[13].unidade</t>
        </is>
      </c>
    </row>
    <row r="432">
      <c r="A432" s="5" t="inlineStr">
        <is>
          <t>Custo 13 — Valor (R$ ou R$/m²)</t>
        </is>
      </c>
      <c r="B432" s="16" t="n"/>
      <c r="C432" s="7">
        <f>IF($B$431="","escolha a Unidade acima",IF($B$431="rs","R$ (valor cheio)",IF($B$431="rs_m2_priv","R$/m² privativo (fechada+aberta)",IF($B$431="rs_m2_terreno","R$/m² de terreno",IF(LEFT($B$431,3)="pct","— (use a linha de %)","unidade inválida")))))</f>
        <v/>
      </c>
      <c r="D432" s="8" t="inlineStr">
        <is>
          <t>custos[13].valor_rs</t>
        </is>
      </c>
    </row>
    <row r="433">
      <c r="A433" s="5" t="inlineStr">
        <is>
          <t>Custo 13 — Valor (%)</t>
        </is>
      </c>
      <c r="B433" s="11" t="n"/>
      <c r="C433" s="7">
        <f>IF($B$431="","escolha a Unidade acima",IF($B$431="pct_vgv","% do VGV",IF($B$431="pct_receita","% da receita líquida (RET, sem juros)",IF($B$431="pct_obra","% da obra (grupo Obras inteiro)",IF($B$431="pct_recebido","% do recebido (com juros de tabela)",IF($B$431="pct_constr","% da construção (constr.+decor.+gestão da obra)",IF(LEFT($B$431,2)="rs","— (use a linha de R$)","unidade inválida"))))))</f>
        <v/>
      </c>
      <c r="D433" s="8" t="inlineStr">
        <is>
          <t>custos[13].valor_pct</t>
        </is>
      </c>
    </row>
    <row r="434">
      <c r="A434" s="5" t="inlineStr">
        <is>
          <t>Custo 13 — Distribuição</t>
        </is>
      </c>
      <c r="B434" s="6" t="n"/>
      <c r="C434" s="7" t="inlineStr">
        <is>
          <t>Linear | nome de uma curva do catálogo (ex.: Curva S) | unit_delivery | sales_revenue</t>
        </is>
      </c>
      <c r="D434" s="8" t="inlineStr">
        <is>
          <t>custos[13].distribuicao</t>
        </is>
      </c>
    </row>
    <row r="435">
      <c r="A435" s="5" t="inlineStr">
        <is>
          <t>Custo 13 — Cronograma</t>
        </is>
      </c>
      <c r="B435" s="6" t="n"/>
      <c r="C435" s="7" t="inlineStr">
        <is>
          <t>evento, customizado ou "fase: &lt;nome&gt;"</t>
        </is>
      </c>
      <c r="D435" s="8" t="inlineStr">
        <is>
          <t>custos[13].cronograma</t>
        </is>
      </c>
    </row>
    <row r="436">
      <c r="A436" s="5" t="inlineStr">
        <is>
          <t>Custo 13 — Início (só customizado)</t>
        </is>
      </c>
      <c r="B436" s="14" t="n"/>
      <c r="C436" s="7" t="inlineStr">
        <is>
          <t>mês (inteiro ≥ 0)</t>
        </is>
      </c>
      <c r="D436" s="8" t="inlineStr">
        <is>
          <t>custos[13].inicio_mes</t>
        </is>
      </c>
    </row>
    <row r="437">
      <c r="A437" s="5" t="inlineStr">
        <is>
          <t>Custo 13 — Duração (só customizado)</t>
        </is>
      </c>
      <c r="B437" s="14" t="n"/>
      <c r="C437" s="7" t="inlineStr">
        <is>
          <t>meses (inteiro ≥ 1)</t>
        </is>
      </c>
      <c r="D437" s="8" t="inlineStr">
        <is>
          <t>custos[13].duracao_meses</t>
        </is>
      </c>
    </row>
    <row r="438">
      <c r="A438" s="15" t="inlineStr">
        <is>
          <t>Custo 14</t>
        </is>
      </c>
    </row>
    <row r="439">
      <c r="A439" s="5" t="inlineStr">
        <is>
          <t>Custo 14 — Grupo</t>
        </is>
      </c>
      <c r="B439" s="6" t="n"/>
      <c r="C439" s="7" t="inlineStr">
        <is>
          <t>lista: terreno | obra | diretos | indireto | financeiro</t>
        </is>
      </c>
      <c r="D439" s="8" t="inlineStr">
        <is>
          <t>custos[14].grupo</t>
        </is>
      </c>
    </row>
    <row r="440">
      <c r="A440" s="5" t="inlineStr">
        <is>
          <t>Custo 14 — Categoria</t>
        </is>
      </c>
      <c r="B440" s="6" t="n"/>
      <c r="C440" s="7" t="inlineStr">
        <is>
          <t>ver tabela acima</t>
        </is>
      </c>
      <c r="D440" s="8" t="inlineStr">
        <is>
          <t>custos[14].categoria</t>
        </is>
      </c>
    </row>
    <row r="441">
      <c r="A441" s="5" t="inlineStr">
        <is>
          <t>Custo 14 — Subcategoria / descrição</t>
        </is>
      </c>
      <c r="B441" s="6" t="n"/>
      <c r="C441" s="7" t="inlineStr">
        <is>
          <t>Preço: Valor à vista | Parcelado; Outro: texto</t>
        </is>
      </c>
      <c r="D441" s="8" t="inlineStr">
        <is>
          <t>custos[14].subcategoria</t>
        </is>
      </c>
    </row>
    <row r="442">
      <c r="A442" s="5" t="inlineStr">
        <is>
          <t>Custo 14 — Unidade</t>
        </is>
      </c>
      <c r="B442" s="6" t="n"/>
      <c r="C442" s="7" t="inlineStr">
        <is>
          <t>lista: rs | rs_m2_priv | rs_m2_terreno | pct_vgv | pct_obra | pct_recebido | pct_constr</t>
        </is>
      </c>
      <c r="D442" s="8" t="inlineStr">
        <is>
          <t>custos[14].unidade</t>
        </is>
      </c>
    </row>
    <row r="443">
      <c r="A443" s="5" t="inlineStr">
        <is>
          <t>Custo 14 — Valor (R$ ou R$/m²)</t>
        </is>
      </c>
      <c r="B443" s="16" t="n"/>
      <c r="C443" s="7">
        <f>IF($B$442="","escolha a Unidade acima",IF($B$442="rs","R$ (valor cheio)",IF($B$442="rs_m2_priv","R$/m² privativo (fechada+aberta)",IF($B$442="rs_m2_terreno","R$/m² de terreno",IF(LEFT($B$442,3)="pct","— (use a linha de %)","unidade inválida")))))</f>
        <v/>
      </c>
      <c r="D443" s="8" t="inlineStr">
        <is>
          <t>custos[14].valor_rs</t>
        </is>
      </c>
    </row>
    <row r="444">
      <c r="A444" s="5" t="inlineStr">
        <is>
          <t>Custo 14 — Valor (%)</t>
        </is>
      </c>
      <c r="B444" s="11" t="n"/>
      <c r="C444" s="7">
        <f>IF($B$442="","escolha a Unidade acima",IF($B$442="pct_vgv","% do VGV",IF($B$442="pct_receita","% da receita líquida (RET, sem juros)",IF($B$442="pct_obra","% da obra (grupo Obras inteiro)",IF($B$442="pct_recebido","% do recebido (com juros de tabela)",IF($B$442="pct_constr","% da construção (constr.+decor.+gestão da obra)",IF(LEFT($B$442,2)="rs","— (use a linha de R$)","unidade inválida"))))))</f>
        <v/>
      </c>
      <c r="D444" s="8" t="inlineStr">
        <is>
          <t>custos[14].valor_pct</t>
        </is>
      </c>
    </row>
    <row r="445">
      <c r="A445" s="5" t="inlineStr">
        <is>
          <t>Custo 14 — Distribuição</t>
        </is>
      </c>
      <c r="B445" s="6" t="n"/>
      <c r="C445" s="7" t="inlineStr">
        <is>
          <t>Linear | nome de uma curva do catálogo (ex.: Curva S) | unit_delivery | sales_revenue</t>
        </is>
      </c>
      <c r="D445" s="8" t="inlineStr">
        <is>
          <t>custos[14].distribuicao</t>
        </is>
      </c>
    </row>
    <row r="446">
      <c r="A446" s="5" t="inlineStr">
        <is>
          <t>Custo 14 — Cronograma</t>
        </is>
      </c>
      <c r="B446" s="6" t="n"/>
      <c r="C446" s="7" t="inlineStr">
        <is>
          <t>evento, customizado ou "fase: &lt;nome&gt;"</t>
        </is>
      </c>
      <c r="D446" s="8" t="inlineStr">
        <is>
          <t>custos[14].cronograma</t>
        </is>
      </c>
    </row>
    <row r="447">
      <c r="A447" s="5" t="inlineStr">
        <is>
          <t>Custo 14 — Início (só customizado)</t>
        </is>
      </c>
      <c r="B447" s="14" t="n"/>
      <c r="C447" s="7" t="inlineStr">
        <is>
          <t>mês (inteiro ≥ 0)</t>
        </is>
      </c>
      <c r="D447" s="8" t="inlineStr">
        <is>
          <t>custos[14].inicio_mes</t>
        </is>
      </c>
    </row>
    <row r="448">
      <c r="A448" s="5" t="inlineStr">
        <is>
          <t>Custo 14 — Duração (só customizado)</t>
        </is>
      </c>
      <c r="B448" s="14" t="n"/>
      <c r="C448" s="7" t="inlineStr">
        <is>
          <t>meses (inteiro ≥ 1)</t>
        </is>
      </c>
      <c r="D448" s="8" t="inlineStr">
        <is>
          <t>custos[14].duracao_meses</t>
        </is>
      </c>
    </row>
    <row r="449">
      <c r="A449" s="15" t="inlineStr">
        <is>
          <t>Custo 15</t>
        </is>
      </c>
    </row>
    <row r="450">
      <c r="A450" s="5" t="inlineStr">
        <is>
          <t>Custo 15 — Grupo</t>
        </is>
      </c>
      <c r="B450" s="6" t="n"/>
      <c r="C450" s="7" t="inlineStr">
        <is>
          <t>lista: terreno | obra | diretos | indireto | financeiro</t>
        </is>
      </c>
      <c r="D450" s="8" t="inlineStr">
        <is>
          <t>custos[15].grupo</t>
        </is>
      </c>
    </row>
    <row r="451">
      <c r="A451" s="5" t="inlineStr">
        <is>
          <t>Custo 15 — Categoria</t>
        </is>
      </c>
      <c r="B451" s="6" t="n"/>
      <c r="C451" s="7" t="inlineStr">
        <is>
          <t>ver tabela acima</t>
        </is>
      </c>
      <c r="D451" s="8" t="inlineStr">
        <is>
          <t>custos[15].categoria</t>
        </is>
      </c>
    </row>
    <row r="452">
      <c r="A452" s="5" t="inlineStr">
        <is>
          <t>Custo 15 — Subcategoria / descrição</t>
        </is>
      </c>
      <c r="B452" s="6" t="n"/>
      <c r="C452" s="7" t="inlineStr">
        <is>
          <t>Preço: Valor à vista | Parcelado; Outro: texto</t>
        </is>
      </c>
      <c r="D452" s="8" t="inlineStr">
        <is>
          <t>custos[15].subcategoria</t>
        </is>
      </c>
    </row>
    <row r="453">
      <c r="A453" s="5" t="inlineStr">
        <is>
          <t>Custo 15 — Unidade</t>
        </is>
      </c>
      <c r="B453" s="6" t="n"/>
      <c r="C453" s="7" t="inlineStr">
        <is>
          <t>lista: rs | rs_m2_priv | rs_m2_terreno | pct_vgv | pct_obra | pct_recebido | pct_constr</t>
        </is>
      </c>
      <c r="D453" s="8" t="inlineStr">
        <is>
          <t>custos[15].unidade</t>
        </is>
      </c>
    </row>
    <row r="454">
      <c r="A454" s="5" t="inlineStr">
        <is>
          <t>Custo 15 — Valor (R$ ou R$/m²)</t>
        </is>
      </c>
      <c r="B454" s="16" t="n"/>
      <c r="C454" s="7">
        <f>IF($B$453="","escolha a Unidade acima",IF($B$453="rs","R$ (valor cheio)",IF($B$453="rs_m2_priv","R$/m² privativo (fechada+aberta)",IF($B$453="rs_m2_terreno","R$/m² de terreno",IF(LEFT($B$453,3)="pct","— (use a linha de %)","unidade inválida")))))</f>
        <v/>
      </c>
      <c r="D454" s="8" t="inlineStr">
        <is>
          <t>custos[15].valor_rs</t>
        </is>
      </c>
    </row>
    <row r="455">
      <c r="A455" s="5" t="inlineStr">
        <is>
          <t>Custo 15 — Valor (%)</t>
        </is>
      </c>
      <c r="B455" s="11" t="n"/>
      <c r="C455" s="7">
        <f>IF($B$453="","escolha a Unidade acima",IF($B$453="pct_vgv","% do VGV",IF($B$453="pct_receita","% da receita líquida (RET, sem juros)",IF($B$453="pct_obra","% da obra (grupo Obras inteiro)",IF($B$453="pct_recebido","% do recebido (com juros de tabela)",IF($B$453="pct_constr","% da construção (constr.+decor.+gestão da obra)",IF(LEFT($B$453,2)="rs","— (use a linha de R$)","unidade inválida"))))))</f>
        <v/>
      </c>
      <c r="D455" s="8" t="inlineStr">
        <is>
          <t>custos[15].valor_pct</t>
        </is>
      </c>
    </row>
    <row r="456">
      <c r="A456" s="5" t="inlineStr">
        <is>
          <t>Custo 15 — Distribuição</t>
        </is>
      </c>
      <c r="B456" s="6" t="n"/>
      <c r="C456" s="7" t="inlineStr">
        <is>
          <t>Linear | nome de uma curva do catálogo (ex.: Curva S) | unit_delivery | sales_revenue</t>
        </is>
      </c>
      <c r="D456" s="8" t="inlineStr">
        <is>
          <t>custos[15].distribuicao</t>
        </is>
      </c>
    </row>
    <row r="457">
      <c r="A457" s="5" t="inlineStr">
        <is>
          <t>Custo 15 — Cronograma</t>
        </is>
      </c>
      <c r="B457" s="6" t="n"/>
      <c r="C457" s="7" t="inlineStr">
        <is>
          <t>evento, customizado ou "fase: &lt;nome&gt;"</t>
        </is>
      </c>
      <c r="D457" s="8" t="inlineStr">
        <is>
          <t>custos[15].cronograma</t>
        </is>
      </c>
    </row>
    <row r="458">
      <c r="A458" s="5" t="inlineStr">
        <is>
          <t>Custo 15 — Início (só customizado)</t>
        </is>
      </c>
      <c r="B458" s="14" t="n"/>
      <c r="C458" s="7" t="inlineStr">
        <is>
          <t>mês (inteiro ≥ 0)</t>
        </is>
      </c>
      <c r="D458" s="8" t="inlineStr">
        <is>
          <t>custos[15].inicio_mes</t>
        </is>
      </c>
    </row>
    <row r="459">
      <c r="A459" s="5" t="inlineStr">
        <is>
          <t>Custo 15 — Duração (só customizado)</t>
        </is>
      </c>
      <c r="B459" s="14" t="n"/>
      <c r="C459" s="7" t="inlineStr">
        <is>
          <t>meses (inteiro ≥ 1)</t>
        </is>
      </c>
      <c r="D459" s="8" t="inlineStr">
        <is>
          <t>custos[15].duracao_meses</t>
        </is>
      </c>
    </row>
    <row r="460">
      <c r="A460" s="15" t="inlineStr">
        <is>
          <t>Custo 16</t>
        </is>
      </c>
    </row>
    <row r="461">
      <c r="A461" s="5" t="inlineStr">
        <is>
          <t>Custo 16 — Grupo</t>
        </is>
      </c>
      <c r="B461" s="6" t="n"/>
      <c r="C461" s="7" t="inlineStr">
        <is>
          <t>lista: terreno | obra | diretos | indireto | financeiro</t>
        </is>
      </c>
      <c r="D461" s="8" t="inlineStr">
        <is>
          <t>custos[16].grupo</t>
        </is>
      </c>
    </row>
    <row r="462">
      <c r="A462" s="5" t="inlineStr">
        <is>
          <t>Custo 16 — Categoria</t>
        </is>
      </c>
      <c r="B462" s="6" t="n"/>
      <c r="C462" s="7" t="inlineStr">
        <is>
          <t>ver tabela acima</t>
        </is>
      </c>
      <c r="D462" s="8" t="inlineStr">
        <is>
          <t>custos[16].categoria</t>
        </is>
      </c>
    </row>
    <row r="463">
      <c r="A463" s="5" t="inlineStr">
        <is>
          <t>Custo 16 — Subcategoria / descrição</t>
        </is>
      </c>
      <c r="B463" s="6" t="n"/>
      <c r="C463" s="7" t="inlineStr">
        <is>
          <t>Preço: Valor à vista | Parcelado; Outro: texto</t>
        </is>
      </c>
      <c r="D463" s="8" t="inlineStr">
        <is>
          <t>custos[16].subcategoria</t>
        </is>
      </c>
    </row>
    <row r="464">
      <c r="A464" s="5" t="inlineStr">
        <is>
          <t>Custo 16 — Unidade</t>
        </is>
      </c>
      <c r="B464" s="6" t="n"/>
      <c r="C464" s="7" t="inlineStr">
        <is>
          <t>lista: rs | rs_m2_priv | rs_m2_terreno | pct_vgv | pct_obra | pct_recebido | pct_constr</t>
        </is>
      </c>
      <c r="D464" s="8" t="inlineStr">
        <is>
          <t>custos[16].unidade</t>
        </is>
      </c>
    </row>
    <row r="465">
      <c r="A465" s="5" t="inlineStr">
        <is>
          <t>Custo 16 — Valor (R$ ou R$/m²)</t>
        </is>
      </c>
      <c r="B465" s="16" t="n"/>
      <c r="C465" s="7">
        <f>IF($B$464="","escolha a Unidade acima",IF($B$464="rs","R$ (valor cheio)",IF($B$464="rs_m2_priv","R$/m² privativo (fechada+aberta)",IF($B$464="rs_m2_terreno","R$/m² de terreno",IF(LEFT($B$464,3)="pct","— (use a linha de %)","unidade inválida")))))</f>
        <v/>
      </c>
      <c r="D465" s="8" t="inlineStr">
        <is>
          <t>custos[16].valor_rs</t>
        </is>
      </c>
    </row>
    <row r="466">
      <c r="A466" s="5" t="inlineStr">
        <is>
          <t>Custo 16 — Valor (%)</t>
        </is>
      </c>
      <c r="B466" s="11" t="n"/>
      <c r="C466" s="7">
        <f>IF($B$464="","escolha a Unidade acima",IF($B$464="pct_vgv","% do VGV",IF($B$464="pct_receita","% da receita líquida (RET, sem juros)",IF($B$464="pct_obra","% da obra (grupo Obras inteiro)",IF($B$464="pct_recebido","% do recebido (com juros de tabela)",IF($B$464="pct_constr","% da construção (constr.+decor.+gestão da obra)",IF(LEFT($B$464,2)="rs","— (use a linha de R$)","unidade inválida"))))))</f>
        <v/>
      </c>
      <c r="D466" s="8" t="inlineStr">
        <is>
          <t>custos[16].valor_pct</t>
        </is>
      </c>
    </row>
    <row r="467">
      <c r="A467" s="5" t="inlineStr">
        <is>
          <t>Custo 16 — Distribuição</t>
        </is>
      </c>
      <c r="B467" s="6" t="n"/>
      <c r="C467" s="7" t="inlineStr">
        <is>
          <t>Linear | nome de uma curva do catálogo (ex.: Curva S) | unit_delivery | sales_revenue</t>
        </is>
      </c>
      <c r="D467" s="8" t="inlineStr">
        <is>
          <t>custos[16].distribuicao</t>
        </is>
      </c>
    </row>
    <row r="468">
      <c r="A468" s="5" t="inlineStr">
        <is>
          <t>Custo 16 — Cronograma</t>
        </is>
      </c>
      <c r="B468" s="6" t="n"/>
      <c r="C468" s="7" t="inlineStr">
        <is>
          <t>evento, customizado ou "fase: &lt;nome&gt;"</t>
        </is>
      </c>
      <c r="D468" s="8" t="inlineStr">
        <is>
          <t>custos[16].cronograma</t>
        </is>
      </c>
    </row>
    <row r="469">
      <c r="A469" s="5" t="inlineStr">
        <is>
          <t>Custo 16 — Início (só customizado)</t>
        </is>
      </c>
      <c r="B469" s="14" t="n"/>
      <c r="C469" s="7" t="inlineStr">
        <is>
          <t>mês (inteiro ≥ 0)</t>
        </is>
      </c>
      <c r="D469" s="8" t="inlineStr">
        <is>
          <t>custos[16].inicio_mes</t>
        </is>
      </c>
    </row>
    <row r="470">
      <c r="A470" s="5" t="inlineStr">
        <is>
          <t>Custo 16 — Duração (só customizado)</t>
        </is>
      </c>
      <c r="B470" s="14" t="n"/>
      <c r="C470" s="7" t="inlineStr">
        <is>
          <t>meses (inteiro ≥ 1)</t>
        </is>
      </c>
      <c r="D470" s="8" t="inlineStr">
        <is>
          <t>custos[16].duracao_meses</t>
        </is>
      </c>
    </row>
    <row r="471">
      <c r="A471" s="15" t="inlineStr">
        <is>
          <t>Custo 17</t>
        </is>
      </c>
    </row>
    <row r="472">
      <c r="A472" s="5" t="inlineStr">
        <is>
          <t>Custo 17 — Grupo</t>
        </is>
      </c>
      <c r="B472" s="6" t="n"/>
      <c r="C472" s="7" t="inlineStr">
        <is>
          <t>lista: terreno | obra | diretos | indireto | financeiro</t>
        </is>
      </c>
      <c r="D472" s="8" t="inlineStr">
        <is>
          <t>custos[17].grupo</t>
        </is>
      </c>
    </row>
    <row r="473">
      <c r="A473" s="5" t="inlineStr">
        <is>
          <t>Custo 17 — Categoria</t>
        </is>
      </c>
      <c r="B473" s="6" t="n"/>
      <c r="C473" s="7" t="inlineStr">
        <is>
          <t>ver tabela acima</t>
        </is>
      </c>
      <c r="D473" s="8" t="inlineStr">
        <is>
          <t>custos[17].categoria</t>
        </is>
      </c>
    </row>
    <row r="474">
      <c r="A474" s="5" t="inlineStr">
        <is>
          <t>Custo 17 — Subcategoria / descrição</t>
        </is>
      </c>
      <c r="B474" s="6" t="n"/>
      <c r="C474" s="7" t="inlineStr">
        <is>
          <t>Preço: Valor à vista | Parcelado; Outro: texto</t>
        </is>
      </c>
      <c r="D474" s="8" t="inlineStr">
        <is>
          <t>custos[17].subcategoria</t>
        </is>
      </c>
    </row>
    <row r="475">
      <c r="A475" s="5" t="inlineStr">
        <is>
          <t>Custo 17 — Unidade</t>
        </is>
      </c>
      <c r="B475" s="6" t="n"/>
      <c r="C475" s="7" t="inlineStr">
        <is>
          <t>lista: rs | rs_m2_priv | rs_m2_terreno | pct_vgv | pct_obra | pct_recebido | pct_constr</t>
        </is>
      </c>
      <c r="D475" s="8" t="inlineStr">
        <is>
          <t>custos[17].unidade</t>
        </is>
      </c>
    </row>
    <row r="476">
      <c r="A476" s="5" t="inlineStr">
        <is>
          <t>Custo 17 — Valor (R$ ou R$/m²)</t>
        </is>
      </c>
      <c r="B476" s="16" t="n"/>
      <c r="C476" s="7">
        <f>IF($B$475="","escolha a Unidade acima",IF($B$475="rs","R$ (valor cheio)",IF($B$475="rs_m2_priv","R$/m² privativo (fechada+aberta)",IF($B$475="rs_m2_terreno","R$/m² de terreno",IF(LEFT($B$475,3)="pct","— (use a linha de %)","unidade inválida")))))</f>
        <v/>
      </c>
      <c r="D476" s="8" t="inlineStr">
        <is>
          <t>custos[17].valor_rs</t>
        </is>
      </c>
    </row>
    <row r="477">
      <c r="A477" s="5" t="inlineStr">
        <is>
          <t>Custo 17 — Valor (%)</t>
        </is>
      </c>
      <c r="B477" s="11" t="n"/>
      <c r="C477" s="7">
        <f>IF($B$475="","escolha a Unidade acima",IF($B$475="pct_vgv","% do VGV",IF($B$475="pct_receita","% da receita líquida (RET, sem juros)",IF($B$475="pct_obra","% da obra (grupo Obras inteiro)",IF($B$475="pct_recebido","% do recebido (com juros de tabela)",IF($B$475="pct_constr","% da construção (constr.+decor.+gestão da obra)",IF(LEFT($B$475,2)="rs","— (use a linha de R$)","unidade inválida"))))))</f>
        <v/>
      </c>
      <c r="D477" s="8" t="inlineStr">
        <is>
          <t>custos[17].valor_pct</t>
        </is>
      </c>
    </row>
    <row r="478">
      <c r="A478" s="5" t="inlineStr">
        <is>
          <t>Custo 17 — Distribuição</t>
        </is>
      </c>
      <c r="B478" s="6" t="n"/>
      <c r="C478" s="7" t="inlineStr">
        <is>
          <t>Linear | nome de uma curva do catálogo (ex.: Curva S) | unit_delivery | sales_revenue</t>
        </is>
      </c>
      <c r="D478" s="8" t="inlineStr">
        <is>
          <t>custos[17].distribuicao</t>
        </is>
      </c>
    </row>
    <row r="479">
      <c r="A479" s="5" t="inlineStr">
        <is>
          <t>Custo 17 — Cronograma</t>
        </is>
      </c>
      <c r="B479" s="6" t="n"/>
      <c r="C479" s="7" t="inlineStr">
        <is>
          <t>evento, customizado ou "fase: &lt;nome&gt;"</t>
        </is>
      </c>
      <c r="D479" s="8" t="inlineStr">
        <is>
          <t>custos[17].cronograma</t>
        </is>
      </c>
    </row>
    <row r="480">
      <c r="A480" s="5" t="inlineStr">
        <is>
          <t>Custo 17 — Início (só customizado)</t>
        </is>
      </c>
      <c r="B480" s="14" t="n"/>
      <c r="C480" s="7" t="inlineStr">
        <is>
          <t>mês (inteiro ≥ 0)</t>
        </is>
      </c>
      <c r="D480" s="8" t="inlineStr">
        <is>
          <t>custos[17].inicio_mes</t>
        </is>
      </c>
    </row>
    <row r="481">
      <c r="A481" s="5" t="inlineStr">
        <is>
          <t>Custo 17 — Duração (só customizado)</t>
        </is>
      </c>
      <c r="B481" s="14" t="n"/>
      <c r="C481" s="7" t="inlineStr">
        <is>
          <t>meses (inteiro ≥ 1)</t>
        </is>
      </c>
      <c r="D481" s="8" t="inlineStr">
        <is>
          <t>custos[17].duracao_meses</t>
        </is>
      </c>
    </row>
    <row r="482">
      <c r="A482" s="15" t="inlineStr">
        <is>
          <t>Custo 18</t>
        </is>
      </c>
    </row>
    <row r="483">
      <c r="A483" s="5" t="inlineStr">
        <is>
          <t>Custo 18 — Grupo</t>
        </is>
      </c>
      <c r="B483" s="6" t="n"/>
      <c r="C483" s="7" t="inlineStr">
        <is>
          <t>lista: terreno | obra | diretos | indireto | financeiro</t>
        </is>
      </c>
      <c r="D483" s="8" t="inlineStr">
        <is>
          <t>custos[18].grupo</t>
        </is>
      </c>
    </row>
    <row r="484">
      <c r="A484" s="5" t="inlineStr">
        <is>
          <t>Custo 18 — Categoria</t>
        </is>
      </c>
      <c r="B484" s="6" t="n"/>
      <c r="C484" s="7" t="inlineStr">
        <is>
          <t>ver tabela acima</t>
        </is>
      </c>
      <c r="D484" s="8" t="inlineStr">
        <is>
          <t>custos[18].categoria</t>
        </is>
      </c>
    </row>
    <row r="485">
      <c r="A485" s="5" t="inlineStr">
        <is>
          <t>Custo 18 — Subcategoria / descrição</t>
        </is>
      </c>
      <c r="B485" s="6" t="n"/>
      <c r="C485" s="7" t="inlineStr">
        <is>
          <t>Preço: Valor à vista | Parcelado; Outro: texto</t>
        </is>
      </c>
      <c r="D485" s="8" t="inlineStr">
        <is>
          <t>custos[18].subcategoria</t>
        </is>
      </c>
    </row>
    <row r="486">
      <c r="A486" s="5" t="inlineStr">
        <is>
          <t>Custo 18 — Unidade</t>
        </is>
      </c>
      <c r="B486" s="6" t="n"/>
      <c r="C486" s="7" t="inlineStr">
        <is>
          <t>lista: rs | rs_m2_priv | rs_m2_terreno | pct_vgv | pct_obra | pct_recebido | pct_constr</t>
        </is>
      </c>
      <c r="D486" s="8" t="inlineStr">
        <is>
          <t>custos[18].unidade</t>
        </is>
      </c>
    </row>
    <row r="487">
      <c r="A487" s="5" t="inlineStr">
        <is>
          <t>Custo 18 — Valor (R$ ou R$/m²)</t>
        </is>
      </c>
      <c r="B487" s="16" t="n"/>
      <c r="C487" s="7">
        <f>IF($B$486="","escolha a Unidade acima",IF($B$486="rs","R$ (valor cheio)",IF($B$486="rs_m2_priv","R$/m² privativo (fechada+aberta)",IF($B$486="rs_m2_terreno","R$/m² de terreno",IF(LEFT($B$486,3)="pct","— (use a linha de %)","unidade inválida")))))</f>
        <v/>
      </c>
      <c r="D487" s="8" t="inlineStr">
        <is>
          <t>custos[18].valor_rs</t>
        </is>
      </c>
    </row>
    <row r="488">
      <c r="A488" s="5" t="inlineStr">
        <is>
          <t>Custo 18 — Valor (%)</t>
        </is>
      </c>
      <c r="B488" s="11" t="n"/>
      <c r="C488" s="7">
        <f>IF($B$486="","escolha a Unidade acima",IF($B$486="pct_vgv","% do VGV",IF($B$486="pct_receita","% da receita líquida (RET, sem juros)",IF($B$486="pct_obra","% da obra (grupo Obras inteiro)",IF($B$486="pct_recebido","% do recebido (com juros de tabela)",IF($B$486="pct_constr","% da construção (constr.+decor.+gestão da obra)",IF(LEFT($B$486,2)="rs","— (use a linha de R$)","unidade inválida"))))))</f>
        <v/>
      </c>
      <c r="D488" s="8" t="inlineStr">
        <is>
          <t>custos[18].valor_pct</t>
        </is>
      </c>
    </row>
    <row r="489">
      <c r="A489" s="5" t="inlineStr">
        <is>
          <t>Custo 18 — Distribuição</t>
        </is>
      </c>
      <c r="B489" s="6" t="n"/>
      <c r="C489" s="7" t="inlineStr">
        <is>
          <t>Linear | nome de uma curva do catálogo (ex.: Curva S) | unit_delivery | sales_revenue</t>
        </is>
      </c>
      <c r="D489" s="8" t="inlineStr">
        <is>
          <t>custos[18].distribuicao</t>
        </is>
      </c>
    </row>
    <row r="490">
      <c r="A490" s="5" t="inlineStr">
        <is>
          <t>Custo 18 — Cronograma</t>
        </is>
      </c>
      <c r="B490" s="6" t="n"/>
      <c r="C490" s="7" t="inlineStr">
        <is>
          <t>evento, customizado ou "fase: &lt;nome&gt;"</t>
        </is>
      </c>
      <c r="D490" s="8" t="inlineStr">
        <is>
          <t>custos[18].cronograma</t>
        </is>
      </c>
    </row>
    <row r="491">
      <c r="A491" s="5" t="inlineStr">
        <is>
          <t>Custo 18 — Início (só customizado)</t>
        </is>
      </c>
      <c r="B491" s="14" t="n"/>
      <c r="C491" s="7" t="inlineStr">
        <is>
          <t>mês (inteiro ≥ 0)</t>
        </is>
      </c>
      <c r="D491" s="8" t="inlineStr">
        <is>
          <t>custos[18].inicio_mes</t>
        </is>
      </c>
    </row>
    <row r="492">
      <c r="A492" s="5" t="inlineStr">
        <is>
          <t>Custo 18 — Duração (só customizado)</t>
        </is>
      </c>
      <c r="B492" s="14" t="n"/>
      <c r="C492" s="7" t="inlineStr">
        <is>
          <t>meses (inteiro ≥ 1)</t>
        </is>
      </c>
      <c r="D492" s="8" t="inlineStr">
        <is>
          <t>custos[18].duracao_meses</t>
        </is>
      </c>
    </row>
    <row r="493">
      <c r="A493" s="15" t="inlineStr">
        <is>
          <t>Custo 19</t>
        </is>
      </c>
    </row>
    <row r="494">
      <c r="A494" s="5" t="inlineStr">
        <is>
          <t>Custo 19 — Grupo</t>
        </is>
      </c>
      <c r="B494" s="6" t="n"/>
      <c r="C494" s="7" t="inlineStr">
        <is>
          <t>lista: terreno | obra | diretos | indireto | financeiro</t>
        </is>
      </c>
      <c r="D494" s="8" t="inlineStr">
        <is>
          <t>custos[19].grupo</t>
        </is>
      </c>
    </row>
    <row r="495">
      <c r="A495" s="5" t="inlineStr">
        <is>
          <t>Custo 19 — Categoria</t>
        </is>
      </c>
      <c r="B495" s="6" t="n"/>
      <c r="C495" s="7" t="inlineStr">
        <is>
          <t>ver tabela acima</t>
        </is>
      </c>
      <c r="D495" s="8" t="inlineStr">
        <is>
          <t>custos[19].categoria</t>
        </is>
      </c>
    </row>
    <row r="496">
      <c r="A496" s="5" t="inlineStr">
        <is>
          <t>Custo 19 — Subcategoria / descrição</t>
        </is>
      </c>
      <c r="B496" s="6" t="n"/>
      <c r="C496" s="7" t="inlineStr">
        <is>
          <t>Preço: Valor à vista | Parcelado; Outro: texto</t>
        </is>
      </c>
      <c r="D496" s="8" t="inlineStr">
        <is>
          <t>custos[19].subcategoria</t>
        </is>
      </c>
    </row>
    <row r="497">
      <c r="A497" s="5" t="inlineStr">
        <is>
          <t>Custo 19 — Unidade</t>
        </is>
      </c>
      <c r="B497" s="6" t="n"/>
      <c r="C497" s="7" t="inlineStr">
        <is>
          <t>lista: rs | rs_m2_priv | rs_m2_terreno | pct_vgv | pct_obra | pct_recebido | pct_constr</t>
        </is>
      </c>
      <c r="D497" s="8" t="inlineStr">
        <is>
          <t>custos[19].unidade</t>
        </is>
      </c>
    </row>
    <row r="498">
      <c r="A498" s="5" t="inlineStr">
        <is>
          <t>Custo 19 — Valor (R$ ou R$/m²)</t>
        </is>
      </c>
      <c r="B498" s="16" t="n"/>
      <c r="C498" s="7">
        <f>IF($B$497="","escolha a Unidade acima",IF($B$497="rs","R$ (valor cheio)",IF($B$497="rs_m2_priv","R$/m² privativo (fechada+aberta)",IF($B$497="rs_m2_terreno","R$/m² de terreno",IF(LEFT($B$497,3)="pct","— (use a linha de %)","unidade inválida")))))</f>
        <v/>
      </c>
      <c r="D498" s="8" t="inlineStr">
        <is>
          <t>custos[19].valor_rs</t>
        </is>
      </c>
    </row>
    <row r="499">
      <c r="A499" s="5" t="inlineStr">
        <is>
          <t>Custo 19 — Valor (%)</t>
        </is>
      </c>
      <c r="B499" s="11" t="n"/>
      <c r="C499" s="7">
        <f>IF($B$497="","escolha a Unidade acima",IF($B$497="pct_vgv","% do VGV",IF($B$497="pct_receita","% da receita líquida (RET, sem juros)",IF($B$497="pct_obra","% da obra (grupo Obras inteiro)",IF($B$497="pct_recebido","% do recebido (com juros de tabela)",IF($B$497="pct_constr","% da construção (constr.+decor.+gestão da obra)",IF(LEFT($B$497,2)="rs","— (use a linha de R$)","unidade inválida"))))))</f>
        <v/>
      </c>
      <c r="D499" s="8" t="inlineStr">
        <is>
          <t>custos[19].valor_pct</t>
        </is>
      </c>
    </row>
    <row r="500">
      <c r="A500" s="5" t="inlineStr">
        <is>
          <t>Custo 19 — Distribuição</t>
        </is>
      </c>
      <c r="B500" s="6" t="n"/>
      <c r="C500" s="7" t="inlineStr">
        <is>
          <t>Linear | nome de uma curva do catálogo (ex.: Curva S) | unit_delivery | sales_revenue</t>
        </is>
      </c>
      <c r="D500" s="8" t="inlineStr">
        <is>
          <t>custos[19].distribuicao</t>
        </is>
      </c>
    </row>
    <row r="501">
      <c r="A501" s="5" t="inlineStr">
        <is>
          <t>Custo 19 — Cronograma</t>
        </is>
      </c>
      <c r="B501" s="6" t="n"/>
      <c r="C501" s="7" t="inlineStr">
        <is>
          <t>evento, customizado ou "fase: &lt;nome&gt;"</t>
        </is>
      </c>
      <c r="D501" s="8" t="inlineStr">
        <is>
          <t>custos[19].cronograma</t>
        </is>
      </c>
    </row>
    <row r="502">
      <c r="A502" s="5" t="inlineStr">
        <is>
          <t>Custo 19 — Início (só customizado)</t>
        </is>
      </c>
      <c r="B502" s="14" t="n"/>
      <c r="C502" s="7" t="inlineStr">
        <is>
          <t>mês (inteiro ≥ 0)</t>
        </is>
      </c>
      <c r="D502" s="8" t="inlineStr">
        <is>
          <t>custos[19].inicio_mes</t>
        </is>
      </c>
    </row>
    <row r="503">
      <c r="A503" s="5" t="inlineStr">
        <is>
          <t>Custo 19 — Duração (só customizado)</t>
        </is>
      </c>
      <c r="B503" s="14" t="n"/>
      <c r="C503" s="7" t="inlineStr">
        <is>
          <t>meses (inteiro ≥ 1)</t>
        </is>
      </c>
      <c r="D503" s="8" t="inlineStr">
        <is>
          <t>custos[19].duracao_meses</t>
        </is>
      </c>
    </row>
    <row r="504">
      <c r="A504" s="15" t="inlineStr">
        <is>
          <t>Custo 20</t>
        </is>
      </c>
    </row>
    <row r="505">
      <c r="A505" s="5" t="inlineStr">
        <is>
          <t>Custo 20 — Grupo</t>
        </is>
      </c>
      <c r="B505" s="6" t="n"/>
      <c r="C505" s="7" t="inlineStr">
        <is>
          <t>lista: terreno | obra | diretos | indireto | financeiro</t>
        </is>
      </c>
      <c r="D505" s="8" t="inlineStr">
        <is>
          <t>custos[20].grupo</t>
        </is>
      </c>
    </row>
    <row r="506">
      <c r="A506" s="5" t="inlineStr">
        <is>
          <t>Custo 20 — Categoria</t>
        </is>
      </c>
      <c r="B506" s="6" t="n"/>
      <c r="C506" s="7" t="inlineStr">
        <is>
          <t>ver tabela acima</t>
        </is>
      </c>
      <c r="D506" s="8" t="inlineStr">
        <is>
          <t>custos[20].categoria</t>
        </is>
      </c>
    </row>
    <row r="507">
      <c r="A507" s="5" t="inlineStr">
        <is>
          <t>Custo 20 — Subcategoria / descrição</t>
        </is>
      </c>
      <c r="B507" s="6" t="n"/>
      <c r="C507" s="7" t="inlineStr">
        <is>
          <t>Preço: Valor à vista | Parcelado; Outro: texto</t>
        </is>
      </c>
      <c r="D507" s="8" t="inlineStr">
        <is>
          <t>custos[20].subcategoria</t>
        </is>
      </c>
    </row>
    <row r="508">
      <c r="A508" s="5" t="inlineStr">
        <is>
          <t>Custo 20 — Unidade</t>
        </is>
      </c>
      <c r="B508" s="6" t="n"/>
      <c r="C508" s="7" t="inlineStr">
        <is>
          <t>lista: rs | rs_m2_priv | rs_m2_terreno | pct_vgv | pct_obra | pct_recebido | pct_constr</t>
        </is>
      </c>
      <c r="D508" s="8" t="inlineStr">
        <is>
          <t>custos[20].unidade</t>
        </is>
      </c>
    </row>
    <row r="509">
      <c r="A509" s="5" t="inlineStr">
        <is>
          <t>Custo 20 — Valor (R$ ou R$/m²)</t>
        </is>
      </c>
      <c r="B509" s="16" t="n"/>
      <c r="C509" s="7">
        <f>IF($B$508="","escolha a Unidade acima",IF($B$508="rs","R$ (valor cheio)",IF($B$508="rs_m2_priv","R$/m² privativo (fechada+aberta)",IF($B$508="rs_m2_terreno","R$/m² de terreno",IF(LEFT($B$508,3)="pct","— (use a linha de %)","unidade inválida")))))</f>
        <v/>
      </c>
      <c r="D509" s="8" t="inlineStr">
        <is>
          <t>custos[20].valor_rs</t>
        </is>
      </c>
    </row>
    <row r="510">
      <c r="A510" s="5" t="inlineStr">
        <is>
          <t>Custo 20 — Valor (%)</t>
        </is>
      </c>
      <c r="B510" s="11" t="n"/>
      <c r="C510" s="7">
        <f>IF($B$508="","escolha a Unidade acima",IF($B$508="pct_vgv","% do VGV",IF($B$508="pct_receita","% da receita líquida (RET, sem juros)",IF($B$508="pct_obra","% da obra (grupo Obras inteiro)",IF($B$508="pct_recebido","% do recebido (com juros de tabela)",IF($B$508="pct_constr","% da construção (constr.+decor.+gestão da obra)",IF(LEFT($B$508,2)="rs","— (use a linha de R$)","unidade inválida"))))))</f>
        <v/>
      </c>
      <c r="D510" s="8" t="inlineStr">
        <is>
          <t>custos[20].valor_pct</t>
        </is>
      </c>
    </row>
    <row r="511">
      <c r="A511" s="5" t="inlineStr">
        <is>
          <t>Custo 20 — Distribuição</t>
        </is>
      </c>
      <c r="B511" s="6" t="n"/>
      <c r="C511" s="7" t="inlineStr">
        <is>
          <t>Linear | nome de uma curva do catálogo (ex.: Curva S) | unit_delivery | sales_revenue</t>
        </is>
      </c>
      <c r="D511" s="8" t="inlineStr">
        <is>
          <t>custos[20].distribuicao</t>
        </is>
      </c>
    </row>
    <row r="512">
      <c r="A512" s="5" t="inlineStr">
        <is>
          <t>Custo 20 — Cronograma</t>
        </is>
      </c>
      <c r="B512" s="6" t="n"/>
      <c r="C512" s="7" t="inlineStr">
        <is>
          <t>evento, customizado ou "fase: &lt;nome&gt;"</t>
        </is>
      </c>
      <c r="D512" s="8" t="inlineStr">
        <is>
          <t>custos[20].cronograma</t>
        </is>
      </c>
    </row>
    <row r="513">
      <c r="A513" s="5" t="inlineStr">
        <is>
          <t>Custo 20 — Início (só customizado)</t>
        </is>
      </c>
      <c r="B513" s="14" t="n"/>
      <c r="C513" s="7" t="inlineStr">
        <is>
          <t>mês (inteiro ≥ 0)</t>
        </is>
      </c>
      <c r="D513" s="8" t="inlineStr">
        <is>
          <t>custos[20].inicio_mes</t>
        </is>
      </c>
    </row>
    <row r="514">
      <c r="A514" s="5" t="inlineStr">
        <is>
          <t>Custo 20 — Duração (só customizado)</t>
        </is>
      </c>
      <c r="B514" s="14" t="n"/>
      <c r="C514" s="7" t="inlineStr">
        <is>
          <t>meses (inteiro ≥ 1)</t>
        </is>
      </c>
      <c r="D514" s="8" t="inlineStr">
        <is>
          <t>custos[20].duracao_meses</t>
        </is>
      </c>
    </row>
    <row r="515">
      <c r="A515" s="15" t="inlineStr">
        <is>
          <t>Custo 21</t>
        </is>
      </c>
    </row>
    <row r="516">
      <c r="A516" s="5" t="inlineStr">
        <is>
          <t>Custo 21 — Grupo</t>
        </is>
      </c>
      <c r="B516" s="6" t="n"/>
      <c r="C516" s="7" t="inlineStr">
        <is>
          <t>lista: terreno | obra | diretos | indireto | financeiro</t>
        </is>
      </c>
      <c r="D516" s="8" t="inlineStr">
        <is>
          <t>custos[21].grupo</t>
        </is>
      </c>
    </row>
    <row r="517">
      <c r="A517" s="5" t="inlineStr">
        <is>
          <t>Custo 21 — Categoria</t>
        </is>
      </c>
      <c r="B517" s="6" t="n"/>
      <c r="C517" s="7" t="inlineStr">
        <is>
          <t>ver tabela acima</t>
        </is>
      </c>
      <c r="D517" s="8" t="inlineStr">
        <is>
          <t>custos[21].categoria</t>
        </is>
      </c>
    </row>
    <row r="518">
      <c r="A518" s="5" t="inlineStr">
        <is>
          <t>Custo 21 — Subcategoria / descrição</t>
        </is>
      </c>
      <c r="B518" s="6" t="n"/>
      <c r="C518" s="7" t="inlineStr">
        <is>
          <t>Preço: Valor à vista | Parcelado; Outro: texto</t>
        </is>
      </c>
      <c r="D518" s="8" t="inlineStr">
        <is>
          <t>custos[21].subcategoria</t>
        </is>
      </c>
    </row>
    <row r="519">
      <c r="A519" s="5" t="inlineStr">
        <is>
          <t>Custo 21 — Unidade</t>
        </is>
      </c>
      <c r="B519" s="6" t="n"/>
      <c r="C519" s="7" t="inlineStr">
        <is>
          <t>lista: rs | rs_m2_priv | rs_m2_terreno | pct_vgv | pct_obra | pct_recebido | pct_constr</t>
        </is>
      </c>
      <c r="D519" s="8" t="inlineStr">
        <is>
          <t>custos[21].unidade</t>
        </is>
      </c>
    </row>
    <row r="520">
      <c r="A520" s="5" t="inlineStr">
        <is>
          <t>Custo 21 — Valor (R$ ou R$/m²)</t>
        </is>
      </c>
      <c r="B520" s="16" t="n"/>
      <c r="C520" s="7">
        <f>IF($B$519="","escolha a Unidade acima",IF($B$519="rs","R$ (valor cheio)",IF($B$519="rs_m2_priv","R$/m² privativo (fechada+aberta)",IF($B$519="rs_m2_terreno","R$/m² de terreno",IF(LEFT($B$519,3)="pct","— (use a linha de %)","unidade inválida")))))</f>
        <v/>
      </c>
      <c r="D520" s="8" t="inlineStr">
        <is>
          <t>custos[21].valor_rs</t>
        </is>
      </c>
    </row>
    <row r="521">
      <c r="A521" s="5" t="inlineStr">
        <is>
          <t>Custo 21 — Valor (%)</t>
        </is>
      </c>
      <c r="B521" s="11" t="n"/>
      <c r="C521" s="7">
        <f>IF($B$519="","escolha a Unidade acima",IF($B$519="pct_vgv","% do VGV",IF($B$519="pct_receita","% da receita líquida (RET, sem juros)",IF($B$519="pct_obra","% da obra (grupo Obras inteiro)",IF($B$519="pct_recebido","% do recebido (com juros de tabela)",IF($B$519="pct_constr","% da construção (constr.+decor.+gestão da obra)",IF(LEFT($B$519,2)="rs","— (use a linha de R$)","unidade inválida"))))))</f>
        <v/>
      </c>
      <c r="D521" s="8" t="inlineStr">
        <is>
          <t>custos[21].valor_pct</t>
        </is>
      </c>
    </row>
    <row r="522">
      <c r="A522" s="5" t="inlineStr">
        <is>
          <t>Custo 21 — Distribuição</t>
        </is>
      </c>
      <c r="B522" s="6" t="n"/>
      <c r="C522" s="7" t="inlineStr">
        <is>
          <t>Linear | nome de uma curva do catálogo (ex.: Curva S) | unit_delivery | sales_revenue</t>
        </is>
      </c>
      <c r="D522" s="8" t="inlineStr">
        <is>
          <t>custos[21].distribuicao</t>
        </is>
      </c>
    </row>
    <row r="523">
      <c r="A523" s="5" t="inlineStr">
        <is>
          <t>Custo 21 — Cronograma</t>
        </is>
      </c>
      <c r="B523" s="6" t="n"/>
      <c r="C523" s="7" t="inlineStr">
        <is>
          <t>evento, customizado ou "fase: &lt;nome&gt;"</t>
        </is>
      </c>
      <c r="D523" s="8" t="inlineStr">
        <is>
          <t>custos[21].cronograma</t>
        </is>
      </c>
    </row>
    <row r="524">
      <c r="A524" s="5" t="inlineStr">
        <is>
          <t>Custo 21 — Início (só customizado)</t>
        </is>
      </c>
      <c r="B524" s="14" t="n"/>
      <c r="C524" s="7" t="inlineStr">
        <is>
          <t>mês (inteiro ≥ 0)</t>
        </is>
      </c>
      <c r="D524" s="8" t="inlineStr">
        <is>
          <t>custos[21].inicio_mes</t>
        </is>
      </c>
    </row>
    <row r="525">
      <c r="A525" s="5" t="inlineStr">
        <is>
          <t>Custo 21 — Duração (só customizado)</t>
        </is>
      </c>
      <c r="B525" s="14" t="n"/>
      <c r="C525" s="7" t="inlineStr">
        <is>
          <t>meses (inteiro ≥ 1)</t>
        </is>
      </c>
      <c r="D525" s="8" t="inlineStr">
        <is>
          <t>custos[21].duracao_meses</t>
        </is>
      </c>
    </row>
    <row r="526">
      <c r="A526" s="15" t="inlineStr">
        <is>
          <t>Custo 22</t>
        </is>
      </c>
    </row>
    <row r="527">
      <c r="A527" s="5" t="inlineStr">
        <is>
          <t>Custo 22 — Grupo</t>
        </is>
      </c>
      <c r="B527" s="6" t="n"/>
      <c r="C527" s="7" t="inlineStr">
        <is>
          <t>lista: terreno | obra | diretos | indireto | financeiro</t>
        </is>
      </c>
      <c r="D527" s="8" t="inlineStr">
        <is>
          <t>custos[22].grupo</t>
        </is>
      </c>
    </row>
    <row r="528">
      <c r="A528" s="5" t="inlineStr">
        <is>
          <t>Custo 22 — Categoria</t>
        </is>
      </c>
      <c r="B528" s="6" t="n"/>
      <c r="C528" s="7" t="inlineStr">
        <is>
          <t>ver tabela acima</t>
        </is>
      </c>
      <c r="D528" s="8" t="inlineStr">
        <is>
          <t>custos[22].categoria</t>
        </is>
      </c>
    </row>
    <row r="529">
      <c r="A529" s="5" t="inlineStr">
        <is>
          <t>Custo 22 — Subcategoria / descrição</t>
        </is>
      </c>
      <c r="B529" s="6" t="n"/>
      <c r="C529" s="7" t="inlineStr">
        <is>
          <t>Preço: Valor à vista | Parcelado; Outro: texto</t>
        </is>
      </c>
      <c r="D529" s="8" t="inlineStr">
        <is>
          <t>custos[22].subcategoria</t>
        </is>
      </c>
    </row>
    <row r="530">
      <c r="A530" s="5" t="inlineStr">
        <is>
          <t>Custo 22 — Unidade</t>
        </is>
      </c>
      <c r="B530" s="6" t="n"/>
      <c r="C530" s="7" t="inlineStr">
        <is>
          <t>lista: rs | rs_m2_priv | rs_m2_terreno | pct_vgv | pct_obra | pct_recebido | pct_constr</t>
        </is>
      </c>
      <c r="D530" s="8" t="inlineStr">
        <is>
          <t>custos[22].unidade</t>
        </is>
      </c>
    </row>
    <row r="531">
      <c r="A531" s="5" t="inlineStr">
        <is>
          <t>Custo 22 — Valor (R$ ou R$/m²)</t>
        </is>
      </c>
      <c r="B531" s="16" t="n"/>
      <c r="C531" s="7">
        <f>IF($B$530="","escolha a Unidade acima",IF($B$530="rs","R$ (valor cheio)",IF($B$530="rs_m2_priv","R$/m² privativo (fechada+aberta)",IF($B$530="rs_m2_terreno","R$/m² de terreno",IF(LEFT($B$530,3)="pct","— (use a linha de %)","unidade inválida")))))</f>
        <v/>
      </c>
      <c r="D531" s="8" t="inlineStr">
        <is>
          <t>custos[22].valor_rs</t>
        </is>
      </c>
    </row>
    <row r="532">
      <c r="A532" s="5" t="inlineStr">
        <is>
          <t>Custo 22 — Valor (%)</t>
        </is>
      </c>
      <c r="B532" s="11" t="n"/>
      <c r="C532" s="7">
        <f>IF($B$530="","escolha a Unidade acima",IF($B$530="pct_vgv","% do VGV",IF($B$530="pct_receita","% da receita líquida (RET, sem juros)",IF($B$530="pct_obra","% da obra (grupo Obras inteiro)",IF($B$530="pct_recebido","% do recebido (com juros de tabela)",IF($B$530="pct_constr","% da construção (constr.+decor.+gestão da obra)",IF(LEFT($B$530,2)="rs","— (use a linha de R$)","unidade inválida"))))))</f>
        <v/>
      </c>
      <c r="D532" s="8" t="inlineStr">
        <is>
          <t>custos[22].valor_pct</t>
        </is>
      </c>
    </row>
    <row r="533">
      <c r="A533" s="5" t="inlineStr">
        <is>
          <t>Custo 22 — Distribuição</t>
        </is>
      </c>
      <c r="B533" s="6" t="n"/>
      <c r="C533" s="7" t="inlineStr">
        <is>
          <t>Linear | nome de uma curva do catálogo (ex.: Curva S) | unit_delivery | sales_revenue</t>
        </is>
      </c>
      <c r="D533" s="8" t="inlineStr">
        <is>
          <t>custos[22].distribuicao</t>
        </is>
      </c>
    </row>
    <row r="534">
      <c r="A534" s="5" t="inlineStr">
        <is>
          <t>Custo 22 — Cronograma</t>
        </is>
      </c>
      <c r="B534" s="6" t="n"/>
      <c r="C534" s="7" t="inlineStr">
        <is>
          <t>evento, customizado ou "fase: &lt;nome&gt;"</t>
        </is>
      </c>
      <c r="D534" s="8" t="inlineStr">
        <is>
          <t>custos[22].cronograma</t>
        </is>
      </c>
    </row>
    <row r="535">
      <c r="A535" s="5" t="inlineStr">
        <is>
          <t>Custo 22 — Início (só customizado)</t>
        </is>
      </c>
      <c r="B535" s="14" t="n"/>
      <c r="C535" s="7" t="inlineStr">
        <is>
          <t>mês (inteiro ≥ 0)</t>
        </is>
      </c>
      <c r="D535" s="8" t="inlineStr">
        <is>
          <t>custos[22].inicio_mes</t>
        </is>
      </c>
    </row>
    <row r="536">
      <c r="A536" s="5" t="inlineStr">
        <is>
          <t>Custo 22 — Duração (só customizado)</t>
        </is>
      </c>
      <c r="B536" s="14" t="n"/>
      <c r="C536" s="7" t="inlineStr">
        <is>
          <t>meses (inteiro ≥ 1)</t>
        </is>
      </c>
      <c r="D536" s="8" t="inlineStr">
        <is>
          <t>custos[22].duracao_meses</t>
        </is>
      </c>
    </row>
    <row r="537">
      <c r="A537" s="15" t="inlineStr">
        <is>
          <t>Custo 23</t>
        </is>
      </c>
    </row>
    <row r="538">
      <c r="A538" s="5" t="inlineStr">
        <is>
          <t>Custo 23 — Grupo</t>
        </is>
      </c>
      <c r="B538" s="6" t="n"/>
      <c r="C538" s="7" t="inlineStr">
        <is>
          <t>lista: terreno | obra | diretos | indireto | financeiro</t>
        </is>
      </c>
      <c r="D538" s="8" t="inlineStr">
        <is>
          <t>custos[23].grupo</t>
        </is>
      </c>
    </row>
    <row r="539">
      <c r="A539" s="5" t="inlineStr">
        <is>
          <t>Custo 23 — Categoria</t>
        </is>
      </c>
      <c r="B539" s="6" t="n"/>
      <c r="C539" s="7" t="inlineStr">
        <is>
          <t>ver tabela acima</t>
        </is>
      </c>
      <c r="D539" s="8" t="inlineStr">
        <is>
          <t>custos[23].categoria</t>
        </is>
      </c>
    </row>
    <row r="540">
      <c r="A540" s="5" t="inlineStr">
        <is>
          <t>Custo 23 — Subcategoria / descrição</t>
        </is>
      </c>
      <c r="B540" s="6" t="n"/>
      <c r="C540" s="7" t="inlineStr">
        <is>
          <t>Preço: Valor à vista | Parcelado; Outro: texto</t>
        </is>
      </c>
      <c r="D540" s="8" t="inlineStr">
        <is>
          <t>custos[23].subcategoria</t>
        </is>
      </c>
    </row>
    <row r="541">
      <c r="A541" s="5" t="inlineStr">
        <is>
          <t>Custo 23 — Unidade</t>
        </is>
      </c>
      <c r="B541" s="6" t="n"/>
      <c r="C541" s="7" t="inlineStr">
        <is>
          <t>lista: rs | rs_m2_priv | rs_m2_terreno | pct_vgv | pct_obra | pct_recebido | pct_constr</t>
        </is>
      </c>
      <c r="D541" s="8" t="inlineStr">
        <is>
          <t>custos[23].unidade</t>
        </is>
      </c>
    </row>
    <row r="542">
      <c r="A542" s="5" t="inlineStr">
        <is>
          <t>Custo 23 — Valor (R$ ou R$/m²)</t>
        </is>
      </c>
      <c r="B542" s="16" t="n"/>
      <c r="C542" s="7">
        <f>IF($B$541="","escolha a Unidade acima",IF($B$541="rs","R$ (valor cheio)",IF($B$541="rs_m2_priv","R$/m² privativo (fechada+aberta)",IF($B$541="rs_m2_terreno","R$/m² de terreno",IF(LEFT($B$541,3)="pct","— (use a linha de %)","unidade inválida")))))</f>
        <v/>
      </c>
      <c r="D542" s="8" t="inlineStr">
        <is>
          <t>custos[23].valor_rs</t>
        </is>
      </c>
    </row>
    <row r="543">
      <c r="A543" s="5" t="inlineStr">
        <is>
          <t>Custo 23 — Valor (%)</t>
        </is>
      </c>
      <c r="B543" s="11" t="n"/>
      <c r="C543" s="7">
        <f>IF($B$541="","escolha a Unidade acima",IF($B$541="pct_vgv","% do VGV",IF($B$541="pct_receita","% da receita líquida (RET, sem juros)",IF($B$541="pct_obra","% da obra (grupo Obras inteiro)",IF($B$541="pct_recebido","% do recebido (com juros de tabela)",IF($B$541="pct_constr","% da construção (constr.+decor.+gestão da obra)",IF(LEFT($B$541,2)="rs","— (use a linha de R$)","unidade inválida"))))))</f>
        <v/>
      </c>
      <c r="D543" s="8" t="inlineStr">
        <is>
          <t>custos[23].valor_pct</t>
        </is>
      </c>
    </row>
    <row r="544">
      <c r="A544" s="5" t="inlineStr">
        <is>
          <t>Custo 23 — Distribuição</t>
        </is>
      </c>
      <c r="B544" s="6" t="n"/>
      <c r="C544" s="7" t="inlineStr">
        <is>
          <t>Linear | nome de uma curva do catálogo (ex.: Curva S) | unit_delivery | sales_revenue</t>
        </is>
      </c>
      <c r="D544" s="8" t="inlineStr">
        <is>
          <t>custos[23].distribuicao</t>
        </is>
      </c>
    </row>
    <row r="545">
      <c r="A545" s="5" t="inlineStr">
        <is>
          <t>Custo 23 — Cronograma</t>
        </is>
      </c>
      <c r="B545" s="6" t="n"/>
      <c r="C545" s="7" t="inlineStr">
        <is>
          <t>evento, customizado ou "fase: &lt;nome&gt;"</t>
        </is>
      </c>
      <c r="D545" s="8" t="inlineStr">
        <is>
          <t>custos[23].cronograma</t>
        </is>
      </c>
    </row>
    <row r="546">
      <c r="A546" s="5" t="inlineStr">
        <is>
          <t>Custo 23 — Início (só customizado)</t>
        </is>
      </c>
      <c r="B546" s="14" t="n"/>
      <c r="C546" s="7" t="inlineStr">
        <is>
          <t>mês (inteiro ≥ 0)</t>
        </is>
      </c>
      <c r="D546" s="8" t="inlineStr">
        <is>
          <t>custos[23].inicio_mes</t>
        </is>
      </c>
    </row>
    <row r="547">
      <c r="A547" s="5" t="inlineStr">
        <is>
          <t>Custo 23 — Duração (só customizado)</t>
        </is>
      </c>
      <c r="B547" s="14" t="n"/>
      <c r="C547" s="7" t="inlineStr">
        <is>
          <t>meses (inteiro ≥ 1)</t>
        </is>
      </c>
      <c r="D547" s="8" t="inlineStr">
        <is>
          <t>custos[23].duracao_meses</t>
        </is>
      </c>
    </row>
    <row r="548">
      <c r="A548" s="15" t="inlineStr">
        <is>
          <t>Custo 24</t>
        </is>
      </c>
    </row>
    <row r="549">
      <c r="A549" s="5" t="inlineStr">
        <is>
          <t>Custo 24 — Grupo</t>
        </is>
      </c>
      <c r="B549" s="6" t="n"/>
      <c r="C549" s="7" t="inlineStr">
        <is>
          <t>lista: terreno | obra | diretos | indireto | financeiro</t>
        </is>
      </c>
      <c r="D549" s="8" t="inlineStr">
        <is>
          <t>custos[24].grupo</t>
        </is>
      </c>
    </row>
    <row r="550">
      <c r="A550" s="5" t="inlineStr">
        <is>
          <t>Custo 24 — Categoria</t>
        </is>
      </c>
      <c r="B550" s="6" t="n"/>
      <c r="C550" s="7" t="inlineStr">
        <is>
          <t>ver tabela acima</t>
        </is>
      </c>
      <c r="D550" s="8" t="inlineStr">
        <is>
          <t>custos[24].categoria</t>
        </is>
      </c>
    </row>
    <row r="551">
      <c r="A551" s="5" t="inlineStr">
        <is>
          <t>Custo 24 — Subcategoria / descrição</t>
        </is>
      </c>
      <c r="B551" s="6" t="n"/>
      <c r="C551" s="7" t="inlineStr">
        <is>
          <t>Preço: Valor à vista | Parcelado; Outro: texto</t>
        </is>
      </c>
      <c r="D551" s="8" t="inlineStr">
        <is>
          <t>custos[24].subcategoria</t>
        </is>
      </c>
    </row>
    <row r="552">
      <c r="A552" s="5" t="inlineStr">
        <is>
          <t>Custo 24 — Unidade</t>
        </is>
      </c>
      <c r="B552" s="6" t="n"/>
      <c r="C552" s="7" t="inlineStr">
        <is>
          <t>lista: rs | rs_m2_priv | rs_m2_terreno | pct_vgv | pct_obra | pct_recebido | pct_constr</t>
        </is>
      </c>
      <c r="D552" s="8" t="inlineStr">
        <is>
          <t>custos[24].unidade</t>
        </is>
      </c>
    </row>
    <row r="553">
      <c r="A553" s="5" t="inlineStr">
        <is>
          <t>Custo 24 — Valor (R$ ou R$/m²)</t>
        </is>
      </c>
      <c r="B553" s="16" t="n"/>
      <c r="C553" s="7">
        <f>IF($B$552="","escolha a Unidade acima",IF($B$552="rs","R$ (valor cheio)",IF($B$552="rs_m2_priv","R$/m² privativo (fechada+aberta)",IF($B$552="rs_m2_terreno","R$/m² de terreno",IF(LEFT($B$552,3)="pct","— (use a linha de %)","unidade inválida")))))</f>
        <v/>
      </c>
      <c r="D553" s="8" t="inlineStr">
        <is>
          <t>custos[24].valor_rs</t>
        </is>
      </c>
    </row>
    <row r="554">
      <c r="A554" s="5" t="inlineStr">
        <is>
          <t>Custo 24 — Valor (%)</t>
        </is>
      </c>
      <c r="B554" s="11" t="n"/>
      <c r="C554" s="7">
        <f>IF($B$552="","escolha a Unidade acima",IF($B$552="pct_vgv","% do VGV",IF($B$552="pct_receita","% da receita líquida (RET, sem juros)",IF($B$552="pct_obra","% da obra (grupo Obras inteiro)",IF($B$552="pct_recebido","% do recebido (com juros de tabela)",IF($B$552="pct_constr","% da construção (constr.+decor.+gestão da obra)",IF(LEFT($B$552,2)="rs","— (use a linha de R$)","unidade inválida"))))))</f>
        <v/>
      </c>
      <c r="D554" s="8" t="inlineStr">
        <is>
          <t>custos[24].valor_pct</t>
        </is>
      </c>
    </row>
    <row r="555">
      <c r="A555" s="5" t="inlineStr">
        <is>
          <t>Custo 24 — Distribuição</t>
        </is>
      </c>
      <c r="B555" s="6" t="n"/>
      <c r="C555" s="7" t="inlineStr">
        <is>
          <t>Linear | nome de uma curva do catálogo (ex.: Curva S) | unit_delivery | sales_revenue</t>
        </is>
      </c>
      <c r="D555" s="8" t="inlineStr">
        <is>
          <t>custos[24].distribuicao</t>
        </is>
      </c>
    </row>
    <row r="556">
      <c r="A556" s="5" t="inlineStr">
        <is>
          <t>Custo 24 — Cronograma</t>
        </is>
      </c>
      <c r="B556" s="6" t="n"/>
      <c r="C556" s="7" t="inlineStr">
        <is>
          <t>evento, customizado ou "fase: &lt;nome&gt;"</t>
        </is>
      </c>
      <c r="D556" s="8" t="inlineStr">
        <is>
          <t>custos[24].cronograma</t>
        </is>
      </c>
    </row>
    <row r="557">
      <c r="A557" s="5" t="inlineStr">
        <is>
          <t>Custo 24 — Início (só customizado)</t>
        </is>
      </c>
      <c r="B557" s="14" t="n"/>
      <c r="C557" s="7" t="inlineStr">
        <is>
          <t>mês (inteiro ≥ 0)</t>
        </is>
      </c>
      <c r="D557" s="8" t="inlineStr">
        <is>
          <t>custos[24].inicio_mes</t>
        </is>
      </c>
    </row>
    <row r="558">
      <c r="A558" s="5" t="inlineStr">
        <is>
          <t>Custo 24 — Duração (só customizado)</t>
        </is>
      </c>
      <c r="B558" s="14" t="n"/>
      <c r="C558" s="7" t="inlineStr">
        <is>
          <t>meses (inteiro ≥ 1)</t>
        </is>
      </c>
      <c r="D558" s="8" t="inlineStr">
        <is>
          <t>custos[24].duracao_meses</t>
        </is>
      </c>
    </row>
    <row r="559">
      <c r="A559" s="15" t="inlineStr">
        <is>
          <t>Custo 25</t>
        </is>
      </c>
    </row>
    <row r="560">
      <c r="A560" s="5" t="inlineStr">
        <is>
          <t>Custo 25 — Grupo</t>
        </is>
      </c>
      <c r="B560" s="6" t="n"/>
      <c r="C560" s="7" t="inlineStr">
        <is>
          <t>lista: terreno | obra | diretos | indireto | financeiro</t>
        </is>
      </c>
      <c r="D560" s="8" t="inlineStr">
        <is>
          <t>custos[25].grupo</t>
        </is>
      </c>
    </row>
    <row r="561">
      <c r="A561" s="5" t="inlineStr">
        <is>
          <t>Custo 25 — Categoria</t>
        </is>
      </c>
      <c r="B561" s="6" t="n"/>
      <c r="C561" s="7" t="inlineStr">
        <is>
          <t>ver tabela acima</t>
        </is>
      </c>
      <c r="D561" s="8" t="inlineStr">
        <is>
          <t>custos[25].categoria</t>
        </is>
      </c>
    </row>
    <row r="562">
      <c r="A562" s="5" t="inlineStr">
        <is>
          <t>Custo 25 — Subcategoria / descrição</t>
        </is>
      </c>
      <c r="B562" s="6" t="n"/>
      <c r="C562" s="7" t="inlineStr">
        <is>
          <t>Preço: Valor à vista | Parcelado; Outro: texto</t>
        </is>
      </c>
      <c r="D562" s="8" t="inlineStr">
        <is>
          <t>custos[25].subcategoria</t>
        </is>
      </c>
    </row>
    <row r="563">
      <c r="A563" s="5" t="inlineStr">
        <is>
          <t>Custo 25 — Unidade</t>
        </is>
      </c>
      <c r="B563" s="6" t="n"/>
      <c r="C563" s="7" t="inlineStr">
        <is>
          <t>lista: rs | rs_m2_priv | rs_m2_terreno | pct_vgv | pct_obra | pct_recebido | pct_constr</t>
        </is>
      </c>
      <c r="D563" s="8" t="inlineStr">
        <is>
          <t>custos[25].unidade</t>
        </is>
      </c>
    </row>
    <row r="564">
      <c r="A564" s="5" t="inlineStr">
        <is>
          <t>Custo 25 — Valor (R$ ou R$/m²)</t>
        </is>
      </c>
      <c r="B564" s="16" t="n"/>
      <c r="C564" s="7">
        <f>IF($B$563="","escolha a Unidade acima",IF($B$563="rs","R$ (valor cheio)",IF($B$563="rs_m2_priv","R$/m² privativo (fechada+aberta)",IF($B$563="rs_m2_terreno","R$/m² de terreno",IF(LEFT($B$563,3)="pct","— (use a linha de %)","unidade inválida")))))</f>
        <v/>
      </c>
      <c r="D564" s="8" t="inlineStr">
        <is>
          <t>custos[25].valor_rs</t>
        </is>
      </c>
    </row>
    <row r="565">
      <c r="A565" s="5" t="inlineStr">
        <is>
          <t>Custo 25 — Valor (%)</t>
        </is>
      </c>
      <c r="B565" s="11" t="n"/>
      <c r="C565" s="7">
        <f>IF($B$563="","escolha a Unidade acima",IF($B$563="pct_vgv","% do VGV",IF($B$563="pct_receita","% da receita líquida (RET, sem juros)",IF($B$563="pct_obra","% da obra (grupo Obras inteiro)",IF($B$563="pct_recebido","% do recebido (com juros de tabela)",IF($B$563="pct_constr","% da construção (constr.+decor.+gestão da obra)",IF(LEFT($B$563,2)="rs","— (use a linha de R$)","unidade inválida"))))))</f>
        <v/>
      </c>
      <c r="D565" s="8" t="inlineStr">
        <is>
          <t>custos[25].valor_pct</t>
        </is>
      </c>
    </row>
    <row r="566">
      <c r="A566" s="5" t="inlineStr">
        <is>
          <t>Custo 25 — Distribuição</t>
        </is>
      </c>
      <c r="B566" s="6" t="n"/>
      <c r="C566" s="7" t="inlineStr">
        <is>
          <t>Linear | nome de uma curva do catálogo (ex.: Curva S) | unit_delivery | sales_revenue</t>
        </is>
      </c>
      <c r="D566" s="8" t="inlineStr">
        <is>
          <t>custos[25].distribuicao</t>
        </is>
      </c>
    </row>
    <row r="567">
      <c r="A567" s="5" t="inlineStr">
        <is>
          <t>Custo 25 — Cronograma</t>
        </is>
      </c>
      <c r="B567" s="6" t="n"/>
      <c r="C567" s="7" t="inlineStr">
        <is>
          <t>evento, customizado ou "fase: &lt;nome&gt;"</t>
        </is>
      </c>
      <c r="D567" s="8" t="inlineStr">
        <is>
          <t>custos[25].cronograma</t>
        </is>
      </c>
    </row>
    <row r="568">
      <c r="A568" s="5" t="inlineStr">
        <is>
          <t>Custo 25 — Início (só customizado)</t>
        </is>
      </c>
      <c r="B568" s="14" t="n"/>
      <c r="C568" s="7" t="inlineStr">
        <is>
          <t>mês (inteiro ≥ 0)</t>
        </is>
      </c>
      <c r="D568" s="8" t="inlineStr">
        <is>
          <t>custos[25].inicio_mes</t>
        </is>
      </c>
    </row>
    <row r="569">
      <c r="A569" s="5" t="inlineStr">
        <is>
          <t>Custo 25 — Duração (só customizado)</t>
        </is>
      </c>
      <c r="B569" s="14" t="n"/>
      <c r="C569" s="7" t="inlineStr">
        <is>
          <t>meses (inteiro ≥ 1)</t>
        </is>
      </c>
      <c r="D569" s="8" t="inlineStr">
        <is>
          <t>custos[25].duracao_meses</t>
        </is>
      </c>
    </row>
    <row r="570">
      <c r="A570" s="15" t="inlineStr">
        <is>
          <t>Custo 26</t>
        </is>
      </c>
    </row>
    <row r="571">
      <c r="A571" s="5" t="inlineStr">
        <is>
          <t>Custo 26 — Grupo</t>
        </is>
      </c>
      <c r="B571" s="6" t="n"/>
      <c r="C571" s="7" t="inlineStr">
        <is>
          <t>lista: terreno | obra | diretos | indireto | financeiro</t>
        </is>
      </c>
      <c r="D571" s="8" t="inlineStr">
        <is>
          <t>custos[26].grupo</t>
        </is>
      </c>
    </row>
    <row r="572">
      <c r="A572" s="5" t="inlineStr">
        <is>
          <t>Custo 26 — Categoria</t>
        </is>
      </c>
      <c r="B572" s="6" t="n"/>
      <c r="C572" s="7" t="inlineStr">
        <is>
          <t>ver tabela acima</t>
        </is>
      </c>
      <c r="D572" s="8" t="inlineStr">
        <is>
          <t>custos[26].categoria</t>
        </is>
      </c>
    </row>
    <row r="573">
      <c r="A573" s="5" t="inlineStr">
        <is>
          <t>Custo 26 — Subcategoria / descrição</t>
        </is>
      </c>
      <c r="B573" s="6" t="n"/>
      <c r="C573" s="7" t="inlineStr">
        <is>
          <t>Preço: Valor à vista | Parcelado; Outro: texto</t>
        </is>
      </c>
      <c r="D573" s="8" t="inlineStr">
        <is>
          <t>custos[26].subcategoria</t>
        </is>
      </c>
    </row>
    <row r="574">
      <c r="A574" s="5" t="inlineStr">
        <is>
          <t>Custo 26 — Unidade</t>
        </is>
      </c>
      <c r="B574" s="6" t="n"/>
      <c r="C574" s="7" t="inlineStr">
        <is>
          <t>lista: rs | rs_m2_priv | rs_m2_terreno | pct_vgv | pct_obra | pct_recebido | pct_constr</t>
        </is>
      </c>
      <c r="D574" s="8" t="inlineStr">
        <is>
          <t>custos[26].unidade</t>
        </is>
      </c>
    </row>
    <row r="575">
      <c r="A575" s="5" t="inlineStr">
        <is>
          <t>Custo 26 — Valor (R$ ou R$/m²)</t>
        </is>
      </c>
      <c r="B575" s="16" t="n"/>
      <c r="C575" s="7">
        <f>IF($B$574="","escolha a Unidade acima",IF($B$574="rs","R$ (valor cheio)",IF($B$574="rs_m2_priv","R$/m² privativo (fechada+aberta)",IF($B$574="rs_m2_terreno","R$/m² de terreno",IF(LEFT($B$574,3)="pct","— (use a linha de %)","unidade inválida")))))</f>
        <v/>
      </c>
      <c r="D575" s="8" t="inlineStr">
        <is>
          <t>custos[26].valor_rs</t>
        </is>
      </c>
    </row>
    <row r="576">
      <c r="A576" s="5" t="inlineStr">
        <is>
          <t>Custo 26 — Valor (%)</t>
        </is>
      </c>
      <c r="B576" s="11" t="n"/>
      <c r="C576" s="7">
        <f>IF($B$574="","escolha a Unidade acima",IF($B$574="pct_vgv","% do VGV",IF($B$574="pct_receita","% da receita líquida (RET, sem juros)",IF($B$574="pct_obra","% da obra (grupo Obras inteiro)",IF($B$574="pct_recebido","% do recebido (com juros de tabela)",IF($B$574="pct_constr","% da construção (constr.+decor.+gestão da obra)",IF(LEFT($B$574,2)="rs","— (use a linha de R$)","unidade inválida"))))))</f>
        <v/>
      </c>
      <c r="D576" s="8" t="inlineStr">
        <is>
          <t>custos[26].valor_pct</t>
        </is>
      </c>
    </row>
    <row r="577">
      <c r="A577" s="5" t="inlineStr">
        <is>
          <t>Custo 26 — Distribuição</t>
        </is>
      </c>
      <c r="B577" s="6" t="n"/>
      <c r="C577" s="7" t="inlineStr">
        <is>
          <t>Linear | nome de uma curva do catálogo (ex.: Curva S) | unit_delivery | sales_revenue</t>
        </is>
      </c>
      <c r="D577" s="8" t="inlineStr">
        <is>
          <t>custos[26].distribuicao</t>
        </is>
      </c>
    </row>
    <row r="578">
      <c r="A578" s="5" t="inlineStr">
        <is>
          <t>Custo 26 — Cronograma</t>
        </is>
      </c>
      <c r="B578" s="6" t="n"/>
      <c r="C578" s="7" t="inlineStr">
        <is>
          <t>evento, customizado ou "fase: &lt;nome&gt;"</t>
        </is>
      </c>
      <c r="D578" s="8" t="inlineStr">
        <is>
          <t>custos[26].cronograma</t>
        </is>
      </c>
    </row>
    <row r="579">
      <c r="A579" s="5" t="inlineStr">
        <is>
          <t>Custo 26 — Início (só customizado)</t>
        </is>
      </c>
      <c r="B579" s="14" t="n"/>
      <c r="C579" s="7" t="inlineStr">
        <is>
          <t>mês (inteiro ≥ 0)</t>
        </is>
      </c>
      <c r="D579" s="8" t="inlineStr">
        <is>
          <t>custos[26].inicio_mes</t>
        </is>
      </c>
    </row>
    <row r="580">
      <c r="A580" s="5" t="inlineStr">
        <is>
          <t>Custo 26 — Duração (só customizado)</t>
        </is>
      </c>
      <c r="B580" s="14" t="n"/>
      <c r="C580" s="7" t="inlineStr">
        <is>
          <t>meses (inteiro ≥ 1)</t>
        </is>
      </c>
      <c r="D580" s="8" t="inlineStr">
        <is>
          <t>custos[26].duracao_meses</t>
        </is>
      </c>
    </row>
    <row r="581">
      <c r="A581" s="15" t="inlineStr">
        <is>
          <t>Custo 27</t>
        </is>
      </c>
    </row>
    <row r="582">
      <c r="A582" s="5" t="inlineStr">
        <is>
          <t>Custo 27 — Grupo</t>
        </is>
      </c>
      <c r="B582" s="6" t="n"/>
      <c r="C582" s="7" t="inlineStr">
        <is>
          <t>lista: terreno | obra | diretos | indireto | financeiro</t>
        </is>
      </c>
      <c r="D582" s="8" t="inlineStr">
        <is>
          <t>custos[27].grupo</t>
        </is>
      </c>
    </row>
    <row r="583">
      <c r="A583" s="5" t="inlineStr">
        <is>
          <t>Custo 27 — Categoria</t>
        </is>
      </c>
      <c r="B583" s="6" t="n"/>
      <c r="C583" s="7" t="inlineStr">
        <is>
          <t>ver tabela acima</t>
        </is>
      </c>
      <c r="D583" s="8" t="inlineStr">
        <is>
          <t>custos[27].categoria</t>
        </is>
      </c>
    </row>
    <row r="584">
      <c r="A584" s="5" t="inlineStr">
        <is>
          <t>Custo 27 — Subcategoria / descrição</t>
        </is>
      </c>
      <c r="B584" s="6" t="n"/>
      <c r="C584" s="7" t="inlineStr">
        <is>
          <t>Preço: Valor à vista | Parcelado; Outro: texto</t>
        </is>
      </c>
      <c r="D584" s="8" t="inlineStr">
        <is>
          <t>custos[27].subcategoria</t>
        </is>
      </c>
    </row>
    <row r="585">
      <c r="A585" s="5" t="inlineStr">
        <is>
          <t>Custo 27 — Unidade</t>
        </is>
      </c>
      <c r="B585" s="6" t="n"/>
      <c r="C585" s="7" t="inlineStr">
        <is>
          <t>lista: rs | rs_m2_priv | rs_m2_terreno | pct_vgv | pct_obra | pct_recebido | pct_constr</t>
        </is>
      </c>
      <c r="D585" s="8" t="inlineStr">
        <is>
          <t>custos[27].unidade</t>
        </is>
      </c>
    </row>
    <row r="586">
      <c r="A586" s="5" t="inlineStr">
        <is>
          <t>Custo 27 — Valor (R$ ou R$/m²)</t>
        </is>
      </c>
      <c r="B586" s="16" t="n"/>
      <c r="C586" s="7">
        <f>IF($B$585="","escolha a Unidade acima",IF($B$585="rs","R$ (valor cheio)",IF($B$585="rs_m2_priv","R$/m² privativo (fechada+aberta)",IF($B$585="rs_m2_terreno","R$/m² de terreno",IF(LEFT($B$585,3)="pct","— (use a linha de %)","unidade inválida")))))</f>
        <v/>
      </c>
      <c r="D586" s="8" t="inlineStr">
        <is>
          <t>custos[27].valor_rs</t>
        </is>
      </c>
    </row>
    <row r="587">
      <c r="A587" s="5" t="inlineStr">
        <is>
          <t>Custo 27 — Valor (%)</t>
        </is>
      </c>
      <c r="B587" s="11" t="n"/>
      <c r="C587" s="7">
        <f>IF($B$585="","escolha a Unidade acima",IF($B$585="pct_vgv","% do VGV",IF($B$585="pct_receita","% da receita líquida (RET, sem juros)",IF($B$585="pct_obra","% da obra (grupo Obras inteiro)",IF($B$585="pct_recebido","% do recebido (com juros de tabela)",IF($B$585="pct_constr","% da construção (constr.+decor.+gestão da obra)",IF(LEFT($B$585,2)="rs","— (use a linha de R$)","unidade inválida"))))))</f>
        <v/>
      </c>
      <c r="D587" s="8" t="inlineStr">
        <is>
          <t>custos[27].valor_pct</t>
        </is>
      </c>
    </row>
    <row r="588">
      <c r="A588" s="5" t="inlineStr">
        <is>
          <t>Custo 27 — Distribuição</t>
        </is>
      </c>
      <c r="B588" s="6" t="n"/>
      <c r="C588" s="7" t="inlineStr">
        <is>
          <t>Linear | nome de uma curva do catálogo (ex.: Curva S) | unit_delivery | sales_revenue</t>
        </is>
      </c>
      <c r="D588" s="8" t="inlineStr">
        <is>
          <t>custos[27].distribuicao</t>
        </is>
      </c>
    </row>
    <row r="589">
      <c r="A589" s="5" t="inlineStr">
        <is>
          <t>Custo 27 — Cronograma</t>
        </is>
      </c>
      <c r="B589" s="6" t="n"/>
      <c r="C589" s="7" t="inlineStr">
        <is>
          <t>evento, customizado ou "fase: &lt;nome&gt;"</t>
        </is>
      </c>
      <c r="D589" s="8" t="inlineStr">
        <is>
          <t>custos[27].cronograma</t>
        </is>
      </c>
    </row>
    <row r="590">
      <c r="A590" s="5" t="inlineStr">
        <is>
          <t>Custo 27 — Início (só customizado)</t>
        </is>
      </c>
      <c r="B590" s="14" t="n"/>
      <c r="C590" s="7" t="inlineStr">
        <is>
          <t>mês (inteiro ≥ 0)</t>
        </is>
      </c>
      <c r="D590" s="8" t="inlineStr">
        <is>
          <t>custos[27].inicio_mes</t>
        </is>
      </c>
    </row>
    <row r="591">
      <c r="A591" s="5" t="inlineStr">
        <is>
          <t>Custo 27 — Duração (só customizado)</t>
        </is>
      </c>
      <c r="B591" s="14" t="n"/>
      <c r="C591" s="7" t="inlineStr">
        <is>
          <t>meses (inteiro ≥ 1)</t>
        </is>
      </c>
      <c r="D591" s="8" t="inlineStr">
        <is>
          <t>custos[27].duracao_meses</t>
        </is>
      </c>
    </row>
    <row r="592">
      <c r="A592" s="15" t="inlineStr">
        <is>
          <t>Custo 28</t>
        </is>
      </c>
    </row>
    <row r="593">
      <c r="A593" s="5" t="inlineStr">
        <is>
          <t>Custo 28 — Grupo</t>
        </is>
      </c>
      <c r="B593" s="6" t="n"/>
      <c r="C593" s="7" t="inlineStr">
        <is>
          <t>lista: terreno | obra | diretos | indireto | financeiro</t>
        </is>
      </c>
      <c r="D593" s="8" t="inlineStr">
        <is>
          <t>custos[28].grupo</t>
        </is>
      </c>
    </row>
    <row r="594">
      <c r="A594" s="5" t="inlineStr">
        <is>
          <t>Custo 28 — Categoria</t>
        </is>
      </c>
      <c r="B594" s="6" t="n"/>
      <c r="C594" s="7" t="inlineStr">
        <is>
          <t>ver tabela acima</t>
        </is>
      </c>
      <c r="D594" s="8" t="inlineStr">
        <is>
          <t>custos[28].categoria</t>
        </is>
      </c>
    </row>
    <row r="595">
      <c r="A595" s="5" t="inlineStr">
        <is>
          <t>Custo 28 — Subcategoria / descrição</t>
        </is>
      </c>
      <c r="B595" s="6" t="n"/>
      <c r="C595" s="7" t="inlineStr">
        <is>
          <t>Preço: Valor à vista | Parcelado; Outro: texto</t>
        </is>
      </c>
      <c r="D595" s="8" t="inlineStr">
        <is>
          <t>custos[28].subcategoria</t>
        </is>
      </c>
    </row>
    <row r="596">
      <c r="A596" s="5" t="inlineStr">
        <is>
          <t>Custo 28 — Unidade</t>
        </is>
      </c>
      <c r="B596" s="6" t="n"/>
      <c r="C596" s="7" t="inlineStr">
        <is>
          <t>lista: rs | rs_m2_priv | rs_m2_terreno | pct_vgv | pct_obra | pct_recebido | pct_constr</t>
        </is>
      </c>
      <c r="D596" s="8" t="inlineStr">
        <is>
          <t>custos[28].unidade</t>
        </is>
      </c>
    </row>
    <row r="597">
      <c r="A597" s="5" t="inlineStr">
        <is>
          <t>Custo 28 — Valor (R$ ou R$/m²)</t>
        </is>
      </c>
      <c r="B597" s="16" t="n"/>
      <c r="C597" s="7">
        <f>IF($B$596="","escolha a Unidade acima",IF($B$596="rs","R$ (valor cheio)",IF($B$596="rs_m2_priv","R$/m² privativo (fechada+aberta)",IF($B$596="rs_m2_terreno","R$/m² de terreno",IF(LEFT($B$596,3)="pct","— (use a linha de %)","unidade inválida")))))</f>
        <v/>
      </c>
      <c r="D597" s="8" t="inlineStr">
        <is>
          <t>custos[28].valor_rs</t>
        </is>
      </c>
    </row>
    <row r="598">
      <c r="A598" s="5" t="inlineStr">
        <is>
          <t>Custo 28 — Valor (%)</t>
        </is>
      </c>
      <c r="B598" s="11" t="n"/>
      <c r="C598" s="7">
        <f>IF($B$596="","escolha a Unidade acima",IF($B$596="pct_vgv","% do VGV",IF($B$596="pct_receita","% da receita líquida (RET, sem juros)",IF($B$596="pct_obra","% da obra (grupo Obras inteiro)",IF($B$596="pct_recebido","% do recebido (com juros de tabela)",IF($B$596="pct_constr","% da construção (constr.+decor.+gestão da obra)",IF(LEFT($B$596,2)="rs","— (use a linha de R$)","unidade inválida"))))))</f>
        <v/>
      </c>
      <c r="D598" s="8" t="inlineStr">
        <is>
          <t>custos[28].valor_pct</t>
        </is>
      </c>
    </row>
    <row r="599">
      <c r="A599" s="5" t="inlineStr">
        <is>
          <t>Custo 28 — Distribuição</t>
        </is>
      </c>
      <c r="B599" s="6" t="n"/>
      <c r="C599" s="7" t="inlineStr">
        <is>
          <t>Linear | nome de uma curva do catálogo (ex.: Curva S) | unit_delivery | sales_revenue</t>
        </is>
      </c>
      <c r="D599" s="8" t="inlineStr">
        <is>
          <t>custos[28].distribuicao</t>
        </is>
      </c>
    </row>
    <row r="600">
      <c r="A600" s="5" t="inlineStr">
        <is>
          <t>Custo 28 — Cronograma</t>
        </is>
      </c>
      <c r="B600" s="6" t="n"/>
      <c r="C600" s="7" t="inlineStr">
        <is>
          <t>evento, customizado ou "fase: &lt;nome&gt;"</t>
        </is>
      </c>
      <c r="D600" s="8" t="inlineStr">
        <is>
          <t>custos[28].cronograma</t>
        </is>
      </c>
    </row>
    <row r="601">
      <c r="A601" s="5" t="inlineStr">
        <is>
          <t>Custo 28 — Início (só customizado)</t>
        </is>
      </c>
      <c r="B601" s="14" t="n"/>
      <c r="C601" s="7" t="inlineStr">
        <is>
          <t>mês (inteiro ≥ 0)</t>
        </is>
      </c>
      <c r="D601" s="8" t="inlineStr">
        <is>
          <t>custos[28].inicio_mes</t>
        </is>
      </c>
    </row>
    <row r="602">
      <c r="A602" s="5" t="inlineStr">
        <is>
          <t>Custo 28 — Duração (só customizado)</t>
        </is>
      </c>
      <c r="B602" s="14" t="n"/>
      <c r="C602" s="7" t="inlineStr">
        <is>
          <t>meses (inteiro ≥ 1)</t>
        </is>
      </c>
      <c r="D602" s="8" t="inlineStr">
        <is>
          <t>custos[28].duracao_meses</t>
        </is>
      </c>
    </row>
    <row r="603">
      <c r="A603" s="15" t="inlineStr">
        <is>
          <t>Permuta física do terreno (terreno / Preço / Permuta física) — até 2</t>
        </is>
      </c>
    </row>
    <row r="604">
      <c r="A604" s="5" t="inlineStr">
        <is>
          <t>Permuta física 1 — Lote entregue</t>
        </is>
      </c>
      <c r="B604" s="6" t="n"/>
      <c r="C604" s="7" t="inlineStr">
        <is>
          <t>nome do lote</t>
        </is>
      </c>
      <c r="D604" s="8" t="inlineStr">
        <is>
          <t>permuta_fisica[1].tipologia</t>
        </is>
      </c>
    </row>
    <row r="605">
      <c r="A605" s="5" t="inlineStr">
        <is>
          <t>Permuta física 1 — Unidades entregues</t>
        </is>
      </c>
      <c r="B605" s="14" t="n"/>
      <c r="C605" s="7" t="inlineStr">
        <is>
          <t>unidades (≤ alocado)</t>
        </is>
      </c>
      <c r="D605" s="8" t="inlineStr">
        <is>
          <t>permuta_fisica[1].unidades</t>
        </is>
      </c>
    </row>
    <row r="606">
      <c r="A606" s="5" t="inlineStr">
        <is>
          <t>Permuta física 2 — Lote entregue</t>
        </is>
      </c>
      <c r="B606" s="6" t="n"/>
      <c r="C606" s="7" t="inlineStr">
        <is>
          <t>nome do lote</t>
        </is>
      </c>
      <c r="D606" s="8" t="inlineStr">
        <is>
          <t>permuta_fisica[2].tipologia</t>
        </is>
      </c>
    </row>
    <row r="607">
      <c r="A607" s="5" t="inlineStr">
        <is>
          <t>Permuta física 2 — Unidades entregues</t>
        </is>
      </c>
      <c r="B607" s="14" t="n"/>
      <c r="C607" s="7" t="inlineStr">
        <is>
          <t>unidades (≤ alocado)</t>
        </is>
      </c>
      <c r="D607" s="8" t="inlineStr">
        <is>
          <t>permuta_fisica[2].unidades</t>
        </is>
      </c>
    </row>
    <row r="608">
      <c r="A608" s="15" t="inlineStr">
        <is>
          <t>Permuta financeira do terreno (terreno / Preço / Permuta financeira) — até 2</t>
        </is>
      </c>
    </row>
    <row r="609">
      <c r="A609" s="5" t="inlineStr">
        <is>
          <t>Permuta financeira 1 — Unidade</t>
        </is>
      </c>
      <c r="B609" s="6" t="n"/>
      <c r="C609" s="7" t="inlineStr">
        <is>
          <t>lista: rs | pct_vgv</t>
        </is>
      </c>
      <c r="D609" s="8" t="inlineStr">
        <is>
          <t>permuta_financeira[1].unidade</t>
        </is>
      </c>
    </row>
    <row r="610">
      <c r="A610" s="5" t="inlineStr">
        <is>
          <t>Permuta financeira 1 — Valor em R$</t>
        </is>
      </c>
      <c r="B610" s="16" t="n"/>
      <c r="C610" s="7" t="inlineStr">
        <is>
          <t>R$ (valor cheio; se unidade = rs)</t>
        </is>
      </c>
      <c r="D610" s="8" t="inlineStr">
        <is>
          <t>permuta_financeira[1].valor_rs</t>
        </is>
      </c>
    </row>
    <row r="611">
      <c r="A611" s="5" t="inlineStr">
        <is>
          <t>Permuta financeira 1 — Valor em % do VGV</t>
        </is>
      </c>
      <c r="B611" s="11" t="n"/>
      <c r="C611" s="7" t="inlineStr">
        <is>
          <t>% do VGV (se unidade = pct_vgv)</t>
        </is>
      </c>
      <c r="D611" s="8" t="inlineStr">
        <is>
          <t>permuta_financeira[1].valor_pct</t>
        </is>
      </c>
    </row>
    <row r="612">
      <c r="A612" s="5" t="inlineStr">
        <is>
          <t>Permuta financeira 1 — Deduzir impostos</t>
        </is>
      </c>
      <c r="B612" s="6" t="n"/>
      <c r="C612" s="7" t="inlineStr">
        <is>
          <t>Sim/Não</t>
        </is>
      </c>
      <c r="D612" s="8" t="inlineStr">
        <is>
          <t>permuta_financeira[1].deduzir_imposto</t>
        </is>
      </c>
    </row>
    <row r="613">
      <c r="A613" s="5" t="inlineStr">
        <is>
          <t>Permuta financeira 1 — Deduzir corretagem</t>
        </is>
      </c>
      <c r="B613" s="6" t="n"/>
      <c r="C613" s="7" t="inlineStr">
        <is>
          <t>Sim/Não</t>
        </is>
      </c>
      <c r="D613" s="8" t="inlineStr">
        <is>
          <t>permuta_financeira[1].deduzir_corretagem</t>
        </is>
      </c>
    </row>
    <row r="614">
      <c r="A614" s="5" t="inlineStr">
        <is>
          <t>Permuta financeira 2 — Unidade</t>
        </is>
      </c>
      <c r="B614" s="6" t="n"/>
      <c r="C614" s="7" t="inlineStr">
        <is>
          <t>lista: rs | pct_vgv</t>
        </is>
      </c>
      <c r="D614" s="8" t="inlineStr">
        <is>
          <t>permuta_financeira[2].unidade</t>
        </is>
      </c>
    </row>
    <row r="615">
      <c r="A615" s="5" t="inlineStr">
        <is>
          <t>Permuta financeira 2 — Valor em R$</t>
        </is>
      </c>
      <c r="B615" s="16" t="n"/>
      <c r="C615" s="7" t="inlineStr">
        <is>
          <t>R$ (valor cheio; se unidade = rs)</t>
        </is>
      </c>
      <c r="D615" s="8" t="inlineStr">
        <is>
          <t>permuta_financeira[2].valor_rs</t>
        </is>
      </c>
    </row>
    <row r="616">
      <c r="A616" s="5" t="inlineStr">
        <is>
          <t>Permuta financeira 2 — Valor em % do VGV</t>
        </is>
      </c>
      <c r="B616" s="11" t="n"/>
      <c r="C616" s="7" t="inlineStr">
        <is>
          <t>% do VGV (se unidade = pct_vgv)</t>
        </is>
      </c>
      <c r="D616" s="8" t="inlineStr">
        <is>
          <t>permuta_financeira[2].valor_pct</t>
        </is>
      </c>
    </row>
    <row r="617">
      <c r="A617" s="5" t="inlineStr">
        <is>
          <t>Permuta financeira 2 — Deduzir impostos</t>
        </is>
      </c>
      <c r="B617" s="6" t="n"/>
      <c r="C617" s="7" t="inlineStr">
        <is>
          <t>Sim/Não</t>
        </is>
      </c>
      <c r="D617" s="8" t="inlineStr">
        <is>
          <t>permuta_financeira[2].deduzir_imposto</t>
        </is>
      </c>
    </row>
    <row r="618">
      <c r="A618" s="5" t="inlineStr">
        <is>
          <t>Permuta financeira 2 — Deduzir corretagem</t>
        </is>
      </c>
      <c r="B618" s="6" t="n"/>
      <c r="C618" s="7" t="inlineStr">
        <is>
          <t>Sim/Não</t>
        </is>
      </c>
      <c r="D618" s="8" t="inlineStr">
        <is>
          <t>permuta_financeira[2].deduzir_corretagem</t>
        </is>
      </c>
    </row>
    <row r="619" ht="20" customHeight="1">
      <c r="A619" s="4" t="inlineStr">
        <is>
          <t>10 · Funding (operações) — 1 financiamento à produção + 3 dívidas + 3 equities; deixe em branco o que não existir</t>
        </is>
      </c>
    </row>
    <row r="620">
      <c r="A620" s="15" t="inlineStr">
        <is>
          <t>Financiamento à produção (no máximo um por estudo)</t>
        </is>
      </c>
    </row>
    <row r="621">
      <c r="A621" s="5" t="inlineStr">
        <is>
          <t>Financiamento à produção — Nome</t>
        </is>
      </c>
      <c r="B621" s="6" t="n"/>
      <c r="C621" s="7" t="inlineStr">
        <is>
          <t>texto</t>
        </is>
      </c>
      <c r="D621" s="8" t="inlineStr">
        <is>
          <t>funding.financiamento_producao.nome</t>
        </is>
      </c>
    </row>
    <row r="622">
      <c r="A622" s="5" t="inlineStr">
        <is>
          <t>Financiamento à produção — Ativo</t>
        </is>
      </c>
      <c r="B622" s="6" t="n"/>
      <c r="C622" s="7" t="inlineStr">
        <is>
          <t>Sim/Não</t>
        </is>
      </c>
      <c r="D622" s="8" t="inlineStr">
        <is>
          <t>funding.financiamento_producao.ativo</t>
        </is>
      </c>
    </row>
    <row r="623">
      <c r="A623" s="5" t="inlineStr">
        <is>
          <t>Financiamento à produção — Teto</t>
        </is>
      </c>
      <c r="B623" s="16" t="n"/>
      <c r="C623" s="7" t="inlineStr">
        <is>
          <t>R$ (0 = sem teto)</t>
        </is>
      </c>
      <c r="D623" s="8" t="inlineStr">
        <is>
          <t>funding.financiamento_producao.valor</t>
        </is>
      </c>
    </row>
    <row r="624">
      <c r="A624" s="5" t="inlineStr">
        <is>
          <t>Financiamento à produção — Taxa</t>
        </is>
      </c>
      <c r="B624" s="11" t="n"/>
      <c r="C624" s="7" t="inlineStr">
        <is>
          <t>% a.a.</t>
        </is>
      </c>
      <c r="D624" s="8" t="inlineStr">
        <is>
          <t>funding.financiamento_producao.taxa_anual</t>
        </is>
      </c>
    </row>
    <row r="625">
      <c r="A625" s="5" t="inlineStr">
        <is>
          <t>Financiamento à produção — Exposição mínima</t>
        </is>
      </c>
      <c r="B625" s="11" t="n"/>
      <c r="C625" s="7" t="inlineStr">
        <is>
          <t>% (do custo)</t>
        </is>
      </c>
      <c r="D625" s="8" t="inlineStr">
        <is>
          <t>funding.financiamento_producao.exposicao_minima</t>
        </is>
      </c>
    </row>
    <row r="626">
      <c r="A626" s="5" t="inlineStr">
        <is>
          <t>Financiamento à produção — % do custo financiado</t>
        </is>
      </c>
      <c r="B626" s="11" t="n"/>
      <c r="C626" s="7" t="inlineStr">
        <is>
          <t>%</t>
        </is>
      </c>
      <c r="D626" s="8" t="inlineStr">
        <is>
          <t>funding.financiamento_producao.percentual_financiavel</t>
        </is>
      </c>
    </row>
    <row r="627">
      <c r="A627" s="5" t="inlineStr">
        <is>
          <t>Financiamento à produção — Caixa amortiza antes das chaves</t>
        </is>
      </c>
      <c r="B627" s="6" t="n"/>
      <c r="C627" s="7" t="inlineStr">
        <is>
          <t>Sim/Não</t>
        </is>
      </c>
      <c r="D627" s="8" t="inlineStr">
        <is>
          <t>funding.financiamento_producao.amortizar_com_caixa_disponivel</t>
        </is>
      </c>
    </row>
    <row r="628">
      <c r="A628" s="5" t="inlineStr">
        <is>
          <t>Financiamento à produção — Base financiável</t>
        </is>
      </c>
      <c r="B628" s="6" t="n"/>
      <c r="C628" s="7" t="inlineStr">
        <is>
          <t>linhas de custo separadas por ";" — Categoria ou Categoria / Subcategoria; vazio = padrão</t>
        </is>
      </c>
      <c r="D628" s="8" t="inlineStr">
        <is>
          <t>funding.financiamento_producao.base_financiavel</t>
        </is>
      </c>
    </row>
    <row r="629">
      <c r="A629" s="15" t="inlineStr">
        <is>
          <t>Dívida 1</t>
        </is>
      </c>
    </row>
    <row r="630">
      <c r="A630" s="5" t="inlineStr">
        <is>
          <t>Dívida 1 — Nome</t>
        </is>
      </c>
      <c r="B630" s="6" t="n"/>
      <c r="C630" s="7" t="inlineStr">
        <is>
          <t>texto</t>
        </is>
      </c>
      <c r="D630" s="8" t="inlineStr">
        <is>
          <t>funding.divida[1].nome</t>
        </is>
      </c>
    </row>
    <row r="631">
      <c r="A631" s="5" t="inlineStr">
        <is>
          <t>Dívida 1 — Valor</t>
        </is>
      </c>
      <c r="B631" s="16" t="n"/>
      <c r="C631" s="7" t="inlineStr">
        <is>
          <t>R$ (valor cheio)</t>
        </is>
      </c>
      <c r="D631" s="8" t="inlineStr">
        <is>
          <t>funding.divida[1].valor</t>
        </is>
      </c>
    </row>
    <row r="632">
      <c r="A632" s="5" t="inlineStr">
        <is>
          <t>Dívida 1 — Mês do aporte</t>
        </is>
      </c>
      <c r="B632" s="6" t="n"/>
      <c r="C632" s="7" t="inlineStr">
        <is>
          <t>evento, fase ("fase: &lt;nome&gt;") ou customizado</t>
        </is>
      </c>
      <c r="D632" s="8" t="inlineStr">
        <is>
          <t>funding.divida[1].aporte</t>
        </is>
      </c>
    </row>
    <row r="633">
      <c r="A633" s="5" t="inlineStr">
        <is>
          <t>Dívida 1 — Mês (só customizado)</t>
        </is>
      </c>
      <c r="B633" s="14" t="n"/>
      <c r="C633" s="7" t="inlineStr">
        <is>
          <t>mês (inteiro ≥ 0)</t>
        </is>
      </c>
      <c r="D633" s="8" t="inlineStr">
        <is>
          <t>funding.divida[1].mes</t>
        </is>
      </c>
    </row>
    <row r="634">
      <c r="A634" s="5" t="inlineStr">
        <is>
          <t>Dívida 1 — Distribuir aporte</t>
        </is>
      </c>
      <c r="B634" s="6" t="n"/>
      <c r="C634" s="7" t="inlineStr">
        <is>
          <t>Sim/Não</t>
        </is>
      </c>
      <c r="D634" s="8" t="inlineStr">
        <is>
          <t>funding.divida[1].distribuir_aporte</t>
        </is>
      </c>
    </row>
    <row r="635">
      <c r="A635" s="5" t="inlineStr">
        <is>
          <t>Dívida 1 — Aporte em</t>
        </is>
      </c>
      <c r="B635" s="14" t="n"/>
      <c r="C635" s="7" t="inlineStr">
        <is>
          <t>meses (≥ 1)</t>
        </is>
      </c>
      <c r="D635" s="8" t="inlineStr">
        <is>
          <t>funding.divida[1].aporte_meses</t>
        </is>
      </c>
    </row>
    <row r="636">
      <c r="A636" s="5" t="inlineStr">
        <is>
          <t>Dívida 1 — Taxa</t>
        </is>
      </c>
      <c r="B636" s="11" t="n"/>
      <c r="C636" s="7" t="inlineStr">
        <is>
          <t>% a.a.</t>
        </is>
      </c>
      <c r="D636" s="8" t="inlineStr">
        <is>
          <t>funding.divida[1].taxa_anual</t>
        </is>
      </c>
    </row>
    <row r="637">
      <c r="A637" s="5" t="inlineStr">
        <is>
          <t>Dívida 1 — Amortização</t>
        </is>
      </c>
      <c r="B637" s="14" t="n"/>
      <c r="C637" s="7" t="inlineStr">
        <is>
          <t>meses</t>
        </is>
      </c>
      <c r="D637" s="8" t="inlineStr">
        <is>
          <t>funding.divida[1].amortizacao_meses</t>
        </is>
      </c>
    </row>
    <row r="638">
      <c r="A638" s="5" t="inlineStr">
        <is>
          <t>Dívida 1 — Carência</t>
        </is>
      </c>
      <c r="B638" s="14" t="n"/>
      <c r="C638" s="7" t="inlineStr">
        <is>
          <t>meses (&lt; amortização)</t>
        </is>
      </c>
      <c r="D638" s="8" t="inlineStr">
        <is>
          <t>funding.divida[1].carencia_meses</t>
        </is>
      </c>
    </row>
    <row r="639">
      <c r="A639" s="5" t="inlineStr">
        <is>
          <t>Dívida 1 — Estruturação</t>
        </is>
      </c>
      <c r="B639" s="11" t="n"/>
      <c r="C639" s="7" t="inlineStr">
        <is>
          <t>% do valor</t>
        </is>
      </c>
      <c r="D639" s="8" t="inlineStr">
        <is>
          <t>funding.divida[1].estruturacao_pct</t>
        </is>
      </c>
    </row>
    <row r="640">
      <c r="A640" s="5" t="inlineStr">
        <is>
          <t>Dívida 1 — Administração</t>
        </is>
      </c>
      <c r="B640" s="16" t="n"/>
      <c r="C640" s="7" t="inlineStr">
        <is>
          <t>R$/mês</t>
        </is>
      </c>
      <c r="D640" s="8" t="inlineStr">
        <is>
          <t>funding.divida[1].administracao_mensal</t>
        </is>
      </c>
    </row>
    <row r="641">
      <c r="A641" s="5" t="inlineStr">
        <is>
          <t>Dívida 1 — Outros encargos</t>
        </is>
      </c>
      <c r="B641" s="16" t="n"/>
      <c r="C641" s="7" t="inlineStr">
        <is>
          <t>R$ (iniciais)</t>
        </is>
      </c>
      <c r="D641" s="8" t="inlineStr">
        <is>
          <t>funding.divida[1].outros_encargos</t>
        </is>
      </c>
    </row>
    <row r="642">
      <c r="A642" s="15" t="inlineStr">
        <is>
          <t>Dívida 2</t>
        </is>
      </c>
    </row>
    <row r="643">
      <c r="A643" s="5" t="inlineStr">
        <is>
          <t>Dívida 2 — Nome</t>
        </is>
      </c>
      <c r="B643" s="6" t="n"/>
      <c r="C643" s="7" t="inlineStr">
        <is>
          <t>texto</t>
        </is>
      </c>
      <c r="D643" s="8" t="inlineStr">
        <is>
          <t>funding.divida[2].nome</t>
        </is>
      </c>
    </row>
    <row r="644">
      <c r="A644" s="5" t="inlineStr">
        <is>
          <t>Dívida 2 — Valor</t>
        </is>
      </c>
      <c r="B644" s="16" t="n"/>
      <c r="C644" s="7" t="inlineStr">
        <is>
          <t>R$ (valor cheio)</t>
        </is>
      </c>
      <c r="D644" s="8" t="inlineStr">
        <is>
          <t>funding.divida[2].valor</t>
        </is>
      </c>
    </row>
    <row r="645">
      <c r="A645" s="5" t="inlineStr">
        <is>
          <t>Dívida 2 — Mês do aporte</t>
        </is>
      </c>
      <c r="B645" s="6" t="n"/>
      <c r="C645" s="7" t="inlineStr">
        <is>
          <t>evento, fase ("fase: &lt;nome&gt;") ou customizado</t>
        </is>
      </c>
      <c r="D645" s="8" t="inlineStr">
        <is>
          <t>funding.divida[2].aporte</t>
        </is>
      </c>
    </row>
    <row r="646">
      <c r="A646" s="5" t="inlineStr">
        <is>
          <t>Dívida 2 — Mês (só customizado)</t>
        </is>
      </c>
      <c r="B646" s="14" t="n"/>
      <c r="C646" s="7" t="inlineStr">
        <is>
          <t>mês (inteiro ≥ 0)</t>
        </is>
      </c>
      <c r="D646" s="8" t="inlineStr">
        <is>
          <t>funding.divida[2].mes</t>
        </is>
      </c>
    </row>
    <row r="647">
      <c r="A647" s="5" t="inlineStr">
        <is>
          <t>Dívida 2 — Distribuir aporte</t>
        </is>
      </c>
      <c r="B647" s="6" t="n"/>
      <c r="C647" s="7" t="inlineStr">
        <is>
          <t>Sim/Não</t>
        </is>
      </c>
      <c r="D647" s="8" t="inlineStr">
        <is>
          <t>funding.divida[2].distribuir_aporte</t>
        </is>
      </c>
    </row>
    <row r="648">
      <c r="A648" s="5" t="inlineStr">
        <is>
          <t>Dívida 2 — Aporte em</t>
        </is>
      </c>
      <c r="B648" s="14" t="n"/>
      <c r="C648" s="7" t="inlineStr">
        <is>
          <t>meses (≥ 1)</t>
        </is>
      </c>
      <c r="D648" s="8" t="inlineStr">
        <is>
          <t>funding.divida[2].aporte_meses</t>
        </is>
      </c>
    </row>
    <row r="649">
      <c r="A649" s="5" t="inlineStr">
        <is>
          <t>Dívida 2 — Taxa</t>
        </is>
      </c>
      <c r="B649" s="11" t="n"/>
      <c r="C649" s="7" t="inlineStr">
        <is>
          <t>% a.a.</t>
        </is>
      </c>
      <c r="D649" s="8" t="inlineStr">
        <is>
          <t>funding.divida[2].taxa_anual</t>
        </is>
      </c>
    </row>
    <row r="650">
      <c r="A650" s="5" t="inlineStr">
        <is>
          <t>Dívida 2 — Amortização</t>
        </is>
      </c>
      <c r="B650" s="14" t="n"/>
      <c r="C650" s="7" t="inlineStr">
        <is>
          <t>meses</t>
        </is>
      </c>
      <c r="D650" s="8" t="inlineStr">
        <is>
          <t>funding.divida[2].amortizacao_meses</t>
        </is>
      </c>
    </row>
    <row r="651">
      <c r="A651" s="5" t="inlineStr">
        <is>
          <t>Dívida 2 — Carência</t>
        </is>
      </c>
      <c r="B651" s="14" t="n"/>
      <c r="C651" s="7" t="inlineStr">
        <is>
          <t>meses (&lt; amortização)</t>
        </is>
      </c>
      <c r="D651" s="8" t="inlineStr">
        <is>
          <t>funding.divida[2].carencia_meses</t>
        </is>
      </c>
    </row>
    <row r="652">
      <c r="A652" s="5" t="inlineStr">
        <is>
          <t>Dívida 2 — Estruturação</t>
        </is>
      </c>
      <c r="B652" s="11" t="n"/>
      <c r="C652" s="7" t="inlineStr">
        <is>
          <t>% do valor</t>
        </is>
      </c>
      <c r="D652" s="8" t="inlineStr">
        <is>
          <t>funding.divida[2].estruturacao_pct</t>
        </is>
      </c>
    </row>
    <row r="653">
      <c r="A653" s="5" t="inlineStr">
        <is>
          <t>Dívida 2 — Administração</t>
        </is>
      </c>
      <c r="B653" s="16" t="n"/>
      <c r="C653" s="7" t="inlineStr">
        <is>
          <t>R$/mês</t>
        </is>
      </c>
      <c r="D653" s="8" t="inlineStr">
        <is>
          <t>funding.divida[2].administracao_mensal</t>
        </is>
      </c>
    </row>
    <row r="654">
      <c r="A654" s="5" t="inlineStr">
        <is>
          <t>Dívida 2 — Outros encargos</t>
        </is>
      </c>
      <c r="B654" s="16" t="n"/>
      <c r="C654" s="7" t="inlineStr">
        <is>
          <t>R$ (iniciais)</t>
        </is>
      </c>
      <c r="D654" s="8" t="inlineStr">
        <is>
          <t>funding.divida[2].outros_encargos</t>
        </is>
      </c>
    </row>
    <row r="655">
      <c r="A655" s="15" t="inlineStr">
        <is>
          <t>Dívida 3</t>
        </is>
      </c>
    </row>
    <row r="656">
      <c r="A656" s="5" t="inlineStr">
        <is>
          <t>Dívida 3 — Nome</t>
        </is>
      </c>
      <c r="B656" s="6" t="n"/>
      <c r="C656" s="7" t="inlineStr">
        <is>
          <t>texto</t>
        </is>
      </c>
      <c r="D656" s="8" t="inlineStr">
        <is>
          <t>funding.divida[3].nome</t>
        </is>
      </c>
    </row>
    <row r="657">
      <c r="A657" s="5" t="inlineStr">
        <is>
          <t>Dívida 3 — Valor</t>
        </is>
      </c>
      <c r="B657" s="16" t="n"/>
      <c r="C657" s="7" t="inlineStr">
        <is>
          <t>R$ (valor cheio)</t>
        </is>
      </c>
      <c r="D657" s="8" t="inlineStr">
        <is>
          <t>funding.divida[3].valor</t>
        </is>
      </c>
    </row>
    <row r="658">
      <c r="A658" s="5" t="inlineStr">
        <is>
          <t>Dívida 3 — Mês do aporte</t>
        </is>
      </c>
      <c r="B658" s="6" t="n"/>
      <c r="C658" s="7" t="inlineStr">
        <is>
          <t>evento, fase ("fase: &lt;nome&gt;") ou customizado</t>
        </is>
      </c>
      <c r="D658" s="8" t="inlineStr">
        <is>
          <t>funding.divida[3].aporte</t>
        </is>
      </c>
    </row>
    <row r="659">
      <c r="A659" s="5" t="inlineStr">
        <is>
          <t>Dívida 3 — Mês (só customizado)</t>
        </is>
      </c>
      <c r="B659" s="14" t="n"/>
      <c r="C659" s="7" t="inlineStr">
        <is>
          <t>mês (inteiro ≥ 0)</t>
        </is>
      </c>
      <c r="D659" s="8" t="inlineStr">
        <is>
          <t>funding.divida[3].mes</t>
        </is>
      </c>
    </row>
    <row r="660">
      <c r="A660" s="5" t="inlineStr">
        <is>
          <t>Dívida 3 — Distribuir aporte</t>
        </is>
      </c>
      <c r="B660" s="6" t="n"/>
      <c r="C660" s="7" t="inlineStr">
        <is>
          <t>Sim/Não</t>
        </is>
      </c>
      <c r="D660" s="8" t="inlineStr">
        <is>
          <t>funding.divida[3].distribuir_aporte</t>
        </is>
      </c>
    </row>
    <row r="661">
      <c r="A661" s="5" t="inlineStr">
        <is>
          <t>Dívida 3 — Aporte em</t>
        </is>
      </c>
      <c r="B661" s="14" t="n"/>
      <c r="C661" s="7" t="inlineStr">
        <is>
          <t>meses (≥ 1)</t>
        </is>
      </c>
      <c r="D661" s="8" t="inlineStr">
        <is>
          <t>funding.divida[3].aporte_meses</t>
        </is>
      </c>
    </row>
    <row r="662">
      <c r="A662" s="5" t="inlineStr">
        <is>
          <t>Dívida 3 — Taxa</t>
        </is>
      </c>
      <c r="B662" s="11" t="n"/>
      <c r="C662" s="7" t="inlineStr">
        <is>
          <t>% a.a.</t>
        </is>
      </c>
      <c r="D662" s="8" t="inlineStr">
        <is>
          <t>funding.divida[3].taxa_anual</t>
        </is>
      </c>
    </row>
    <row r="663">
      <c r="A663" s="5" t="inlineStr">
        <is>
          <t>Dívida 3 — Amortização</t>
        </is>
      </c>
      <c r="B663" s="14" t="n"/>
      <c r="C663" s="7" t="inlineStr">
        <is>
          <t>meses</t>
        </is>
      </c>
      <c r="D663" s="8" t="inlineStr">
        <is>
          <t>funding.divida[3].amortizacao_meses</t>
        </is>
      </c>
    </row>
    <row r="664">
      <c r="A664" s="5" t="inlineStr">
        <is>
          <t>Dívida 3 — Carência</t>
        </is>
      </c>
      <c r="B664" s="14" t="n"/>
      <c r="C664" s="7" t="inlineStr">
        <is>
          <t>meses (&lt; amortização)</t>
        </is>
      </c>
      <c r="D664" s="8" t="inlineStr">
        <is>
          <t>funding.divida[3].carencia_meses</t>
        </is>
      </c>
    </row>
    <row r="665">
      <c r="A665" s="5" t="inlineStr">
        <is>
          <t>Dívida 3 — Estruturação</t>
        </is>
      </c>
      <c r="B665" s="11" t="n"/>
      <c r="C665" s="7" t="inlineStr">
        <is>
          <t>% do valor</t>
        </is>
      </c>
      <c r="D665" s="8" t="inlineStr">
        <is>
          <t>funding.divida[3].estruturacao_pct</t>
        </is>
      </c>
    </row>
    <row r="666">
      <c r="A666" s="5" t="inlineStr">
        <is>
          <t>Dívida 3 — Administração</t>
        </is>
      </c>
      <c r="B666" s="16" t="n"/>
      <c r="C666" s="7" t="inlineStr">
        <is>
          <t>R$/mês</t>
        </is>
      </c>
      <c r="D666" s="8" t="inlineStr">
        <is>
          <t>funding.divida[3].administracao_mensal</t>
        </is>
      </c>
    </row>
    <row r="667">
      <c r="A667" s="5" t="inlineStr">
        <is>
          <t>Dívida 3 — Outros encargos</t>
        </is>
      </c>
      <c r="B667" s="16" t="n"/>
      <c r="C667" s="7" t="inlineStr">
        <is>
          <t>R$ (iniciais)</t>
        </is>
      </c>
      <c r="D667" s="8" t="inlineStr">
        <is>
          <t>funding.divida[3].outros_encargos</t>
        </is>
      </c>
    </row>
    <row r="668">
      <c r="A668" s="15" t="inlineStr">
        <is>
          <t>Equity 1</t>
        </is>
      </c>
    </row>
    <row r="669">
      <c r="A669" s="5" t="inlineStr">
        <is>
          <t>Equity 1 — Nome</t>
        </is>
      </c>
      <c r="B669" s="6" t="n"/>
      <c r="C669" s="7" t="inlineStr">
        <is>
          <t>texto</t>
        </is>
      </c>
      <c r="D669" s="8" t="inlineStr">
        <is>
          <t>funding.equity[1].nome</t>
        </is>
      </c>
    </row>
    <row r="670">
      <c r="A670" s="5" t="inlineStr">
        <is>
          <t>Equity 1 — Valor</t>
        </is>
      </c>
      <c r="B670" s="16" t="n"/>
      <c r="C670" s="7" t="inlineStr">
        <is>
          <t>R$ (valor cheio)</t>
        </is>
      </c>
      <c r="D670" s="8" t="inlineStr">
        <is>
          <t>funding.equity[1].valor</t>
        </is>
      </c>
    </row>
    <row r="671">
      <c r="A671" s="5" t="inlineStr">
        <is>
          <t>Equity 1 — Mês do aporte</t>
        </is>
      </c>
      <c r="B671" s="6" t="n"/>
      <c r="C671" s="7" t="inlineStr">
        <is>
          <t>evento, fase ("fase: &lt;nome&gt;") ou customizado</t>
        </is>
      </c>
      <c r="D671" s="8" t="inlineStr">
        <is>
          <t>funding.equity[1].aporte</t>
        </is>
      </c>
    </row>
    <row r="672">
      <c r="A672" s="5" t="inlineStr">
        <is>
          <t>Equity 1 — Mês (só customizado)</t>
        </is>
      </c>
      <c r="B672" s="14" t="n"/>
      <c r="C672" s="7" t="inlineStr">
        <is>
          <t>mês (inteiro ≥ 0)</t>
        </is>
      </c>
      <c r="D672" s="8" t="inlineStr">
        <is>
          <t>funding.equity[1].mes</t>
        </is>
      </c>
    </row>
    <row r="673">
      <c r="A673" s="5" t="inlineStr">
        <is>
          <t>Equity 1 — Modo de retorno</t>
        </is>
      </c>
      <c r="B673" s="6" t="n"/>
      <c r="C673" s="7" t="inlineStr">
        <is>
          <t>lista: permuta_financeira | resultado_final</t>
        </is>
      </c>
      <c r="D673" s="8" t="inlineStr">
        <is>
          <t>funding.equity[1].modo_retorno</t>
        </is>
      </c>
    </row>
    <row r="674">
      <c r="A674" s="5" t="inlineStr">
        <is>
          <t>Equity 1 — % de retorno</t>
        </is>
      </c>
      <c r="B674" s="11" t="n"/>
      <c r="C674" s="7" t="inlineStr">
        <is>
          <t>% (do resultado final ou da receita líquida)</t>
        </is>
      </c>
      <c r="D674" s="8" t="inlineStr">
        <is>
          <t>funding.equity[1].pct_retorno</t>
        </is>
      </c>
    </row>
    <row r="675">
      <c r="A675" s="15" t="inlineStr">
        <is>
          <t>Equity 2</t>
        </is>
      </c>
    </row>
    <row r="676">
      <c r="A676" s="5" t="inlineStr">
        <is>
          <t>Equity 2 — Nome</t>
        </is>
      </c>
      <c r="B676" s="6" t="n"/>
      <c r="C676" s="7" t="inlineStr">
        <is>
          <t>texto</t>
        </is>
      </c>
      <c r="D676" s="8" t="inlineStr">
        <is>
          <t>funding.equity[2].nome</t>
        </is>
      </c>
    </row>
    <row r="677">
      <c r="A677" s="5" t="inlineStr">
        <is>
          <t>Equity 2 — Valor</t>
        </is>
      </c>
      <c r="B677" s="16" t="n"/>
      <c r="C677" s="7" t="inlineStr">
        <is>
          <t>R$ (valor cheio)</t>
        </is>
      </c>
      <c r="D677" s="8" t="inlineStr">
        <is>
          <t>funding.equity[2].valor</t>
        </is>
      </c>
    </row>
    <row r="678">
      <c r="A678" s="5" t="inlineStr">
        <is>
          <t>Equity 2 — Mês do aporte</t>
        </is>
      </c>
      <c r="B678" s="6" t="n"/>
      <c r="C678" s="7" t="inlineStr">
        <is>
          <t>evento, fase ("fase: &lt;nome&gt;") ou customizado</t>
        </is>
      </c>
      <c r="D678" s="8" t="inlineStr">
        <is>
          <t>funding.equity[2].aporte</t>
        </is>
      </c>
    </row>
    <row r="679">
      <c r="A679" s="5" t="inlineStr">
        <is>
          <t>Equity 2 — Mês (só customizado)</t>
        </is>
      </c>
      <c r="B679" s="14" t="n"/>
      <c r="C679" s="7" t="inlineStr">
        <is>
          <t>mês (inteiro ≥ 0)</t>
        </is>
      </c>
      <c r="D679" s="8" t="inlineStr">
        <is>
          <t>funding.equity[2].mes</t>
        </is>
      </c>
    </row>
    <row r="680">
      <c r="A680" s="5" t="inlineStr">
        <is>
          <t>Equity 2 — Modo de retorno</t>
        </is>
      </c>
      <c r="B680" s="6" t="n"/>
      <c r="C680" s="7" t="inlineStr">
        <is>
          <t>lista: permuta_financeira | resultado_final</t>
        </is>
      </c>
      <c r="D680" s="8" t="inlineStr">
        <is>
          <t>funding.equity[2].modo_retorno</t>
        </is>
      </c>
    </row>
    <row r="681">
      <c r="A681" s="5" t="inlineStr">
        <is>
          <t>Equity 2 — % de retorno</t>
        </is>
      </c>
      <c r="B681" s="11" t="n"/>
      <c r="C681" s="7" t="inlineStr">
        <is>
          <t>% (do resultado final ou da receita líquida)</t>
        </is>
      </c>
      <c r="D681" s="8" t="inlineStr">
        <is>
          <t>funding.equity[2].pct_retorno</t>
        </is>
      </c>
    </row>
    <row r="682">
      <c r="A682" s="15" t="inlineStr">
        <is>
          <t>Equity 3</t>
        </is>
      </c>
    </row>
    <row r="683">
      <c r="A683" s="5" t="inlineStr">
        <is>
          <t>Equity 3 — Nome</t>
        </is>
      </c>
      <c r="B683" s="6" t="n"/>
      <c r="C683" s="7" t="inlineStr">
        <is>
          <t>texto</t>
        </is>
      </c>
      <c r="D683" s="8" t="inlineStr">
        <is>
          <t>funding.equity[3].nome</t>
        </is>
      </c>
    </row>
    <row r="684">
      <c r="A684" s="5" t="inlineStr">
        <is>
          <t>Equity 3 — Valor</t>
        </is>
      </c>
      <c r="B684" s="16" t="n"/>
      <c r="C684" s="7" t="inlineStr">
        <is>
          <t>R$ (valor cheio)</t>
        </is>
      </c>
      <c r="D684" s="8" t="inlineStr">
        <is>
          <t>funding.equity[3].valor</t>
        </is>
      </c>
    </row>
    <row r="685">
      <c r="A685" s="5" t="inlineStr">
        <is>
          <t>Equity 3 — Mês do aporte</t>
        </is>
      </c>
      <c r="B685" s="6" t="n"/>
      <c r="C685" s="7" t="inlineStr">
        <is>
          <t>evento, fase ("fase: &lt;nome&gt;") ou customizado</t>
        </is>
      </c>
      <c r="D685" s="8" t="inlineStr">
        <is>
          <t>funding.equity[3].aporte</t>
        </is>
      </c>
    </row>
    <row r="686">
      <c r="A686" s="5" t="inlineStr">
        <is>
          <t>Equity 3 — Mês (só customizado)</t>
        </is>
      </c>
      <c r="B686" s="14" t="n"/>
      <c r="C686" s="7" t="inlineStr">
        <is>
          <t>mês (inteiro ≥ 0)</t>
        </is>
      </c>
      <c r="D686" s="8" t="inlineStr">
        <is>
          <t>funding.equity[3].mes</t>
        </is>
      </c>
    </row>
    <row r="687">
      <c r="A687" s="5" t="inlineStr">
        <is>
          <t>Equity 3 — Modo de retorno</t>
        </is>
      </c>
      <c r="B687" s="6" t="n"/>
      <c r="C687" s="7" t="inlineStr">
        <is>
          <t>lista: permuta_financeira | resultado_final</t>
        </is>
      </c>
      <c r="D687" s="8" t="inlineStr">
        <is>
          <t>funding.equity[3].modo_retorno</t>
        </is>
      </c>
    </row>
    <row r="688">
      <c r="A688" s="5" t="inlineStr">
        <is>
          <t>Equity 3 — % de retorno</t>
        </is>
      </c>
      <c r="B688" s="11" t="n"/>
      <c r="C688" s="7" t="inlineStr">
        <is>
          <t>% (do resultado final ou da receita líquida)</t>
        </is>
      </c>
      <c r="D688" s="8" t="inlineStr">
        <is>
          <t>funding.equity[3].pct_retorno</t>
        </is>
      </c>
    </row>
    <row r="689" ht="20" customHeight="1">
      <c r="A689" s="4" t="inlineStr">
        <is>
          <t>11 · Cenários (variação sobre o estudo real) — 5 vagas</t>
        </is>
      </c>
    </row>
    <row r="690">
      <c r="A690" s="5" t="inlineStr">
        <is>
          <t>Cenário 1 — Nome</t>
        </is>
      </c>
      <c r="B690" s="6" t="n"/>
      <c r="C690" s="7" t="inlineStr">
        <is>
          <t>texto</t>
        </is>
      </c>
      <c r="D690" s="8" t="inlineStr">
        <is>
          <t>cenarios[1].nome</t>
        </is>
      </c>
    </row>
    <row r="691">
      <c r="A691" s="5" t="inlineStr">
        <is>
          <t>Cenário 1 — Preço de venda</t>
        </is>
      </c>
      <c r="B691" s="11" t="n"/>
      <c r="C691" s="7" t="inlineStr">
        <is>
          <t>variação % (pode ser negativa)</t>
        </is>
      </c>
      <c r="D691" s="8" t="inlineStr">
        <is>
          <t>cenarios[1].preco_venda_pct</t>
        </is>
      </c>
    </row>
    <row r="692">
      <c r="A692" s="5" t="inlineStr">
        <is>
          <t>Cenário 1 — Custo de obra</t>
        </is>
      </c>
      <c r="B692" s="11" t="n"/>
      <c r="C692" s="7" t="inlineStr">
        <is>
          <t>variação % (pode ser negativa)</t>
        </is>
      </c>
      <c r="D692" s="8" t="inlineStr">
        <is>
          <t>cenarios[1].custo_obra_pct</t>
        </is>
      </c>
    </row>
    <row r="693">
      <c r="A693" s="5" t="inlineStr">
        <is>
          <t>Cenário 2 — Nome</t>
        </is>
      </c>
      <c r="B693" s="6" t="n"/>
      <c r="C693" s="7" t="inlineStr">
        <is>
          <t>texto</t>
        </is>
      </c>
      <c r="D693" s="8" t="inlineStr">
        <is>
          <t>cenarios[2].nome</t>
        </is>
      </c>
    </row>
    <row r="694">
      <c r="A694" s="5" t="inlineStr">
        <is>
          <t>Cenário 2 — Preço de venda</t>
        </is>
      </c>
      <c r="B694" s="11" t="n"/>
      <c r="C694" s="7" t="inlineStr">
        <is>
          <t>variação % (pode ser negativa)</t>
        </is>
      </c>
      <c r="D694" s="8" t="inlineStr">
        <is>
          <t>cenarios[2].preco_venda_pct</t>
        </is>
      </c>
    </row>
    <row r="695">
      <c r="A695" s="5" t="inlineStr">
        <is>
          <t>Cenário 2 — Custo de obra</t>
        </is>
      </c>
      <c r="B695" s="11" t="n"/>
      <c r="C695" s="7" t="inlineStr">
        <is>
          <t>variação % (pode ser negativa)</t>
        </is>
      </c>
      <c r="D695" s="8" t="inlineStr">
        <is>
          <t>cenarios[2].custo_obra_pct</t>
        </is>
      </c>
    </row>
    <row r="696">
      <c r="A696" s="5" t="inlineStr">
        <is>
          <t>Cenário 3 — Nome</t>
        </is>
      </c>
      <c r="B696" s="6" t="n"/>
      <c r="C696" s="7" t="inlineStr">
        <is>
          <t>texto</t>
        </is>
      </c>
      <c r="D696" s="8" t="inlineStr">
        <is>
          <t>cenarios[3].nome</t>
        </is>
      </c>
    </row>
    <row r="697">
      <c r="A697" s="5" t="inlineStr">
        <is>
          <t>Cenário 3 — Preço de venda</t>
        </is>
      </c>
      <c r="B697" s="11" t="n"/>
      <c r="C697" s="7" t="inlineStr">
        <is>
          <t>variação % (pode ser negativa)</t>
        </is>
      </c>
      <c r="D697" s="8" t="inlineStr">
        <is>
          <t>cenarios[3].preco_venda_pct</t>
        </is>
      </c>
    </row>
    <row r="698">
      <c r="A698" s="5" t="inlineStr">
        <is>
          <t>Cenário 3 — Custo de obra</t>
        </is>
      </c>
      <c r="B698" s="11" t="n"/>
      <c r="C698" s="7" t="inlineStr">
        <is>
          <t>variação % (pode ser negativa)</t>
        </is>
      </c>
      <c r="D698" s="8" t="inlineStr">
        <is>
          <t>cenarios[3].custo_obra_pct</t>
        </is>
      </c>
    </row>
    <row r="699">
      <c r="A699" s="5" t="inlineStr">
        <is>
          <t>Cenário 4 — Nome</t>
        </is>
      </c>
      <c r="B699" s="6" t="n"/>
      <c r="C699" s="7" t="inlineStr">
        <is>
          <t>texto</t>
        </is>
      </c>
      <c r="D699" s="8" t="inlineStr">
        <is>
          <t>cenarios[4].nome</t>
        </is>
      </c>
    </row>
    <row r="700">
      <c r="A700" s="5" t="inlineStr">
        <is>
          <t>Cenário 4 — Preço de venda</t>
        </is>
      </c>
      <c r="B700" s="11" t="n"/>
      <c r="C700" s="7" t="inlineStr">
        <is>
          <t>variação % (pode ser negativa)</t>
        </is>
      </c>
      <c r="D700" s="8" t="inlineStr">
        <is>
          <t>cenarios[4].preco_venda_pct</t>
        </is>
      </c>
    </row>
    <row r="701">
      <c r="A701" s="5" t="inlineStr">
        <is>
          <t>Cenário 4 — Custo de obra</t>
        </is>
      </c>
      <c r="B701" s="11" t="n"/>
      <c r="C701" s="7" t="inlineStr">
        <is>
          <t>variação % (pode ser negativa)</t>
        </is>
      </c>
      <c r="D701" s="8" t="inlineStr">
        <is>
          <t>cenarios[4].custo_obra_pct</t>
        </is>
      </c>
    </row>
    <row r="702">
      <c r="A702" s="5" t="inlineStr">
        <is>
          <t>Cenário 5 — Nome</t>
        </is>
      </c>
      <c r="B702" s="6" t="n"/>
      <c r="C702" s="7" t="inlineStr">
        <is>
          <t>texto</t>
        </is>
      </c>
      <c r="D702" s="8" t="inlineStr">
        <is>
          <t>cenarios[5].nome</t>
        </is>
      </c>
    </row>
    <row r="703">
      <c r="A703" s="5" t="inlineStr">
        <is>
          <t>Cenário 5 — Preço de venda</t>
        </is>
      </c>
      <c r="B703" s="11" t="n"/>
      <c r="C703" s="7" t="inlineStr">
        <is>
          <t>variação % (pode ser negativa)</t>
        </is>
      </c>
      <c r="D703" s="8" t="inlineStr">
        <is>
          <t>cenarios[5].preco_venda_pct</t>
        </is>
      </c>
    </row>
    <row r="704">
      <c r="A704" s="5" t="inlineStr">
        <is>
          <t>Cenário 5 — Custo de obra</t>
        </is>
      </c>
      <c r="B704" s="11" t="n"/>
      <c r="C704" s="7" t="inlineStr">
        <is>
          <t>variação % (pode ser negativa)</t>
        </is>
      </c>
      <c r="D704" s="8" t="inlineStr">
        <is>
          <t>cenarios[5].custo_obra_pct</t>
        </is>
      </c>
    </row>
    <row r="705" ht="20" customHeight="1">
      <c r="A705" s="17" t="inlineStr">
        <is>
          <t>REFERÊNCIA CALCULADA — não preencher (conferência do que foi preenchido)</t>
        </is>
      </c>
    </row>
    <row r="706" ht="26" customHeight="1">
      <c r="A706" s="12" t="inlineStr">
        <is>
          <t>TIR, VPL, payback, Proforma e Fluxo de Caixa NÃO são calculados aqui: dependem do motor mensal do app. Abaixo, só o que se deduz das entradas: cronograma, áreas, VGV de tabela, absorção, repasse e custos convertidos em R$.</t>
        </is>
      </c>
    </row>
    <row r="707">
      <c r="A707" s="15" t="inlineStr">
        <is>
          <t>Cronograma — inícios travados e datas</t>
        </is>
      </c>
    </row>
    <row r="708">
      <c r="A708" s="18" t="inlineStr">
        <is>
          <t>Planejamento — fim</t>
        </is>
      </c>
      <c r="B708" s="19">
        <f>N($B$28)+N($B$29)</f>
        <v/>
      </c>
      <c r="C708" s="20" t="inlineStr">
        <is>
          <t>mês</t>
        </is>
      </c>
      <c r="D708" s="21" t="inlineStr">
        <is>
          <t>calculado</t>
        </is>
      </c>
    </row>
    <row r="709">
      <c r="A709" s="18" t="inlineStr">
        <is>
          <t>Pré-lançamento — Início (travado = fim do planejamento)</t>
        </is>
      </c>
      <c r="B709" s="19">
        <f>IF($B$27="Sim",$B$708,"—")</f>
        <v/>
      </c>
      <c r="C709" s="20" t="inlineStr">
        <is>
          <t>mês</t>
        </is>
      </c>
      <c r="D709" s="21" t="inlineStr">
        <is>
          <t>cronograma.pre_lancamento.inicio_mes</t>
        </is>
      </c>
    </row>
    <row r="710">
      <c r="A710" s="18" t="inlineStr">
        <is>
          <t>Pré-lançamento — fim</t>
        </is>
      </c>
      <c r="B710" s="19">
        <f>IF($B$27="Sim",$B$709+N($B$30),"—")</f>
        <v/>
      </c>
      <c r="C710" s="20" t="inlineStr">
        <is>
          <t>mês</t>
        </is>
      </c>
      <c r="D710" s="21" t="inlineStr">
        <is>
          <t>calculado</t>
        </is>
      </c>
    </row>
    <row r="711">
      <c r="A711" s="18" t="inlineStr">
        <is>
          <t>Lançamento — Início (travado = fim do evento anterior)</t>
        </is>
      </c>
      <c r="B711" s="19">
        <f>IF($B$27="Sim",$B$710,$B$708)</f>
        <v/>
      </c>
      <c r="C711" s="20" t="inlineStr">
        <is>
          <t>mês</t>
        </is>
      </c>
      <c r="D711" s="21" t="inlineStr">
        <is>
          <t>cronograma.lancamento.inicio_mes</t>
        </is>
      </c>
    </row>
    <row r="712">
      <c r="A712" s="18" t="inlineStr">
        <is>
          <t>Lançamento — fim</t>
        </is>
      </c>
      <c r="B712" s="19">
        <f>$B$711+N($B$31)</f>
        <v/>
      </c>
      <c r="C712" s="20" t="inlineStr">
        <is>
          <t>mês</t>
        </is>
      </c>
      <c r="D712" s="21" t="inlineStr">
        <is>
          <t>calculado</t>
        </is>
      </c>
    </row>
    <row r="713">
      <c r="A713" s="18" t="inlineStr">
        <is>
          <t>Obra — fim</t>
        </is>
      </c>
      <c r="B713" s="19">
        <f>N($B$32)+N($B$33)</f>
        <v/>
      </c>
      <c r="C713" s="20" t="inlineStr">
        <is>
          <t>mês</t>
        </is>
      </c>
      <c r="D713" s="21" t="inlineStr">
        <is>
          <t>calculado</t>
        </is>
      </c>
    </row>
    <row r="714">
      <c r="A714" s="18" t="inlineStr">
        <is>
          <t>Pós-obras — Início (travado = fim da obra)</t>
        </is>
      </c>
      <c r="B714" s="19">
        <f>$B$713</f>
        <v/>
      </c>
      <c r="C714" s="20" t="inlineStr">
        <is>
          <t>mês</t>
        </is>
      </c>
      <c r="D714" s="21" t="inlineStr">
        <is>
          <t>cronograma.pos_obra.inicio_mes</t>
        </is>
      </c>
    </row>
    <row r="715">
      <c r="A715" s="18" t="inlineStr">
        <is>
          <t>Pós-obras — fim = fim do projeto</t>
        </is>
      </c>
      <c r="B715" s="19">
        <f>$B$714+N($B$34)</f>
        <v/>
      </c>
      <c r="C715" s="20" t="inlineStr">
        <is>
          <t>mês</t>
        </is>
      </c>
      <c r="D715" s="21" t="inlineStr">
        <is>
          <t>calculado</t>
        </is>
      </c>
    </row>
    <row r="716">
      <c r="A716" s="18" t="inlineStr">
        <is>
          <t>Data do Lançamento</t>
        </is>
      </c>
      <c r="B716" s="22">
        <f>IF(ISNUMBER($B$26),EDATE($B$26,$B$711),"")</f>
        <v/>
      </c>
      <c r="C716" s="20" t="inlineStr">
        <is>
          <t>mês/ano</t>
        </is>
      </c>
      <c r="D716" s="21" t="inlineStr">
        <is>
          <t>calculado</t>
        </is>
      </c>
    </row>
    <row r="717">
      <c r="A717" s="18" t="inlineStr">
        <is>
          <t>Data de início da Obra</t>
        </is>
      </c>
      <c r="B717" s="22">
        <f>IF(ISNUMBER($B$26),EDATE($B$26,$B$32),"")</f>
        <v/>
      </c>
      <c r="C717" s="20" t="inlineStr">
        <is>
          <t>mês/ano</t>
        </is>
      </c>
      <c r="D717" s="21" t="inlineStr">
        <is>
          <t>calculado</t>
        </is>
      </c>
    </row>
    <row r="718">
      <c r="A718" s="18" t="inlineStr">
        <is>
          <t>Data das chaves (fim da Obra)</t>
        </is>
      </c>
      <c r="B718" s="22">
        <f>IF(ISNUMBER($B$26),EDATE($B$26,$B$713),"")</f>
        <v/>
      </c>
      <c r="C718" s="20" t="inlineStr">
        <is>
          <t>mês/ano</t>
        </is>
      </c>
      <c r="D718" s="21" t="inlineStr">
        <is>
          <t>calculado</t>
        </is>
      </c>
    </row>
    <row r="719">
      <c r="A719" s="18" t="inlineStr">
        <is>
          <t>Data de fim do projeto</t>
        </is>
      </c>
      <c r="B719" s="22">
        <f>IF(ISNUMBER($B$26),EDATE($B$26,$B$715),"")</f>
        <v/>
      </c>
      <c r="C719" s="20" t="inlineStr">
        <is>
          <t>mês/ano</t>
        </is>
      </c>
      <c r="D719" s="21" t="inlineStr">
        <is>
          <t>calculado</t>
        </is>
      </c>
    </row>
    <row r="720">
      <c r="A720" s="18" t="inlineStr">
        <is>
          <t>Obra começa antes do fim do Lançamento?</t>
        </is>
      </c>
      <c r="B720" s="23">
        <f>IF(N($B$32)&lt;$B$712,"⚠ obra inicia antes do fim do lançamento","OK")</f>
        <v/>
      </c>
      <c r="C720" s="20" t="inlineStr">
        <is>
          <t>alerta</t>
        </is>
      </c>
      <c r="D720" s="21" t="inlineStr">
        <is>
          <t>calculado</t>
        </is>
      </c>
    </row>
    <row r="721">
      <c r="A721" s="15" t="inlineStr">
        <is>
          <t>Lotes — catálogo</t>
        </is>
      </c>
    </row>
    <row r="722">
      <c r="A722" s="18" t="inlineStr">
        <is>
          <t>Lote 1 — VGV de catálogo (preço sugerido)</t>
        </is>
      </c>
      <c r="B722" s="24">
        <f>(N($B$59)+N($B$60))*N($B$61)*N($B$62)</f>
        <v/>
      </c>
      <c r="C722" s="20" t="inlineStr">
        <is>
          <t>R$</t>
        </is>
      </c>
      <c r="D722" s="21" t="inlineStr">
        <is>
          <t>calculado</t>
        </is>
      </c>
    </row>
    <row r="723">
      <c r="A723" s="18" t="inlineStr">
        <is>
          <t>Lote 2 — VGV de catálogo (preço sugerido)</t>
        </is>
      </c>
      <c r="B723" s="24">
        <f>(N($B$65)+N($B$66))*N($B$67)*N($B$68)</f>
        <v/>
      </c>
      <c r="C723" s="20" t="inlineStr">
        <is>
          <t>R$</t>
        </is>
      </c>
      <c r="D723" s="21" t="inlineStr">
        <is>
          <t>calculado</t>
        </is>
      </c>
    </row>
    <row r="724">
      <c r="A724" s="18" t="inlineStr">
        <is>
          <t>Lote 3 — VGV de catálogo (preço sugerido)</t>
        </is>
      </c>
      <c r="B724" s="24">
        <f>(N($B$71)+N($B$72))*N($B$73)*N($B$74)</f>
        <v/>
      </c>
      <c r="C724" s="20" t="inlineStr">
        <is>
          <t>R$</t>
        </is>
      </c>
      <c r="D724" s="21" t="inlineStr">
        <is>
          <t>calculado</t>
        </is>
      </c>
    </row>
    <row r="725">
      <c r="A725" s="18" t="inlineStr">
        <is>
          <t>Lote 4 — VGV de catálogo (preço sugerido)</t>
        </is>
      </c>
      <c r="B725" s="24">
        <f>(N($B$77)+N($B$78))*N($B$79)*N($B$80)</f>
        <v/>
      </c>
      <c r="C725" s="20" t="inlineStr">
        <is>
          <t>R$</t>
        </is>
      </c>
      <c r="D725" s="21" t="inlineStr">
        <is>
          <t>calculado</t>
        </is>
      </c>
    </row>
    <row r="726">
      <c r="A726" s="18" t="inlineStr">
        <is>
          <t>Lote 5 — VGV de catálogo (preço sugerido)</t>
        </is>
      </c>
      <c r="B726" s="24">
        <f>(N($B$83)+N($B$84))*N($B$85)*N($B$86)</f>
        <v/>
      </c>
      <c r="C726" s="20" t="inlineStr">
        <is>
          <t>R$</t>
        </is>
      </c>
      <c r="D726" s="21" t="inlineStr">
        <is>
          <t>calculado</t>
        </is>
      </c>
    </row>
    <row r="727">
      <c r="A727" s="18" t="inlineStr">
        <is>
          <t>Lote 6 — VGV de catálogo (preço sugerido)</t>
        </is>
      </c>
      <c r="B727" s="24">
        <f>(N($B$89)+N($B$90))*N($B$91)*N($B$92)</f>
        <v/>
      </c>
      <c r="C727" s="20" t="inlineStr">
        <is>
          <t>R$</t>
        </is>
      </c>
      <c r="D727" s="21" t="inlineStr">
        <is>
          <t>calculado</t>
        </is>
      </c>
    </row>
    <row r="728">
      <c r="A728" s="18" t="inlineStr">
        <is>
          <t>Lote 7 — VGV de catálogo (preço sugerido)</t>
        </is>
      </c>
      <c r="B728" s="24">
        <f>(N($B$95)+N($B$96))*N($B$97)*N($B$98)</f>
        <v/>
      </c>
      <c r="C728" s="20" t="inlineStr">
        <is>
          <t>R$</t>
        </is>
      </c>
      <c r="D728" s="21" t="inlineStr">
        <is>
          <t>calculado</t>
        </is>
      </c>
    </row>
    <row r="729">
      <c r="A729" s="18" t="inlineStr">
        <is>
          <t>Lote 8 — VGV de catálogo (preço sugerido)</t>
        </is>
      </c>
      <c r="B729" s="24">
        <f>(N($B$101)+N($B$102))*N($B$103)*N($B$104)</f>
        <v/>
      </c>
      <c r="C729" s="20" t="inlineStr">
        <is>
          <t>R$</t>
        </is>
      </c>
      <c r="D729" s="21" t="inlineStr">
        <is>
          <t>calculado</t>
        </is>
      </c>
    </row>
    <row r="730">
      <c r="A730" s="18" t="inlineStr">
        <is>
          <t>Lote 9 — VGV de catálogo (preço sugerido)</t>
        </is>
      </c>
      <c r="B730" s="24">
        <f>(N($B$107)+N($B$108))*N($B$109)*N($B$110)</f>
        <v/>
      </c>
      <c r="C730" s="20" t="inlineStr">
        <is>
          <t>R$</t>
        </is>
      </c>
      <c r="D730" s="21" t="inlineStr">
        <is>
          <t>calculado</t>
        </is>
      </c>
    </row>
    <row r="731">
      <c r="A731" s="18" t="inlineStr">
        <is>
          <t>Lote 10 — VGV de catálogo (preço sugerido)</t>
        </is>
      </c>
      <c r="B731" s="24">
        <f>(N($B$113)+N($B$114))*N($B$115)*N($B$116)</f>
        <v/>
      </c>
      <c r="C731" s="20" t="inlineStr">
        <is>
          <t>R$</t>
        </is>
      </c>
      <c r="D731" s="21" t="inlineStr">
        <is>
          <t>calculado</t>
        </is>
      </c>
    </row>
    <row r="732">
      <c r="A732" s="18" t="inlineStr">
        <is>
          <t>Unidades no catálogo</t>
        </is>
      </c>
      <c r="B732" s="19">
        <f>N($B$61)+N($B$67)+N($B$73)+N($B$79)+N($B$85)+N($B$91)+N($B$97)+N($B$103)+N($B$109)+N($B$115)</f>
        <v/>
      </c>
      <c r="C732" s="20" t="inlineStr">
        <is>
          <t>unidades</t>
        </is>
      </c>
      <c r="D732" s="21" t="inlineStr">
        <is>
          <t>calculado</t>
        </is>
      </c>
    </row>
    <row r="733">
      <c r="A733" s="18" t="inlineStr">
        <is>
          <t>VGV de catálogo (preço sugerido)</t>
        </is>
      </c>
      <c r="B733" s="24">
        <f>$B$722+$B$723+$B$724+$B$725+$B$726+$B$727+$B$728+$B$729+$B$730+$B$731</f>
        <v/>
      </c>
      <c r="C733" s="20" t="inlineStr">
        <is>
          <t>R$</t>
        </is>
      </c>
      <c r="D733" s="21" t="inlineStr">
        <is>
          <t>calculado</t>
        </is>
      </c>
    </row>
    <row r="734">
      <c r="A734" s="15" t="inlineStr">
        <is>
          <t>Alocações — VGV de tabela por alocação (unidades × (privativa+aberta) × preço)</t>
        </is>
      </c>
    </row>
    <row r="735">
      <c r="A735" s="18" t="inlineStr">
        <is>
          <t>Alocação 1 — área (privativa+aberta) × unidades</t>
        </is>
      </c>
      <c r="B735" s="25">
        <f>IF($B$244="",0,(($B$58=$B$244)*(N($B$59)+N($B$60))+($B$64=$B$244)*(N($B$65)+N($B$66))+($B$70=$B$244)*(N($B$71)+N($B$72))+($B$76=$B$244)*(N($B$77)+N($B$78))+($B$82=$B$244)*(N($B$83)+N($B$84))+($B$88=$B$244)*(N($B$89)+N($B$90))+($B$94=$B$244)*(N($B$95)+N($B$96))+($B$100=$B$244)*(N($B$101)+N($B$102))+($B$106=$B$244)*(N($B$107)+N($B$108))+($B$112=$B$244)*(N($B$113)+N($B$114)))*N($B$245))</f>
        <v/>
      </c>
      <c r="C735" s="20" t="inlineStr">
        <is>
          <t>m²</t>
        </is>
      </c>
      <c r="D735" s="21" t="inlineStr">
        <is>
          <t>calculado</t>
        </is>
      </c>
    </row>
    <row r="736">
      <c r="A736" s="18" t="inlineStr">
        <is>
          <t>Alocação 1 — VGV de tabela</t>
        </is>
      </c>
      <c r="B736" s="24">
        <f>$B$735*N($B$246)</f>
        <v/>
      </c>
      <c r="C736" s="20" t="inlineStr">
        <is>
          <t>R$</t>
        </is>
      </c>
      <c r="D736" s="21" t="inlineStr">
        <is>
          <t>calculado</t>
        </is>
      </c>
    </row>
    <row r="737">
      <c r="A737" s="18" t="inlineStr">
        <is>
          <t>Alocação 2 — área (privativa+aberta) × unidades</t>
        </is>
      </c>
      <c r="B737" s="25">
        <f>IF($B$249="",0,(($B$58=$B$249)*(N($B$59)+N($B$60))+($B$64=$B$249)*(N($B$65)+N($B$66))+($B$70=$B$249)*(N($B$71)+N($B$72))+($B$76=$B$249)*(N($B$77)+N($B$78))+($B$82=$B$249)*(N($B$83)+N($B$84))+($B$88=$B$249)*(N($B$89)+N($B$90))+($B$94=$B$249)*(N($B$95)+N($B$96))+($B$100=$B$249)*(N($B$101)+N($B$102))+($B$106=$B$249)*(N($B$107)+N($B$108))+($B$112=$B$249)*(N($B$113)+N($B$114)))*N($B$250))</f>
        <v/>
      </c>
      <c r="C737" s="20" t="inlineStr">
        <is>
          <t>m²</t>
        </is>
      </c>
      <c r="D737" s="21" t="inlineStr">
        <is>
          <t>calculado</t>
        </is>
      </c>
    </row>
    <row r="738">
      <c r="A738" s="18" t="inlineStr">
        <is>
          <t>Alocação 2 — VGV de tabela</t>
        </is>
      </c>
      <c r="B738" s="24">
        <f>$B$737*N($B$251)</f>
        <v/>
      </c>
      <c r="C738" s="20" t="inlineStr">
        <is>
          <t>R$</t>
        </is>
      </c>
      <c r="D738" s="21" t="inlineStr">
        <is>
          <t>calculado</t>
        </is>
      </c>
    </row>
    <row r="739">
      <c r="A739" s="18" t="inlineStr">
        <is>
          <t>Alocação 3 — área (privativa+aberta) × unidades</t>
        </is>
      </c>
      <c r="B739" s="25">
        <f>IF($B$254="",0,(($B$58=$B$254)*(N($B$59)+N($B$60))+($B$64=$B$254)*(N($B$65)+N($B$66))+($B$70=$B$254)*(N($B$71)+N($B$72))+($B$76=$B$254)*(N($B$77)+N($B$78))+($B$82=$B$254)*(N($B$83)+N($B$84))+($B$88=$B$254)*(N($B$89)+N($B$90))+($B$94=$B$254)*(N($B$95)+N($B$96))+($B$100=$B$254)*(N($B$101)+N($B$102))+($B$106=$B$254)*(N($B$107)+N($B$108))+($B$112=$B$254)*(N($B$113)+N($B$114)))*N($B$255))</f>
        <v/>
      </c>
      <c r="C739" s="20" t="inlineStr">
        <is>
          <t>m²</t>
        </is>
      </c>
      <c r="D739" s="21" t="inlineStr">
        <is>
          <t>calculado</t>
        </is>
      </c>
    </row>
    <row r="740">
      <c r="A740" s="18" t="inlineStr">
        <is>
          <t>Alocação 3 — VGV de tabela</t>
        </is>
      </c>
      <c r="B740" s="24">
        <f>$B$739*N($B$256)</f>
        <v/>
      </c>
      <c r="C740" s="20" t="inlineStr">
        <is>
          <t>R$</t>
        </is>
      </c>
      <c r="D740" s="21" t="inlineStr">
        <is>
          <t>calculado</t>
        </is>
      </c>
    </row>
    <row r="741">
      <c r="A741" s="18" t="inlineStr">
        <is>
          <t>Alocação 4 — área (privativa+aberta) × unidades</t>
        </is>
      </c>
      <c r="B741" s="25">
        <f>IF($B$259="",0,(($B$58=$B$259)*(N($B$59)+N($B$60))+($B$64=$B$259)*(N($B$65)+N($B$66))+($B$70=$B$259)*(N($B$71)+N($B$72))+($B$76=$B$259)*(N($B$77)+N($B$78))+($B$82=$B$259)*(N($B$83)+N($B$84))+($B$88=$B$259)*(N($B$89)+N($B$90))+($B$94=$B$259)*(N($B$95)+N($B$96))+($B$100=$B$259)*(N($B$101)+N($B$102))+($B$106=$B$259)*(N($B$107)+N($B$108))+($B$112=$B$259)*(N($B$113)+N($B$114)))*N($B$260))</f>
        <v/>
      </c>
      <c r="C741" s="20" t="inlineStr">
        <is>
          <t>m²</t>
        </is>
      </c>
      <c r="D741" s="21" t="inlineStr">
        <is>
          <t>calculado</t>
        </is>
      </c>
    </row>
    <row r="742">
      <c r="A742" s="18" t="inlineStr">
        <is>
          <t>Alocação 4 — VGV de tabela</t>
        </is>
      </c>
      <c r="B742" s="24">
        <f>$B$741*N($B$261)</f>
        <v/>
      </c>
      <c r="C742" s="20" t="inlineStr">
        <is>
          <t>R$</t>
        </is>
      </c>
      <c r="D742" s="21" t="inlineStr">
        <is>
          <t>calculado</t>
        </is>
      </c>
    </row>
    <row r="743">
      <c r="A743" s="18" t="inlineStr">
        <is>
          <t>Alocação 5 — área (privativa+aberta) × unidades</t>
        </is>
      </c>
      <c r="B743" s="25">
        <f>IF($B$264="",0,(($B$58=$B$264)*(N($B$59)+N($B$60))+($B$64=$B$264)*(N($B$65)+N($B$66))+($B$70=$B$264)*(N($B$71)+N($B$72))+($B$76=$B$264)*(N($B$77)+N($B$78))+($B$82=$B$264)*(N($B$83)+N($B$84))+($B$88=$B$264)*(N($B$89)+N($B$90))+($B$94=$B$264)*(N($B$95)+N($B$96))+($B$100=$B$264)*(N($B$101)+N($B$102))+($B$106=$B$264)*(N($B$107)+N($B$108))+($B$112=$B$264)*(N($B$113)+N($B$114)))*N($B$265))</f>
        <v/>
      </c>
      <c r="C743" s="20" t="inlineStr">
        <is>
          <t>m²</t>
        </is>
      </c>
      <c r="D743" s="21" t="inlineStr">
        <is>
          <t>calculado</t>
        </is>
      </c>
    </row>
    <row r="744">
      <c r="A744" s="18" t="inlineStr">
        <is>
          <t>Alocação 5 — VGV de tabela</t>
        </is>
      </c>
      <c r="B744" s="24">
        <f>$B$743*N($B$266)</f>
        <v/>
      </c>
      <c r="C744" s="20" t="inlineStr">
        <is>
          <t>R$</t>
        </is>
      </c>
      <c r="D744" s="21" t="inlineStr">
        <is>
          <t>calculado</t>
        </is>
      </c>
    </row>
    <row r="745">
      <c r="A745" s="18" t="inlineStr">
        <is>
          <t>Alocação 6 — área (privativa+aberta) × unidades</t>
        </is>
      </c>
      <c r="B745" s="25">
        <f>IF($B$269="",0,(($B$58=$B$269)*(N($B$59)+N($B$60))+($B$64=$B$269)*(N($B$65)+N($B$66))+($B$70=$B$269)*(N($B$71)+N($B$72))+($B$76=$B$269)*(N($B$77)+N($B$78))+($B$82=$B$269)*(N($B$83)+N($B$84))+($B$88=$B$269)*(N($B$89)+N($B$90))+($B$94=$B$269)*(N($B$95)+N($B$96))+($B$100=$B$269)*(N($B$101)+N($B$102))+($B$106=$B$269)*(N($B$107)+N($B$108))+($B$112=$B$269)*(N($B$113)+N($B$114)))*N($B$270))</f>
        <v/>
      </c>
      <c r="C745" s="20" t="inlineStr">
        <is>
          <t>m²</t>
        </is>
      </c>
      <c r="D745" s="21" t="inlineStr">
        <is>
          <t>calculado</t>
        </is>
      </c>
    </row>
    <row r="746">
      <c r="A746" s="18" t="inlineStr">
        <is>
          <t>Alocação 6 — VGV de tabela</t>
        </is>
      </c>
      <c r="B746" s="24">
        <f>$B$745*N($B$271)</f>
        <v/>
      </c>
      <c r="C746" s="20" t="inlineStr">
        <is>
          <t>R$</t>
        </is>
      </c>
      <c r="D746" s="21" t="inlineStr">
        <is>
          <t>calculado</t>
        </is>
      </c>
    </row>
    <row r="747">
      <c r="A747" s="18" t="inlineStr">
        <is>
          <t>Alocação 7 — área (privativa+aberta) × unidades</t>
        </is>
      </c>
      <c r="B747" s="25">
        <f>IF($B$274="",0,(($B$58=$B$274)*(N($B$59)+N($B$60))+($B$64=$B$274)*(N($B$65)+N($B$66))+($B$70=$B$274)*(N($B$71)+N($B$72))+($B$76=$B$274)*(N($B$77)+N($B$78))+($B$82=$B$274)*(N($B$83)+N($B$84))+($B$88=$B$274)*(N($B$89)+N($B$90))+($B$94=$B$274)*(N($B$95)+N($B$96))+($B$100=$B$274)*(N($B$101)+N($B$102))+($B$106=$B$274)*(N($B$107)+N($B$108))+($B$112=$B$274)*(N($B$113)+N($B$114)))*N($B$275))</f>
        <v/>
      </c>
      <c r="C747" s="20" t="inlineStr">
        <is>
          <t>m²</t>
        </is>
      </c>
      <c r="D747" s="21" t="inlineStr">
        <is>
          <t>calculado</t>
        </is>
      </c>
    </row>
    <row r="748">
      <c r="A748" s="18" t="inlineStr">
        <is>
          <t>Alocação 7 — VGV de tabela</t>
        </is>
      </c>
      <c r="B748" s="24">
        <f>$B$747*N($B$276)</f>
        <v/>
      </c>
      <c r="C748" s="20" t="inlineStr">
        <is>
          <t>R$</t>
        </is>
      </c>
      <c r="D748" s="21" t="inlineStr">
        <is>
          <t>calculado</t>
        </is>
      </c>
    </row>
    <row r="749">
      <c r="A749" s="18" t="inlineStr">
        <is>
          <t>Alocação 8 — área (privativa+aberta) × unidades</t>
        </is>
      </c>
      <c r="B749" s="25">
        <f>IF($B$279="",0,(($B$58=$B$279)*(N($B$59)+N($B$60))+($B$64=$B$279)*(N($B$65)+N($B$66))+($B$70=$B$279)*(N($B$71)+N($B$72))+($B$76=$B$279)*(N($B$77)+N($B$78))+($B$82=$B$279)*(N($B$83)+N($B$84))+($B$88=$B$279)*(N($B$89)+N($B$90))+($B$94=$B$279)*(N($B$95)+N($B$96))+($B$100=$B$279)*(N($B$101)+N($B$102))+($B$106=$B$279)*(N($B$107)+N($B$108))+($B$112=$B$279)*(N($B$113)+N($B$114)))*N($B$280))</f>
        <v/>
      </c>
      <c r="C749" s="20" t="inlineStr">
        <is>
          <t>m²</t>
        </is>
      </c>
      <c r="D749" s="21" t="inlineStr">
        <is>
          <t>calculado</t>
        </is>
      </c>
    </row>
    <row r="750">
      <c r="A750" s="18" t="inlineStr">
        <is>
          <t>Alocação 8 — VGV de tabela</t>
        </is>
      </c>
      <c r="B750" s="24">
        <f>$B$749*N($B$281)</f>
        <v/>
      </c>
      <c r="C750" s="20" t="inlineStr">
        <is>
          <t>R$</t>
        </is>
      </c>
      <c r="D750" s="21" t="inlineStr">
        <is>
          <t>calculado</t>
        </is>
      </c>
    </row>
    <row r="751">
      <c r="A751" s="18" t="inlineStr">
        <is>
          <t>Alocação 9 — área (privativa+aberta) × unidades</t>
        </is>
      </c>
      <c r="B751" s="25">
        <f>IF($B$284="",0,(($B$58=$B$284)*(N($B$59)+N($B$60))+($B$64=$B$284)*(N($B$65)+N($B$66))+($B$70=$B$284)*(N($B$71)+N($B$72))+($B$76=$B$284)*(N($B$77)+N($B$78))+($B$82=$B$284)*(N($B$83)+N($B$84))+($B$88=$B$284)*(N($B$89)+N($B$90))+($B$94=$B$284)*(N($B$95)+N($B$96))+($B$100=$B$284)*(N($B$101)+N($B$102))+($B$106=$B$284)*(N($B$107)+N($B$108))+($B$112=$B$284)*(N($B$113)+N($B$114)))*N($B$285))</f>
        <v/>
      </c>
      <c r="C751" s="20" t="inlineStr">
        <is>
          <t>m²</t>
        </is>
      </c>
      <c r="D751" s="21" t="inlineStr">
        <is>
          <t>calculado</t>
        </is>
      </c>
    </row>
    <row r="752">
      <c r="A752" s="18" t="inlineStr">
        <is>
          <t>Alocação 9 — VGV de tabela</t>
        </is>
      </c>
      <c r="B752" s="24">
        <f>$B$751*N($B$286)</f>
        <v/>
      </c>
      <c r="C752" s="20" t="inlineStr">
        <is>
          <t>R$</t>
        </is>
      </c>
      <c r="D752" s="21" t="inlineStr">
        <is>
          <t>calculado</t>
        </is>
      </c>
    </row>
    <row r="753">
      <c r="A753" s="18" t="inlineStr">
        <is>
          <t>Alocação 10 — área (privativa+aberta) × unidades</t>
        </is>
      </c>
      <c r="B753" s="25">
        <f>IF($B$289="",0,(($B$58=$B$289)*(N($B$59)+N($B$60))+($B$64=$B$289)*(N($B$65)+N($B$66))+($B$70=$B$289)*(N($B$71)+N($B$72))+($B$76=$B$289)*(N($B$77)+N($B$78))+($B$82=$B$289)*(N($B$83)+N($B$84))+($B$88=$B$289)*(N($B$89)+N($B$90))+($B$94=$B$289)*(N($B$95)+N($B$96))+($B$100=$B$289)*(N($B$101)+N($B$102))+($B$106=$B$289)*(N($B$107)+N($B$108))+($B$112=$B$289)*(N($B$113)+N($B$114)))*N($B$290))</f>
        <v/>
      </c>
      <c r="C753" s="20" t="inlineStr">
        <is>
          <t>m²</t>
        </is>
      </c>
      <c r="D753" s="21" t="inlineStr">
        <is>
          <t>calculado</t>
        </is>
      </c>
    </row>
    <row r="754">
      <c r="A754" s="18" t="inlineStr">
        <is>
          <t>Alocação 10 — VGV de tabela</t>
        </is>
      </c>
      <c r="B754" s="24">
        <f>$B$753*N($B$291)</f>
        <v/>
      </c>
      <c r="C754" s="20" t="inlineStr">
        <is>
          <t>R$</t>
        </is>
      </c>
      <c r="D754" s="21" t="inlineStr">
        <is>
          <t>calculado</t>
        </is>
      </c>
    </row>
    <row r="755">
      <c r="A755" s="18" t="inlineStr">
        <is>
          <t>Área privativa total alocada (base de R$/m² priv.)</t>
        </is>
      </c>
      <c r="B755" s="25">
        <f>$B$735+$B$737+$B$739+$B$741+$B$743+$B$745+$B$747+$B$749+$B$751+$B$753</f>
        <v/>
      </c>
      <c r="C755" s="20" t="inlineStr">
        <is>
          <t>m²</t>
        </is>
      </c>
      <c r="D755" s="21" t="inlineStr">
        <is>
          <t>calculado</t>
        </is>
      </c>
    </row>
    <row r="756">
      <c r="A756" s="18" t="inlineStr">
        <is>
          <t>Unidades alocadas</t>
        </is>
      </c>
      <c r="B756" s="19">
        <f>N($B$245)+N($B$250)+N($B$255)+N($B$260)+N($B$265)+N($B$270)+N($B$275)+N($B$280)+N($B$285)+N($B$290)</f>
        <v/>
      </c>
      <c r="C756" s="20" t="inlineStr">
        <is>
          <t>unidades</t>
        </is>
      </c>
      <c r="D756" s="21" t="inlineStr">
        <is>
          <t>calculado</t>
        </is>
      </c>
    </row>
    <row r="757">
      <c r="A757" s="18" t="inlineStr">
        <is>
          <t>VGV de tabela (Σ alocações)</t>
        </is>
      </c>
      <c r="B757" s="24">
        <f>$B$736+$B$738+$B$740+$B$742+$B$744+$B$746+$B$748+$B$750+$B$752+$B$754</f>
        <v/>
      </c>
      <c r="C757" s="20" t="inlineStr">
        <is>
          <t>R$</t>
        </is>
      </c>
      <c r="D757" s="21" t="inlineStr">
        <is>
          <t>calculado</t>
        </is>
      </c>
    </row>
    <row r="758">
      <c r="A758" s="18" t="inlineStr">
        <is>
          <t>Preço médio de tabela</t>
        </is>
      </c>
      <c r="B758" s="24">
        <f>IF($B$755&gt;0,$B$757/$B$755,"")</f>
        <v/>
      </c>
      <c r="C758" s="20" t="inlineStr">
        <is>
          <t>R$/m² priv.</t>
        </is>
      </c>
      <c r="D758" s="21" t="inlineStr">
        <is>
          <t>calculado</t>
        </is>
      </c>
    </row>
    <row r="759">
      <c r="A759" s="18" t="inlineStr">
        <is>
          <t>Lote 1 — unidades alocadas</t>
        </is>
      </c>
      <c r="B759" s="19">
        <f>($B$244=$B$58)*N($B$245)+($B$249=$B$58)*N($B$250)+($B$254=$B$58)*N($B$255)+($B$259=$B$58)*N($B$260)+($B$264=$B$58)*N($B$265)+($B$269=$B$58)*N($B$270)+($B$274=$B$58)*N($B$275)+($B$279=$B$58)*N($B$280)+($B$284=$B$58)*N($B$285)+($B$289=$B$58)*N($B$290)</f>
        <v/>
      </c>
      <c r="C759" s="20" t="inlineStr">
        <is>
          <t>unidades</t>
        </is>
      </c>
      <c r="D759" s="21" t="inlineStr">
        <is>
          <t>calculado</t>
        </is>
      </c>
    </row>
    <row r="760">
      <c r="A760" s="18" t="inlineStr">
        <is>
          <t>Lote 1 — alocado × catálogo</t>
        </is>
      </c>
      <c r="B760" s="23">
        <f>IF($B$58="","",IF($B$759&gt;N($B$61),"⚠ alocado &gt; catálogo",IF($B$759&lt;N($B$61),"há unidades sem alocar","OK")))</f>
        <v/>
      </c>
      <c r="C760" s="20" t="inlineStr">
        <is>
          <t>alerta</t>
        </is>
      </c>
      <c r="D760" s="21" t="inlineStr">
        <is>
          <t>calculado</t>
        </is>
      </c>
    </row>
    <row r="761">
      <c r="A761" s="18" t="inlineStr">
        <is>
          <t>Lote 2 — unidades alocadas</t>
        </is>
      </c>
      <c r="B761" s="19">
        <f>($B$244=$B$64)*N($B$245)+($B$249=$B$64)*N($B$250)+($B$254=$B$64)*N($B$255)+($B$259=$B$64)*N($B$260)+($B$264=$B$64)*N($B$265)+($B$269=$B$64)*N($B$270)+($B$274=$B$64)*N($B$275)+($B$279=$B$64)*N($B$280)+($B$284=$B$64)*N($B$285)+($B$289=$B$64)*N($B$290)</f>
        <v/>
      </c>
      <c r="C761" s="20" t="inlineStr">
        <is>
          <t>unidades</t>
        </is>
      </c>
      <c r="D761" s="21" t="inlineStr">
        <is>
          <t>calculado</t>
        </is>
      </c>
    </row>
    <row r="762">
      <c r="A762" s="18" t="inlineStr">
        <is>
          <t>Lote 2 — alocado × catálogo</t>
        </is>
      </c>
      <c r="B762" s="23">
        <f>IF($B$64="","",IF($B$761&gt;N($B$67),"⚠ alocado &gt; catálogo",IF($B$761&lt;N($B$67),"há unidades sem alocar","OK")))</f>
        <v/>
      </c>
      <c r="C762" s="20" t="inlineStr">
        <is>
          <t>alerta</t>
        </is>
      </c>
      <c r="D762" s="21" t="inlineStr">
        <is>
          <t>calculado</t>
        </is>
      </c>
    </row>
    <row r="763">
      <c r="A763" s="18" t="inlineStr">
        <is>
          <t>Lote 3 — unidades alocadas</t>
        </is>
      </c>
      <c r="B763" s="19">
        <f>($B$244=$B$70)*N($B$245)+($B$249=$B$70)*N($B$250)+($B$254=$B$70)*N($B$255)+($B$259=$B$70)*N($B$260)+($B$264=$B$70)*N($B$265)+($B$269=$B$70)*N($B$270)+($B$274=$B$70)*N($B$275)+($B$279=$B$70)*N($B$280)+($B$284=$B$70)*N($B$285)+($B$289=$B$70)*N($B$290)</f>
        <v/>
      </c>
      <c r="C763" s="20" t="inlineStr">
        <is>
          <t>unidades</t>
        </is>
      </c>
      <c r="D763" s="21" t="inlineStr">
        <is>
          <t>calculado</t>
        </is>
      </c>
    </row>
    <row r="764">
      <c r="A764" s="18" t="inlineStr">
        <is>
          <t>Lote 3 — alocado × catálogo</t>
        </is>
      </c>
      <c r="B764" s="23">
        <f>IF($B$70="","",IF($B$763&gt;N($B$73),"⚠ alocado &gt; catálogo",IF($B$763&lt;N($B$73),"há unidades sem alocar","OK")))</f>
        <v/>
      </c>
      <c r="C764" s="20" t="inlineStr">
        <is>
          <t>alerta</t>
        </is>
      </c>
      <c r="D764" s="21" t="inlineStr">
        <is>
          <t>calculado</t>
        </is>
      </c>
    </row>
    <row r="765">
      <c r="A765" s="18" t="inlineStr">
        <is>
          <t>Lote 4 — unidades alocadas</t>
        </is>
      </c>
      <c r="B765" s="19">
        <f>($B$244=$B$76)*N($B$245)+($B$249=$B$76)*N($B$250)+($B$254=$B$76)*N($B$255)+($B$259=$B$76)*N($B$260)+($B$264=$B$76)*N($B$265)+($B$269=$B$76)*N($B$270)+($B$274=$B$76)*N($B$275)+($B$279=$B$76)*N($B$280)+($B$284=$B$76)*N($B$285)+($B$289=$B$76)*N($B$290)</f>
        <v/>
      </c>
      <c r="C765" s="20" t="inlineStr">
        <is>
          <t>unidades</t>
        </is>
      </c>
      <c r="D765" s="21" t="inlineStr">
        <is>
          <t>calculado</t>
        </is>
      </c>
    </row>
    <row r="766">
      <c r="A766" s="18" t="inlineStr">
        <is>
          <t>Lote 4 — alocado × catálogo</t>
        </is>
      </c>
      <c r="B766" s="23">
        <f>IF($B$76="","",IF($B$765&gt;N($B$79),"⚠ alocado &gt; catálogo",IF($B$765&lt;N($B$79),"há unidades sem alocar","OK")))</f>
        <v/>
      </c>
      <c r="C766" s="20" t="inlineStr">
        <is>
          <t>alerta</t>
        </is>
      </c>
      <c r="D766" s="21" t="inlineStr">
        <is>
          <t>calculado</t>
        </is>
      </c>
    </row>
    <row r="767">
      <c r="A767" s="18" t="inlineStr">
        <is>
          <t>Lote 5 — unidades alocadas</t>
        </is>
      </c>
      <c r="B767" s="19">
        <f>($B$244=$B$82)*N($B$245)+($B$249=$B$82)*N($B$250)+($B$254=$B$82)*N($B$255)+($B$259=$B$82)*N($B$260)+($B$264=$B$82)*N($B$265)+($B$269=$B$82)*N($B$270)+($B$274=$B$82)*N($B$275)+($B$279=$B$82)*N($B$280)+($B$284=$B$82)*N($B$285)+($B$289=$B$82)*N($B$290)</f>
        <v/>
      </c>
      <c r="C767" s="20" t="inlineStr">
        <is>
          <t>unidades</t>
        </is>
      </c>
      <c r="D767" s="21" t="inlineStr">
        <is>
          <t>calculado</t>
        </is>
      </c>
    </row>
    <row r="768">
      <c r="A768" s="18" t="inlineStr">
        <is>
          <t>Lote 5 — alocado × catálogo</t>
        </is>
      </c>
      <c r="B768" s="23">
        <f>IF($B$82="","",IF($B$767&gt;N($B$85),"⚠ alocado &gt; catálogo",IF($B$767&lt;N($B$85),"há unidades sem alocar","OK")))</f>
        <v/>
      </c>
      <c r="C768" s="20" t="inlineStr">
        <is>
          <t>alerta</t>
        </is>
      </c>
      <c r="D768" s="21" t="inlineStr">
        <is>
          <t>calculado</t>
        </is>
      </c>
    </row>
    <row r="769">
      <c r="A769" s="18" t="inlineStr">
        <is>
          <t>Lote 6 — unidades alocadas</t>
        </is>
      </c>
      <c r="B769" s="19">
        <f>($B$244=$B$88)*N($B$245)+($B$249=$B$88)*N($B$250)+($B$254=$B$88)*N($B$255)+($B$259=$B$88)*N($B$260)+($B$264=$B$88)*N($B$265)+($B$269=$B$88)*N($B$270)+($B$274=$B$88)*N($B$275)+($B$279=$B$88)*N($B$280)+($B$284=$B$88)*N($B$285)+($B$289=$B$88)*N($B$290)</f>
        <v/>
      </c>
      <c r="C769" s="20" t="inlineStr">
        <is>
          <t>unidades</t>
        </is>
      </c>
      <c r="D769" s="21" t="inlineStr">
        <is>
          <t>calculado</t>
        </is>
      </c>
    </row>
    <row r="770">
      <c r="A770" s="18" t="inlineStr">
        <is>
          <t>Lote 6 — alocado × catálogo</t>
        </is>
      </c>
      <c r="B770" s="23">
        <f>IF($B$88="","",IF($B$769&gt;N($B$91),"⚠ alocado &gt; catálogo",IF($B$769&lt;N($B$91),"há unidades sem alocar","OK")))</f>
        <v/>
      </c>
      <c r="C770" s="20" t="inlineStr">
        <is>
          <t>alerta</t>
        </is>
      </c>
      <c r="D770" s="21" t="inlineStr">
        <is>
          <t>calculado</t>
        </is>
      </c>
    </row>
    <row r="771">
      <c r="A771" s="18" t="inlineStr">
        <is>
          <t>Lote 7 — unidades alocadas</t>
        </is>
      </c>
      <c r="B771" s="19">
        <f>($B$244=$B$94)*N($B$245)+($B$249=$B$94)*N($B$250)+($B$254=$B$94)*N($B$255)+($B$259=$B$94)*N($B$260)+($B$264=$B$94)*N($B$265)+($B$269=$B$94)*N($B$270)+($B$274=$B$94)*N($B$275)+($B$279=$B$94)*N($B$280)+($B$284=$B$94)*N($B$285)+($B$289=$B$94)*N($B$290)</f>
        <v/>
      </c>
      <c r="C771" s="20" t="inlineStr">
        <is>
          <t>unidades</t>
        </is>
      </c>
      <c r="D771" s="21" t="inlineStr">
        <is>
          <t>calculado</t>
        </is>
      </c>
    </row>
    <row r="772">
      <c r="A772" s="18" t="inlineStr">
        <is>
          <t>Lote 7 — alocado × catálogo</t>
        </is>
      </c>
      <c r="B772" s="23">
        <f>IF($B$94="","",IF($B$771&gt;N($B$97),"⚠ alocado &gt; catálogo",IF($B$771&lt;N($B$97),"há unidades sem alocar","OK")))</f>
        <v/>
      </c>
      <c r="C772" s="20" t="inlineStr">
        <is>
          <t>alerta</t>
        </is>
      </c>
      <c r="D772" s="21" t="inlineStr">
        <is>
          <t>calculado</t>
        </is>
      </c>
    </row>
    <row r="773">
      <c r="A773" s="18" t="inlineStr">
        <is>
          <t>Lote 8 — unidades alocadas</t>
        </is>
      </c>
      <c r="B773" s="19">
        <f>($B$244=$B$100)*N($B$245)+($B$249=$B$100)*N($B$250)+($B$254=$B$100)*N($B$255)+($B$259=$B$100)*N($B$260)+($B$264=$B$100)*N($B$265)+($B$269=$B$100)*N($B$270)+($B$274=$B$100)*N($B$275)+($B$279=$B$100)*N($B$280)+($B$284=$B$100)*N($B$285)+($B$289=$B$100)*N($B$290)</f>
        <v/>
      </c>
      <c r="C773" s="20" t="inlineStr">
        <is>
          <t>unidades</t>
        </is>
      </c>
      <c r="D773" s="21" t="inlineStr">
        <is>
          <t>calculado</t>
        </is>
      </c>
    </row>
    <row r="774">
      <c r="A774" s="18" t="inlineStr">
        <is>
          <t>Lote 8 — alocado × catálogo</t>
        </is>
      </c>
      <c r="B774" s="23">
        <f>IF($B$100="","",IF($B$773&gt;N($B$103),"⚠ alocado &gt; catálogo",IF($B$773&lt;N($B$103),"há unidades sem alocar","OK")))</f>
        <v/>
      </c>
      <c r="C774" s="20" t="inlineStr">
        <is>
          <t>alerta</t>
        </is>
      </c>
      <c r="D774" s="21" t="inlineStr">
        <is>
          <t>calculado</t>
        </is>
      </c>
    </row>
    <row r="775">
      <c r="A775" s="18" t="inlineStr">
        <is>
          <t>Lote 9 — unidades alocadas</t>
        </is>
      </c>
      <c r="B775" s="19">
        <f>($B$244=$B$106)*N($B$245)+($B$249=$B$106)*N($B$250)+($B$254=$B$106)*N($B$255)+($B$259=$B$106)*N($B$260)+($B$264=$B$106)*N($B$265)+($B$269=$B$106)*N($B$270)+($B$274=$B$106)*N($B$275)+($B$279=$B$106)*N($B$280)+($B$284=$B$106)*N($B$285)+($B$289=$B$106)*N($B$290)</f>
        <v/>
      </c>
      <c r="C775" s="20" t="inlineStr">
        <is>
          <t>unidades</t>
        </is>
      </c>
      <c r="D775" s="21" t="inlineStr">
        <is>
          <t>calculado</t>
        </is>
      </c>
    </row>
    <row r="776">
      <c r="A776" s="18" t="inlineStr">
        <is>
          <t>Lote 9 — alocado × catálogo</t>
        </is>
      </c>
      <c r="B776" s="23">
        <f>IF($B$106="","",IF($B$775&gt;N($B$109),"⚠ alocado &gt; catálogo",IF($B$775&lt;N($B$109),"há unidades sem alocar","OK")))</f>
        <v/>
      </c>
      <c r="C776" s="20" t="inlineStr">
        <is>
          <t>alerta</t>
        </is>
      </c>
      <c r="D776" s="21" t="inlineStr">
        <is>
          <t>calculado</t>
        </is>
      </c>
    </row>
    <row r="777">
      <c r="A777" s="18" t="inlineStr">
        <is>
          <t>Lote 10 — unidades alocadas</t>
        </is>
      </c>
      <c r="B777" s="19">
        <f>($B$244=$B$112)*N($B$245)+($B$249=$B$112)*N($B$250)+($B$254=$B$112)*N($B$255)+($B$259=$B$112)*N($B$260)+($B$264=$B$112)*N($B$265)+($B$269=$B$112)*N($B$270)+($B$274=$B$112)*N($B$275)+($B$279=$B$112)*N($B$280)+($B$284=$B$112)*N($B$285)+($B$289=$B$112)*N($B$290)</f>
        <v/>
      </c>
      <c r="C777" s="20" t="inlineStr">
        <is>
          <t>unidades</t>
        </is>
      </c>
      <c r="D777" s="21" t="inlineStr">
        <is>
          <t>calculado</t>
        </is>
      </c>
    </row>
    <row r="778">
      <c r="A778" s="18" t="inlineStr">
        <is>
          <t>Lote 10 — alocado × catálogo</t>
        </is>
      </c>
      <c r="B778" s="23">
        <f>IF($B$112="","",IF($B$777&gt;N($B$115),"⚠ alocado &gt; catálogo",IF($B$777&lt;N($B$115),"há unidades sem alocar","OK")))</f>
        <v/>
      </c>
      <c r="C778" s="20" t="inlineStr">
        <is>
          <t>alerta</t>
        </is>
      </c>
      <c r="D778" s="21" t="inlineStr">
        <is>
          <t>calculado</t>
        </is>
      </c>
    </row>
    <row r="779">
      <c r="A779" s="18" t="inlineStr">
        <is>
          <t>Alocação 1 — item encontrado?</t>
        </is>
      </c>
      <c r="B779" s="23">
        <f>IF($B$244="","",IF((($B$58=$B$244)*1+($B$64=$B$244)*1+($B$70=$B$244)*1+($B$76=$B$244)*1+($B$82=$B$244)*1+($B$88=$B$244)*1+($B$94=$B$244)*1+($B$100=$B$244)*1+($B$106=$B$244)*1+($B$112=$B$244)*1)&gt;0,"OK","⚠ nome não bate com a seção 5"))</f>
        <v/>
      </c>
      <c r="C779" s="20" t="inlineStr">
        <is>
          <t>alerta</t>
        </is>
      </c>
      <c r="D779" s="21" t="inlineStr">
        <is>
          <t>calculado</t>
        </is>
      </c>
    </row>
    <row r="780">
      <c r="A780" s="18" t="inlineStr">
        <is>
          <t>Alocação 2 — item encontrado?</t>
        </is>
      </c>
      <c r="B780" s="23">
        <f>IF($B$249="","",IF((($B$58=$B$249)*1+($B$64=$B$249)*1+($B$70=$B$249)*1+($B$76=$B$249)*1+($B$82=$B$249)*1+($B$88=$B$249)*1+($B$94=$B$249)*1+($B$100=$B$249)*1+($B$106=$B$249)*1+($B$112=$B$249)*1)&gt;0,"OK","⚠ nome não bate com a seção 5"))</f>
        <v/>
      </c>
      <c r="C780" s="20" t="inlineStr">
        <is>
          <t>alerta</t>
        </is>
      </c>
      <c r="D780" s="21" t="inlineStr">
        <is>
          <t>calculado</t>
        </is>
      </c>
    </row>
    <row r="781">
      <c r="A781" s="18" t="inlineStr">
        <is>
          <t>Alocação 3 — item encontrado?</t>
        </is>
      </c>
      <c r="B781" s="23">
        <f>IF($B$254="","",IF((($B$58=$B$254)*1+($B$64=$B$254)*1+($B$70=$B$254)*1+($B$76=$B$254)*1+($B$82=$B$254)*1+($B$88=$B$254)*1+($B$94=$B$254)*1+($B$100=$B$254)*1+($B$106=$B$254)*1+($B$112=$B$254)*1)&gt;0,"OK","⚠ nome não bate com a seção 5"))</f>
        <v/>
      </c>
      <c r="C781" s="20" t="inlineStr">
        <is>
          <t>alerta</t>
        </is>
      </c>
      <c r="D781" s="21" t="inlineStr">
        <is>
          <t>calculado</t>
        </is>
      </c>
    </row>
    <row r="782">
      <c r="A782" s="18" t="inlineStr">
        <is>
          <t>Alocação 4 — item encontrado?</t>
        </is>
      </c>
      <c r="B782" s="23">
        <f>IF($B$259="","",IF((($B$58=$B$259)*1+($B$64=$B$259)*1+($B$70=$B$259)*1+($B$76=$B$259)*1+($B$82=$B$259)*1+($B$88=$B$259)*1+($B$94=$B$259)*1+($B$100=$B$259)*1+($B$106=$B$259)*1+($B$112=$B$259)*1)&gt;0,"OK","⚠ nome não bate com a seção 5"))</f>
        <v/>
      </c>
      <c r="C782" s="20" t="inlineStr">
        <is>
          <t>alerta</t>
        </is>
      </c>
      <c r="D782" s="21" t="inlineStr">
        <is>
          <t>calculado</t>
        </is>
      </c>
    </row>
    <row r="783">
      <c r="A783" s="18" t="inlineStr">
        <is>
          <t>Alocação 5 — item encontrado?</t>
        </is>
      </c>
      <c r="B783" s="23">
        <f>IF($B$264="","",IF((($B$58=$B$264)*1+($B$64=$B$264)*1+($B$70=$B$264)*1+($B$76=$B$264)*1+($B$82=$B$264)*1+($B$88=$B$264)*1+($B$94=$B$264)*1+($B$100=$B$264)*1+($B$106=$B$264)*1+($B$112=$B$264)*1)&gt;0,"OK","⚠ nome não bate com a seção 5"))</f>
        <v/>
      </c>
      <c r="C783" s="20" t="inlineStr">
        <is>
          <t>alerta</t>
        </is>
      </c>
      <c r="D783" s="21" t="inlineStr">
        <is>
          <t>calculado</t>
        </is>
      </c>
    </row>
    <row r="784">
      <c r="A784" s="18" t="inlineStr">
        <is>
          <t>Alocação 6 — item encontrado?</t>
        </is>
      </c>
      <c r="B784" s="23">
        <f>IF($B$269="","",IF((($B$58=$B$269)*1+($B$64=$B$269)*1+($B$70=$B$269)*1+($B$76=$B$269)*1+($B$82=$B$269)*1+($B$88=$B$269)*1+($B$94=$B$269)*1+($B$100=$B$269)*1+($B$106=$B$269)*1+($B$112=$B$269)*1)&gt;0,"OK","⚠ nome não bate com a seção 5"))</f>
        <v/>
      </c>
      <c r="C784" s="20" t="inlineStr">
        <is>
          <t>alerta</t>
        </is>
      </c>
      <c r="D784" s="21" t="inlineStr">
        <is>
          <t>calculado</t>
        </is>
      </c>
    </row>
    <row r="785">
      <c r="A785" s="18" t="inlineStr">
        <is>
          <t>Alocação 7 — item encontrado?</t>
        </is>
      </c>
      <c r="B785" s="23">
        <f>IF($B$274="","",IF((($B$58=$B$274)*1+($B$64=$B$274)*1+($B$70=$B$274)*1+($B$76=$B$274)*1+($B$82=$B$274)*1+($B$88=$B$274)*1+($B$94=$B$274)*1+($B$100=$B$274)*1+($B$106=$B$274)*1+($B$112=$B$274)*1)&gt;0,"OK","⚠ nome não bate com a seção 5"))</f>
        <v/>
      </c>
      <c r="C785" s="20" t="inlineStr">
        <is>
          <t>alerta</t>
        </is>
      </c>
      <c r="D785" s="21" t="inlineStr">
        <is>
          <t>calculado</t>
        </is>
      </c>
    </row>
    <row r="786">
      <c r="A786" s="18" t="inlineStr">
        <is>
          <t>Alocação 8 — item encontrado?</t>
        </is>
      </c>
      <c r="B786" s="23">
        <f>IF($B$279="","",IF((($B$58=$B$279)*1+($B$64=$B$279)*1+($B$70=$B$279)*1+($B$76=$B$279)*1+($B$82=$B$279)*1+($B$88=$B$279)*1+($B$94=$B$279)*1+($B$100=$B$279)*1+($B$106=$B$279)*1+($B$112=$B$279)*1)&gt;0,"OK","⚠ nome não bate com a seção 5"))</f>
        <v/>
      </c>
      <c r="C786" s="20" t="inlineStr">
        <is>
          <t>alerta</t>
        </is>
      </c>
      <c r="D786" s="21" t="inlineStr">
        <is>
          <t>calculado</t>
        </is>
      </c>
    </row>
    <row r="787">
      <c r="A787" s="18" t="inlineStr">
        <is>
          <t>Alocação 9 — item encontrado?</t>
        </is>
      </c>
      <c r="B787" s="23">
        <f>IF($B$284="","",IF((($B$58=$B$284)*1+($B$64=$B$284)*1+($B$70=$B$284)*1+($B$76=$B$284)*1+($B$82=$B$284)*1+($B$88=$B$284)*1+($B$94=$B$284)*1+($B$100=$B$284)*1+($B$106=$B$284)*1+($B$112=$B$284)*1)&gt;0,"OK","⚠ nome não bate com a seção 5"))</f>
        <v/>
      </c>
      <c r="C787" s="20" t="inlineStr">
        <is>
          <t>alerta</t>
        </is>
      </c>
      <c r="D787" s="21" t="inlineStr">
        <is>
          <t>calculado</t>
        </is>
      </c>
    </row>
    <row r="788">
      <c r="A788" s="18" t="inlineStr">
        <is>
          <t>Alocação 10 — item encontrado?</t>
        </is>
      </c>
      <c r="B788" s="23">
        <f>IF($B$289="","",IF((($B$58=$B$289)*1+($B$64=$B$289)*1+($B$70=$B$289)*1+($B$76=$B$289)*1+($B$82=$B$289)*1+($B$88=$B$289)*1+($B$94=$B$289)*1+($B$100=$B$289)*1+($B$106=$B$289)*1+($B$112=$B$289)*1)&gt;0,"OK","⚠ nome não bate com a seção 5"))</f>
        <v/>
      </c>
      <c r="C788" s="20" t="inlineStr">
        <is>
          <t>alerta</t>
        </is>
      </c>
      <c r="D788" s="21" t="inlineStr">
        <is>
          <t>calculado</t>
        </is>
      </c>
    </row>
    <row r="789">
      <c r="A789" s="15" t="inlineStr">
        <is>
          <t>Grupos de venda — absorção, repasse e VGV</t>
        </is>
      </c>
    </row>
    <row r="790">
      <c r="A790" s="18" t="inlineStr">
        <is>
          <t>Grupo 1 — Absorção Pós-chaves</t>
        </is>
      </c>
      <c r="B790" s="26">
        <f>IF($B$120="","",1-N($B$121)-N($B$122)-N($B$123))</f>
        <v/>
      </c>
      <c r="C790" s="20" t="inlineStr">
        <is>
          <t>% (= 100% − pré − lançamento − obra)</t>
        </is>
      </c>
      <c r="D790" s="21" t="inlineStr">
        <is>
          <t>calculado (absorcao pós-chaves)</t>
        </is>
      </c>
    </row>
    <row r="791">
      <c r="A791" s="18" t="inlineStr">
        <is>
          <t>Grupo 1 — Σ % do pagamento</t>
        </is>
      </c>
      <c r="B791" s="26">
        <f>IF($B$120="","",IF($B$162=$B$120,N($B$164),0)+IF($B$170=$B$120,N($B$172),0)+IF($B$178=$B$120,N($B$180),0)+IF($B$186=$B$120,N($B$188),0)+IF($B$194=$B$120,N($B$196),0)+IF($B$202=$B$120,N($B$204),0)+IF($B$210=$B$120,N($B$212),0)+IF($B$218=$B$120,N($B$220),0)+IF($B$226=$B$120,N($B$228),0)+IF($B$234=$B$120,N($B$236),0))</f>
        <v/>
      </c>
      <c r="C791" s="20" t="inlineStr">
        <is>
          <t>% do preço</t>
        </is>
      </c>
      <c r="D791" s="21" t="inlineStr">
        <is>
          <t>calculado</t>
        </is>
      </c>
    </row>
    <row r="792">
      <c r="A792" s="18" t="inlineStr">
        <is>
          <t>Grupo 1 — Repasse</t>
        </is>
      </c>
      <c r="B792" s="26">
        <f>IF($B$120="","",1-$B$791)</f>
        <v/>
      </c>
      <c r="C792" s="20" t="inlineStr">
        <is>
          <t>% (= 100% − Σ pagamento)</t>
        </is>
      </c>
      <c r="D792" s="21" t="inlineStr">
        <is>
          <t>calculado (repasse)</t>
        </is>
      </c>
    </row>
    <row r="793">
      <c r="A793" s="18" t="inlineStr">
        <is>
          <t>Grupo 1 — VGV de tabela</t>
        </is>
      </c>
      <c r="B793" s="24">
        <f>IF($B$120="","",IF($B$243=$B$120,$B$736,0)+IF($B$248=$B$120,$B$738,0)+IF($B$253=$B$120,$B$740,0)+IF($B$258=$B$120,$B$742,0)+IF($B$263=$B$120,$B$744,0)+IF($B$268=$B$120,$B$746,0)+IF($B$273=$B$120,$B$748,0)+IF($B$278=$B$120,$B$750,0)+IF($B$283=$B$120,$B$752,0)+IF($B$288=$B$120,$B$754,0))</f>
        <v/>
      </c>
      <c r="C793" s="20" t="inlineStr">
        <is>
          <t>R$</t>
        </is>
      </c>
      <c r="D793" s="21" t="inlineStr">
        <is>
          <t>calculado</t>
        </is>
      </c>
    </row>
    <row r="794">
      <c r="A794" s="18" t="inlineStr">
        <is>
          <t>Grupo 1 — conferência</t>
        </is>
      </c>
      <c r="B794" s="23">
        <f>IF($B$120="","",IF(N($B$121)+N($B$122)+N($B$123)&gt;1.00001,"⚠ absorção &gt; 100%",IF($B$791&gt;1.00001,"⚠ Σ pagamento &gt; 100%",IF(AND($B$27="Não",N($B$121)&gt;0),"⚠ absorção de pré sem pré-lançamento",IF(IF(AND($B$162=$B$120,$B$163="Parcelamento"),1,0)+IF(AND($B$170=$B$120,$B$171="Parcelamento"),1,0)+IF(AND($B$178=$B$120,$B$179="Parcelamento"),1,0)+IF(AND($B$186=$B$120,$B$187="Parcelamento"),1,0)+IF(AND($B$194=$B$120,$B$195="Parcelamento"),1,0)+IF(AND($B$202=$B$120,$B$203="Parcelamento"),1,0)+IF(AND($B$210=$B$120,$B$211="Parcelamento"),1,0)+IF(AND($B$218=$B$120,$B$219="Parcelamento"),1,0)+IF(AND($B$226=$B$120,$B$227="Parcelamento"),1,0)+IF(AND($B$234=$B$120,$B$235="Parcelamento"),1,0)&gt;4,"⚠ mais de 4 parcelamentos","OK"))))) </f>
        <v/>
      </c>
      <c r="C794" s="20" t="inlineStr">
        <is>
          <t>alerta</t>
        </is>
      </c>
      <c r="D794" s="21" t="inlineStr">
        <is>
          <t>calculado</t>
        </is>
      </c>
    </row>
    <row r="795">
      <c r="A795" s="18" t="inlineStr">
        <is>
          <t>Grupo 2 — Absorção Pós-chaves</t>
        </is>
      </c>
      <c r="B795" s="26">
        <f>IF($B$128="","",1-N($B$129)-N($B$130)-N($B$131))</f>
        <v/>
      </c>
      <c r="C795" s="20" t="inlineStr">
        <is>
          <t>% (= 100% − pré − lançamento − obra)</t>
        </is>
      </c>
      <c r="D795" s="21" t="inlineStr">
        <is>
          <t>calculado (absorcao pós-chaves)</t>
        </is>
      </c>
    </row>
    <row r="796">
      <c r="A796" s="18" t="inlineStr">
        <is>
          <t>Grupo 2 — Σ % do pagamento</t>
        </is>
      </c>
      <c r="B796" s="26">
        <f>IF($B$128="","",IF($B$162=$B$128,N($B$164),0)+IF($B$170=$B$128,N($B$172),0)+IF($B$178=$B$128,N($B$180),0)+IF($B$186=$B$128,N($B$188),0)+IF($B$194=$B$128,N($B$196),0)+IF($B$202=$B$128,N($B$204),0)+IF($B$210=$B$128,N($B$212),0)+IF($B$218=$B$128,N($B$220),0)+IF($B$226=$B$128,N($B$228),0)+IF($B$234=$B$128,N($B$236),0))</f>
        <v/>
      </c>
      <c r="C796" s="20" t="inlineStr">
        <is>
          <t>% do preço</t>
        </is>
      </c>
      <c r="D796" s="21" t="inlineStr">
        <is>
          <t>calculado</t>
        </is>
      </c>
    </row>
    <row r="797">
      <c r="A797" s="18" t="inlineStr">
        <is>
          <t>Grupo 2 — Repasse</t>
        </is>
      </c>
      <c r="B797" s="26">
        <f>IF($B$128="","",1-$B$796)</f>
        <v/>
      </c>
      <c r="C797" s="20" t="inlineStr">
        <is>
          <t>% (= 100% − Σ pagamento)</t>
        </is>
      </c>
      <c r="D797" s="21" t="inlineStr">
        <is>
          <t>calculado (repasse)</t>
        </is>
      </c>
    </row>
    <row r="798">
      <c r="A798" s="18" t="inlineStr">
        <is>
          <t>Grupo 2 — VGV de tabela</t>
        </is>
      </c>
      <c r="B798" s="24">
        <f>IF($B$128="","",IF($B$243=$B$128,$B$736,0)+IF($B$248=$B$128,$B$738,0)+IF($B$253=$B$128,$B$740,0)+IF($B$258=$B$128,$B$742,0)+IF($B$263=$B$128,$B$744,0)+IF($B$268=$B$128,$B$746,0)+IF($B$273=$B$128,$B$748,0)+IF($B$278=$B$128,$B$750,0)+IF($B$283=$B$128,$B$752,0)+IF($B$288=$B$128,$B$754,0))</f>
        <v/>
      </c>
      <c r="C798" s="20" t="inlineStr">
        <is>
          <t>R$</t>
        </is>
      </c>
      <c r="D798" s="21" t="inlineStr">
        <is>
          <t>calculado</t>
        </is>
      </c>
    </row>
    <row r="799">
      <c r="A799" s="18" t="inlineStr">
        <is>
          <t>Grupo 2 — conferência</t>
        </is>
      </c>
      <c r="B799" s="23">
        <f>IF($B$128="","",IF(N($B$129)+N($B$130)+N($B$131)&gt;1.00001,"⚠ absorção &gt; 100%",IF($B$796&gt;1.00001,"⚠ Σ pagamento &gt; 100%",IF(AND($B$27="Não",N($B$129)&gt;0),"⚠ absorção de pré sem pré-lançamento",IF(IF(AND($B$162=$B$128,$B$163="Parcelamento"),1,0)+IF(AND($B$170=$B$128,$B$171="Parcelamento"),1,0)+IF(AND($B$178=$B$128,$B$179="Parcelamento"),1,0)+IF(AND($B$186=$B$128,$B$187="Parcelamento"),1,0)+IF(AND($B$194=$B$128,$B$195="Parcelamento"),1,0)+IF(AND($B$202=$B$128,$B$203="Parcelamento"),1,0)+IF(AND($B$210=$B$128,$B$211="Parcelamento"),1,0)+IF(AND($B$218=$B$128,$B$219="Parcelamento"),1,0)+IF(AND($B$226=$B$128,$B$227="Parcelamento"),1,0)+IF(AND($B$234=$B$128,$B$235="Parcelamento"),1,0)&gt;4,"⚠ mais de 4 parcelamentos","OK"))))) </f>
        <v/>
      </c>
      <c r="C799" s="20" t="inlineStr">
        <is>
          <t>alerta</t>
        </is>
      </c>
      <c r="D799" s="21" t="inlineStr">
        <is>
          <t>calculado</t>
        </is>
      </c>
    </row>
    <row r="800">
      <c r="A800" s="18" t="inlineStr">
        <is>
          <t>Grupo 3 — Absorção Pós-chaves</t>
        </is>
      </c>
      <c r="B800" s="26">
        <f>IF($B$136="","",1-N($B$137)-N($B$138)-N($B$139))</f>
        <v/>
      </c>
      <c r="C800" s="20" t="inlineStr">
        <is>
          <t>% (= 100% − pré − lançamento − obra)</t>
        </is>
      </c>
      <c r="D800" s="21" t="inlineStr">
        <is>
          <t>calculado (absorcao pós-chaves)</t>
        </is>
      </c>
    </row>
    <row r="801">
      <c r="A801" s="18" t="inlineStr">
        <is>
          <t>Grupo 3 — Σ % do pagamento</t>
        </is>
      </c>
      <c r="B801" s="26">
        <f>IF($B$136="","",IF($B$162=$B$136,N($B$164),0)+IF($B$170=$B$136,N($B$172),0)+IF($B$178=$B$136,N($B$180),0)+IF($B$186=$B$136,N($B$188),0)+IF($B$194=$B$136,N($B$196),0)+IF($B$202=$B$136,N($B$204),0)+IF($B$210=$B$136,N($B$212),0)+IF($B$218=$B$136,N($B$220),0)+IF($B$226=$B$136,N($B$228),0)+IF($B$234=$B$136,N($B$236),0))</f>
        <v/>
      </c>
      <c r="C801" s="20" t="inlineStr">
        <is>
          <t>% do preço</t>
        </is>
      </c>
      <c r="D801" s="21" t="inlineStr">
        <is>
          <t>calculado</t>
        </is>
      </c>
    </row>
    <row r="802">
      <c r="A802" s="18" t="inlineStr">
        <is>
          <t>Grupo 3 — Repasse</t>
        </is>
      </c>
      <c r="B802" s="26">
        <f>IF($B$136="","",1-$B$801)</f>
        <v/>
      </c>
      <c r="C802" s="20" t="inlineStr">
        <is>
          <t>% (= 100% − Σ pagamento)</t>
        </is>
      </c>
      <c r="D802" s="21" t="inlineStr">
        <is>
          <t>calculado (repasse)</t>
        </is>
      </c>
    </row>
    <row r="803">
      <c r="A803" s="18" t="inlineStr">
        <is>
          <t>Grupo 3 — VGV de tabela</t>
        </is>
      </c>
      <c r="B803" s="24">
        <f>IF($B$136="","",IF($B$243=$B$136,$B$736,0)+IF($B$248=$B$136,$B$738,0)+IF($B$253=$B$136,$B$740,0)+IF($B$258=$B$136,$B$742,0)+IF($B$263=$B$136,$B$744,0)+IF($B$268=$B$136,$B$746,0)+IF($B$273=$B$136,$B$748,0)+IF($B$278=$B$136,$B$750,0)+IF($B$283=$B$136,$B$752,0)+IF($B$288=$B$136,$B$754,0))</f>
        <v/>
      </c>
      <c r="C803" s="20" t="inlineStr">
        <is>
          <t>R$</t>
        </is>
      </c>
      <c r="D803" s="21" t="inlineStr">
        <is>
          <t>calculado</t>
        </is>
      </c>
    </row>
    <row r="804">
      <c r="A804" s="18" t="inlineStr">
        <is>
          <t>Grupo 3 — conferência</t>
        </is>
      </c>
      <c r="B804" s="23">
        <f>IF($B$136="","",IF(N($B$137)+N($B$138)+N($B$139)&gt;1.00001,"⚠ absorção &gt; 100%",IF($B$801&gt;1.00001,"⚠ Σ pagamento &gt; 100%",IF(AND($B$27="Não",N($B$137)&gt;0),"⚠ absorção de pré sem pré-lançamento",IF(IF(AND($B$162=$B$136,$B$163="Parcelamento"),1,0)+IF(AND($B$170=$B$136,$B$171="Parcelamento"),1,0)+IF(AND($B$178=$B$136,$B$179="Parcelamento"),1,0)+IF(AND($B$186=$B$136,$B$187="Parcelamento"),1,0)+IF(AND($B$194=$B$136,$B$195="Parcelamento"),1,0)+IF(AND($B$202=$B$136,$B$203="Parcelamento"),1,0)+IF(AND($B$210=$B$136,$B$211="Parcelamento"),1,0)+IF(AND($B$218=$B$136,$B$219="Parcelamento"),1,0)+IF(AND($B$226=$B$136,$B$227="Parcelamento"),1,0)+IF(AND($B$234=$B$136,$B$235="Parcelamento"),1,0)&gt;4,"⚠ mais de 4 parcelamentos","OK"))))) </f>
        <v/>
      </c>
      <c r="C804" s="20" t="inlineStr">
        <is>
          <t>alerta</t>
        </is>
      </c>
      <c r="D804" s="21" t="inlineStr">
        <is>
          <t>calculado</t>
        </is>
      </c>
    </row>
    <row r="805">
      <c r="A805" s="18" t="inlineStr">
        <is>
          <t>Grupo 4 — Absorção Pós-chaves</t>
        </is>
      </c>
      <c r="B805" s="26">
        <f>IF($B$144="","",1-N($B$145)-N($B$146)-N($B$147))</f>
        <v/>
      </c>
      <c r="C805" s="20" t="inlineStr">
        <is>
          <t>% (= 100% − pré − lançamento − obra)</t>
        </is>
      </c>
      <c r="D805" s="21" t="inlineStr">
        <is>
          <t>calculado (absorcao pós-chaves)</t>
        </is>
      </c>
    </row>
    <row r="806">
      <c r="A806" s="18" t="inlineStr">
        <is>
          <t>Grupo 4 — Σ % do pagamento</t>
        </is>
      </c>
      <c r="B806" s="26">
        <f>IF($B$144="","",IF($B$162=$B$144,N($B$164),0)+IF($B$170=$B$144,N($B$172),0)+IF($B$178=$B$144,N($B$180),0)+IF($B$186=$B$144,N($B$188),0)+IF($B$194=$B$144,N($B$196),0)+IF($B$202=$B$144,N($B$204),0)+IF($B$210=$B$144,N($B$212),0)+IF($B$218=$B$144,N($B$220),0)+IF($B$226=$B$144,N($B$228),0)+IF($B$234=$B$144,N($B$236),0))</f>
        <v/>
      </c>
      <c r="C806" s="20" t="inlineStr">
        <is>
          <t>% do preço</t>
        </is>
      </c>
      <c r="D806" s="21" t="inlineStr">
        <is>
          <t>calculado</t>
        </is>
      </c>
    </row>
    <row r="807">
      <c r="A807" s="18" t="inlineStr">
        <is>
          <t>Grupo 4 — Repasse</t>
        </is>
      </c>
      <c r="B807" s="26">
        <f>IF($B$144="","",1-$B$806)</f>
        <v/>
      </c>
      <c r="C807" s="20" t="inlineStr">
        <is>
          <t>% (= 100% − Σ pagamento)</t>
        </is>
      </c>
      <c r="D807" s="21" t="inlineStr">
        <is>
          <t>calculado (repasse)</t>
        </is>
      </c>
    </row>
    <row r="808">
      <c r="A808" s="18" t="inlineStr">
        <is>
          <t>Grupo 4 — VGV de tabela</t>
        </is>
      </c>
      <c r="B808" s="24">
        <f>IF($B$144="","",IF($B$243=$B$144,$B$736,0)+IF($B$248=$B$144,$B$738,0)+IF($B$253=$B$144,$B$740,0)+IF($B$258=$B$144,$B$742,0)+IF($B$263=$B$144,$B$744,0)+IF($B$268=$B$144,$B$746,0)+IF($B$273=$B$144,$B$748,0)+IF($B$278=$B$144,$B$750,0)+IF($B$283=$B$144,$B$752,0)+IF($B$288=$B$144,$B$754,0))</f>
        <v/>
      </c>
      <c r="C808" s="20" t="inlineStr">
        <is>
          <t>R$</t>
        </is>
      </c>
      <c r="D808" s="21" t="inlineStr">
        <is>
          <t>calculado</t>
        </is>
      </c>
    </row>
    <row r="809">
      <c r="A809" s="18" t="inlineStr">
        <is>
          <t>Grupo 4 — conferência</t>
        </is>
      </c>
      <c r="B809" s="23">
        <f>IF($B$144="","",IF(N($B$145)+N($B$146)+N($B$147)&gt;1.00001,"⚠ absorção &gt; 100%",IF($B$806&gt;1.00001,"⚠ Σ pagamento &gt; 100%",IF(AND($B$27="Não",N($B$145)&gt;0),"⚠ absorção de pré sem pré-lançamento",IF(IF(AND($B$162=$B$144,$B$163="Parcelamento"),1,0)+IF(AND($B$170=$B$144,$B$171="Parcelamento"),1,0)+IF(AND($B$178=$B$144,$B$179="Parcelamento"),1,0)+IF(AND($B$186=$B$144,$B$187="Parcelamento"),1,0)+IF(AND($B$194=$B$144,$B$195="Parcelamento"),1,0)+IF(AND($B$202=$B$144,$B$203="Parcelamento"),1,0)+IF(AND($B$210=$B$144,$B$211="Parcelamento"),1,0)+IF(AND($B$218=$B$144,$B$219="Parcelamento"),1,0)+IF(AND($B$226=$B$144,$B$227="Parcelamento"),1,0)+IF(AND($B$234=$B$144,$B$235="Parcelamento"),1,0)&gt;4,"⚠ mais de 4 parcelamentos","OK"))))) </f>
        <v/>
      </c>
      <c r="C809" s="20" t="inlineStr">
        <is>
          <t>alerta</t>
        </is>
      </c>
      <c r="D809" s="21" t="inlineStr">
        <is>
          <t>calculado</t>
        </is>
      </c>
    </row>
    <row r="810">
      <c r="A810" s="18" t="inlineStr">
        <is>
          <t>Grupo 5 — Absorção Pós-chaves</t>
        </is>
      </c>
      <c r="B810" s="26">
        <f>IF($B$152="","",1-N($B$153)-N($B$154)-N($B$155))</f>
        <v/>
      </c>
      <c r="C810" s="20" t="inlineStr">
        <is>
          <t>% (= 100% − pré − lançamento − obra)</t>
        </is>
      </c>
      <c r="D810" s="21" t="inlineStr">
        <is>
          <t>calculado (absorcao pós-chaves)</t>
        </is>
      </c>
    </row>
    <row r="811">
      <c r="A811" s="18" t="inlineStr">
        <is>
          <t>Grupo 5 — Σ % do pagamento</t>
        </is>
      </c>
      <c r="B811" s="26">
        <f>IF($B$152="","",IF($B$162=$B$152,N($B$164),0)+IF($B$170=$B$152,N($B$172),0)+IF($B$178=$B$152,N($B$180),0)+IF($B$186=$B$152,N($B$188),0)+IF($B$194=$B$152,N($B$196),0)+IF($B$202=$B$152,N($B$204),0)+IF($B$210=$B$152,N($B$212),0)+IF($B$218=$B$152,N($B$220),0)+IF($B$226=$B$152,N($B$228),0)+IF($B$234=$B$152,N($B$236),0))</f>
        <v/>
      </c>
      <c r="C811" s="20" t="inlineStr">
        <is>
          <t>% do preço</t>
        </is>
      </c>
      <c r="D811" s="21" t="inlineStr">
        <is>
          <t>calculado</t>
        </is>
      </c>
    </row>
    <row r="812">
      <c r="A812" s="18" t="inlineStr">
        <is>
          <t>Grupo 5 — Repasse</t>
        </is>
      </c>
      <c r="B812" s="26">
        <f>IF($B$152="","",1-$B$811)</f>
        <v/>
      </c>
      <c r="C812" s="20" t="inlineStr">
        <is>
          <t>% (= 100% − Σ pagamento)</t>
        </is>
      </c>
      <c r="D812" s="21" t="inlineStr">
        <is>
          <t>calculado (repasse)</t>
        </is>
      </c>
    </row>
    <row r="813">
      <c r="A813" s="18" t="inlineStr">
        <is>
          <t>Grupo 5 — VGV de tabela</t>
        </is>
      </c>
      <c r="B813" s="24">
        <f>IF($B$152="","",IF($B$243=$B$152,$B$736,0)+IF($B$248=$B$152,$B$738,0)+IF($B$253=$B$152,$B$740,0)+IF($B$258=$B$152,$B$742,0)+IF($B$263=$B$152,$B$744,0)+IF($B$268=$B$152,$B$746,0)+IF($B$273=$B$152,$B$748,0)+IF($B$278=$B$152,$B$750,0)+IF($B$283=$B$152,$B$752,0)+IF($B$288=$B$152,$B$754,0))</f>
        <v/>
      </c>
      <c r="C813" s="20" t="inlineStr">
        <is>
          <t>R$</t>
        </is>
      </c>
      <c r="D813" s="21" t="inlineStr">
        <is>
          <t>calculado</t>
        </is>
      </c>
    </row>
    <row r="814">
      <c r="A814" s="18" t="inlineStr">
        <is>
          <t>Grupo 5 — conferência</t>
        </is>
      </c>
      <c r="B814" s="23">
        <f>IF($B$152="","",IF(N($B$153)+N($B$154)+N($B$155)&gt;1.00001,"⚠ absorção &gt; 100%",IF($B$811&gt;1.00001,"⚠ Σ pagamento &gt; 100%",IF(AND($B$27="Não",N($B$153)&gt;0),"⚠ absorção de pré sem pré-lançamento",IF(IF(AND($B$162=$B$152,$B$163="Parcelamento"),1,0)+IF(AND($B$170=$B$152,$B$171="Parcelamento"),1,0)+IF(AND($B$178=$B$152,$B$179="Parcelamento"),1,0)+IF(AND($B$186=$B$152,$B$187="Parcelamento"),1,0)+IF(AND($B$194=$B$152,$B$195="Parcelamento"),1,0)+IF(AND($B$202=$B$152,$B$203="Parcelamento"),1,0)+IF(AND($B$210=$B$152,$B$211="Parcelamento"),1,0)+IF(AND($B$218=$B$152,$B$219="Parcelamento"),1,0)+IF(AND($B$226=$B$152,$B$227="Parcelamento"),1,0)+IF(AND($B$234=$B$152,$B$235="Parcelamento"),1,0)&gt;4,"⚠ mais de 4 parcelamentos","OK"))))) </f>
        <v/>
      </c>
      <c r="C814" s="20" t="inlineStr">
        <is>
          <t>alerta</t>
        </is>
      </c>
      <c r="D814" s="21" t="inlineStr">
        <is>
          <t>calculado</t>
        </is>
      </c>
    </row>
    <row r="815">
      <c r="A815" s="15" t="inlineStr">
        <is>
          <t>Custos convertidos em R$ (quando dá para converter sem o fluxo)</t>
        </is>
      </c>
    </row>
    <row r="816">
      <c r="A816" s="18" t="inlineStr">
        <is>
          <t>Custo 1 — equivalente em R$</t>
        </is>
      </c>
      <c r="B816" s="24">
        <f>IF($B$299="","",IF($B$299="rs",N($B$300),IF($B$299="rs_m2_priv",N($B$300)*$B$755,IF($B$299="rs_m2_terreno",N($B$300)*N($B$15),IF($B$299="pct_vgv",N($B$301)*$B$757,"depende do fluxo (app)")))))</f>
        <v/>
      </c>
      <c r="C816" s="20" t="inlineStr">
        <is>
          <t>R$ (ou texto se depender do fluxo)</t>
        </is>
      </c>
      <c r="D816" s="21" t="inlineStr">
        <is>
          <t>calculado</t>
        </is>
      </c>
    </row>
    <row r="817">
      <c r="A817" s="18" t="inlineStr">
        <is>
          <t>Custo 2 — equivalente em R$</t>
        </is>
      </c>
      <c r="B817" s="24">
        <f>IF($B$310="","",IF($B$310="rs",N($B$311),IF($B$310="rs_m2_priv",N($B$311)*$B$755,IF($B$310="rs_m2_terreno",N($B$311)*N($B$15),IF($B$310="pct_vgv",N($B$312)*$B$757,"depende do fluxo (app)")))))</f>
        <v/>
      </c>
      <c r="C817" s="20" t="inlineStr">
        <is>
          <t>R$ (ou texto se depender do fluxo)</t>
        </is>
      </c>
      <c r="D817" s="21" t="inlineStr">
        <is>
          <t>calculado</t>
        </is>
      </c>
    </row>
    <row r="818">
      <c r="A818" s="18" t="inlineStr">
        <is>
          <t>Custo 3 — equivalente em R$</t>
        </is>
      </c>
      <c r="B818" s="24">
        <f>IF($B$321="","",IF($B$321="rs",N($B$322),IF($B$321="rs_m2_priv",N($B$322)*$B$755,IF($B$321="rs_m2_terreno",N($B$322)*N($B$15),IF($B$321="pct_vgv",N($B$323)*$B$757,"depende do fluxo (app)")))))</f>
        <v/>
      </c>
      <c r="C818" s="20" t="inlineStr">
        <is>
          <t>R$ (ou texto se depender do fluxo)</t>
        </is>
      </c>
      <c r="D818" s="21" t="inlineStr">
        <is>
          <t>calculado</t>
        </is>
      </c>
    </row>
    <row r="819">
      <c r="A819" s="18" t="inlineStr">
        <is>
          <t>Custo 4 — equivalente em R$</t>
        </is>
      </c>
      <c r="B819" s="24">
        <f>IF($B$332="","",IF($B$332="rs",N($B$333),IF($B$332="rs_m2_priv",N($B$333)*$B$755,IF($B$332="rs_m2_terreno",N($B$333)*N($B$15),IF($B$332="pct_vgv",N($B$334)*$B$757,"depende do fluxo (app)")))))</f>
        <v/>
      </c>
      <c r="C819" s="20" t="inlineStr">
        <is>
          <t>R$ (ou texto se depender do fluxo)</t>
        </is>
      </c>
      <c r="D819" s="21" t="inlineStr">
        <is>
          <t>calculado</t>
        </is>
      </c>
    </row>
    <row r="820">
      <c r="A820" s="18" t="inlineStr">
        <is>
          <t>Custo 5 — equivalente em R$</t>
        </is>
      </c>
      <c r="B820" s="24">
        <f>IF($B$343="","",IF($B$343="rs",N($B$344),IF($B$343="rs_m2_priv",N($B$344)*$B$755,IF($B$343="rs_m2_terreno",N($B$344)*N($B$15),IF($B$343="pct_vgv",N($B$345)*$B$757,"depende do fluxo (app)")))))</f>
        <v/>
      </c>
      <c r="C820" s="20" t="inlineStr">
        <is>
          <t>R$ (ou texto se depender do fluxo)</t>
        </is>
      </c>
      <c r="D820" s="21" t="inlineStr">
        <is>
          <t>calculado</t>
        </is>
      </c>
    </row>
    <row r="821">
      <c r="A821" s="18" t="inlineStr">
        <is>
          <t>Custo 6 — equivalente em R$</t>
        </is>
      </c>
      <c r="B821" s="24">
        <f>IF($B$354="","",IF($B$354="rs",N($B$355),IF($B$354="rs_m2_priv",N($B$355)*$B$755,IF($B$354="rs_m2_terreno",N($B$355)*N($B$15),IF($B$354="pct_vgv",N($B$356)*$B$757,"depende do fluxo (app)")))))</f>
        <v/>
      </c>
      <c r="C821" s="20" t="inlineStr">
        <is>
          <t>R$ (ou texto se depender do fluxo)</t>
        </is>
      </c>
      <c r="D821" s="21" t="inlineStr">
        <is>
          <t>calculado</t>
        </is>
      </c>
    </row>
    <row r="822">
      <c r="A822" s="18" t="inlineStr">
        <is>
          <t>Custo 7 — equivalente em R$</t>
        </is>
      </c>
      <c r="B822" s="24">
        <f>IF($B$365="","",IF($B$365="rs",N($B$366),IF($B$365="rs_m2_priv",N($B$366)*$B$755,IF($B$365="rs_m2_terreno",N($B$366)*N($B$15),IF($B$365="pct_vgv",N($B$367)*$B$757,"depende do fluxo (app)")))))</f>
        <v/>
      </c>
      <c r="C822" s="20" t="inlineStr">
        <is>
          <t>R$ (ou texto se depender do fluxo)</t>
        </is>
      </c>
      <c r="D822" s="21" t="inlineStr">
        <is>
          <t>calculado</t>
        </is>
      </c>
    </row>
    <row r="823">
      <c r="A823" s="18" t="inlineStr">
        <is>
          <t>Custo 8 — equivalente em R$</t>
        </is>
      </c>
      <c r="B823" s="24">
        <f>IF($B$376="","",IF($B$376="rs",N($B$377),IF($B$376="rs_m2_priv",N($B$377)*$B$755,IF($B$376="rs_m2_terreno",N($B$377)*N($B$15),IF($B$376="pct_vgv",N($B$378)*$B$757,"depende do fluxo (app)")))))</f>
        <v/>
      </c>
      <c r="C823" s="20" t="inlineStr">
        <is>
          <t>R$ (ou texto se depender do fluxo)</t>
        </is>
      </c>
      <c r="D823" s="21" t="inlineStr">
        <is>
          <t>calculado</t>
        </is>
      </c>
    </row>
    <row r="824">
      <c r="A824" s="18" t="inlineStr">
        <is>
          <t>Custo 9 — equivalente em R$</t>
        </is>
      </c>
      <c r="B824" s="24">
        <f>IF($B$387="","",IF($B$387="rs",N($B$388),IF($B$387="rs_m2_priv",N($B$388)*$B$755,IF($B$387="rs_m2_terreno",N($B$388)*N($B$15),IF($B$387="pct_vgv",N($B$389)*$B$757,"depende do fluxo (app)")))))</f>
        <v/>
      </c>
      <c r="C824" s="20" t="inlineStr">
        <is>
          <t>R$ (ou texto se depender do fluxo)</t>
        </is>
      </c>
      <c r="D824" s="21" t="inlineStr">
        <is>
          <t>calculado</t>
        </is>
      </c>
    </row>
    <row r="825">
      <c r="A825" s="18" t="inlineStr">
        <is>
          <t>Custo 10 — equivalente em R$</t>
        </is>
      </c>
      <c r="B825" s="24">
        <f>IF($B$398="","",IF($B$398="rs",N($B$399),IF($B$398="rs_m2_priv",N($B$399)*$B$755,IF($B$398="rs_m2_terreno",N($B$399)*N($B$15),IF($B$398="pct_vgv",N($B$400)*$B$757,"depende do fluxo (app)")))))</f>
        <v/>
      </c>
      <c r="C825" s="20" t="inlineStr">
        <is>
          <t>R$ (ou texto se depender do fluxo)</t>
        </is>
      </c>
      <c r="D825" s="21" t="inlineStr">
        <is>
          <t>calculado</t>
        </is>
      </c>
    </row>
    <row r="826">
      <c r="A826" s="18" t="inlineStr">
        <is>
          <t>Custo 11 — equivalente em R$</t>
        </is>
      </c>
      <c r="B826" s="24">
        <f>IF($B$409="","",IF($B$409="rs",N($B$410),IF($B$409="rs_m2_priv",N($B$410)*$B$755,IF($B$409="rs_m2_terreno",N($B$410)*N($B$15),IF($B$409="pct_vgv",N($B$411)*$B$757,"depende do fluxo (app)")))))</f>
        <v/>
      </c>
      <c r="C826" s="20" t="inlineStr">
        <is>
          <t>R$ (ou texto se depender do fluxo)</t>
        </is>
      </c>
      <c r="D826" s="21" t="inlineStr">
        <is>
          <t>calculado</t>
        </is>
      </c>
    </row>
    <row r="827">
      <c r="A827" s="18" t="inlineStr">
        <is>
          <t>Custo 12 — equivalente em R$</t>
        </is>
      </c>
      <c r="B827" s="24">
        <f>IF($B$420="","",IF($B$420="rs",N($B$421),IF($B$420="rs_m2_priv",N($B$421)*$B$755,IF($B$420="rs_m2_terreno",N($B$421)*N($B$15),IF($B$420="pct_vgv",N($B$422)*$B$757,"depende do fluxo (app)")))))</f>
        <v/>
      </c>
      <c r="C827" s="20" t="inlineStr">
        <is>
          <t>R$ (ou texto se depender do fluxo)</t>
        </is>
      </c>
      <c r="D827" s="21" t="inlineStr">
        <is>
          <t>calculado</t>
        </is>
      </c>
    </row>
    <row r="828">
      <c r="A828" s="18" t="inlineStr">
        <is>
          <t>Custo 13 — equivalente em R$</t>
        </is>
      </c>
      <c r="B828" s="24">
        <f>IF($B$431="","",IF($B$431="rs",N($B$432),IF($B$431="rs_m2_priv",N($B$432)*$B$755,IF($B$431="rs_m2_terreno",N($B$432)*N($B$15),IF($B$431="pct_vgv",N($B$433)*$B$757,"depende do fluxo (app)")))))</f>
        <v/>
      </c>
      <c r="C828" s="20" t="inlineStr">
        <is>
          <t>R$ (ou texto se depender do fluxo)</t>
        </is>
      </c>
      <c r="D828" s="21" t="inlineStr">
        <is>
          <t>calculado</t>
        </is>
      </c>
    </row>
    <row r="829">
      <c r="A829" s="18" t="inlineStr">
        <is>
          <t>Custo 14 — equivalente em R$</t>
        </is>
      </c>
      <c r="B829" s="24">
        <f>IF($B$442="","",IF($B$442="rs",N($B$443),IF($B$442="rs_m2_priv",N($B$443)*$B$755,IF($B$442="rs_m2_terreno",N($B$443)*N($B$15),IF($B$442="pct_vgv",N($B$444)*$B$757,"depende do fluxo (app)")))))</f>
        <v/>
      </c>
      <c r="C829" s="20" t="inlineStr">
        <is>
          <t>R$ (ou texto se depender do fluxo)</t>
        </is>
      </c>
      <c r="D829" s="21" t="inlineStr">
        <is>
          <t>calculado</t>
        </is>
      </c>
    </row>
    <row r="830">
      <c r="A830" s="18" t="inlineStr">
        <is>
          <t>Custo 15 — equivalente em R$</t>
        </is>
      </c>
      <c r="B830" s="24">
        <f>IF($B$453="","",IF($B$453="rs",N($B$454),IF($B$453="rs_m2_priv",N($B$454)*$B$755,IF($B$453="rs_m2_terreno",N($B$454)*N($B$15),IF($B$453="pct_vgv",N($B$455)*$B$757,"depende do fluxo (app)")))))</f>
        <v/>
      </c>
      <c r="C830" s="20" t="inlineStr">
        <is>
          <t>R$ (ou texto se depender do fluxo)</t>
        </is>
      </c>
      <c r="D830" s="21" t="inlineStr">
        <is>
          <t>calculado</t>
        </is>
      </c>
    </row>
    <row r="831">
      <c r="A831" s="18" t="inlineStr">
        <is>
          <t>Custo 16 — equivalente em R$</t>
        </is>
      </c>
      <c r="B831" s="24">
        <f>IF($B$464="","",IF($B$464="rs",N($B$465),IF($B$464="rs_m2_priv",N($B$465)*$B$755,IF($B$464="rs_m2_terreno",N($B$465)*N($B$15),IF($B$464="pct_vgv",N($B$466)*$B$757,"depende do fluxo (app)")))))</f>
        <v/>
      </c>
      <c r="C831" s="20" t="inlineStr">
        <is>
          <t>R$ (ou texto se depender do fluxo)</t>
        </is>
      </c>
      <c r="D831" s="21" t="inlineStr">
        <is>
          <t>calculado</t>
        </is>
      </c>
    </row>
    <row r="832">
      <c r="A832" s="18" t="inlineStr">
        <is>
          <t>Custo 17 — equivalente em R$</t>
        </is>
      </c>
      <c r="B832" s="24">
        <f>IF($B$475="","",IF($B$475="rs",N($B$476),IF($B$475="rs_m2_priv",N($B$476)*$B$755,IF($B$475="rs_m2_terreno",N($B$476)*N($B$15),IF($B$475="pct_vgv",N($B$477)*$B$757,"depende do fluxo (app)")))))</f>
        <v/>
      </c>
      <c r="C832" s="20" t="inlineStr">
        <is>
          <t>R$ (ou texto se depender do fluxo)</t>
        </is>
      </c>
      <c r="D832" s="21" t="inlineStr">
        <is>
          <t>calculado</t>
        </is>
      </c>
    </row>
    <row r="833">
      <c r="A833" s="18" t="inlineStr">
        <is>
          <t>Custo 18 — equivalente em R$</t>
        </is>
      </c>
      <c r="B833" s="24">
        <f>IF($B$486="","",IF($B$486="rs",N($B$487),IF($B$486="rs_m2_priv",N($B$487)*$B$755,IF($B$486="rs_m2_terreno",N($B$487)*N($B$15),IF($B$486="pct_vgv",N($B$488)*$B$757,"depende do fluxo (app)")))))</f>
        <v/>
      </c>
      <c r="C833" s="20" t="inlineStr">
        <is>
          <t>R$ (ou texto se depender do fluxo)</t>
        </is>
      </c>
      <c r="D833" s="21" t="inlineStr">
        <is>
          <t>calculado</t>
        </is>
      </c>
    </row>
    <row r="834">
      <c r="A834" s="18" t="inlineStr">
        <is>
          <t>Custo 19 — equivalente em R$</t>
        </is>
      </c>
      <c r="B834" s="24">
        <f>IF($B$497="","",IF($B$497="rs",N($B$498),IF($B$497="rs_m2_priv",N($B$498)*$B$755,IF($B$497="rs_m2_terreno",N($B$498)*N($B$15),IF($B$497="pct_vgv",N($B$499)*$B$757,"depende do fluxo (app)")))))</f>
        <v/>
      </c>
      <c r="C834" s="20" t="inlineStr">
        <is>
          <t>R$ (ou texto se depender do fluxo)</t>
        </is>
      </c>
      <c r="D834" s="21" t="inlineStr">
        <is>
          <t>calculado</t>
        </is>
      </c>
    </row>
    <row r="835">
      <c r="A835" s="18" t="inlineStr">
        <is>
          <t>Custo 20 — equivalente em R$</t>
        </is>
      </c>
      <c r="B835" s="24">
        <f>IF($B$508="","",IF($B$508="rs",N($B$509),IF($B$508="rs_m2_priv",N($B$509)*$B$755,IF($B$508="rs_m2_terreno",N($B$509)*N($B$15),IF($B$508="pct_vgv",N($B$510)*$B$757,"depende do fluxo (app)")))))</f>
        <v/>
      </c>
      <c r="C835" s="20" t="inlineStr">
        <is>
          <t>R$ (ou texto se depender do fluxo)</t>
        </is>
      </c>
      <c r="D835" s="21" t="inlineStr">
        <is>
          <t>calculado</t>
        </is>
      </c>
    </row>
    <row r="836">
      <c r="A836" s="18" t="inlineStr">
        <is>
          <t>Custo 21 — equivalente em R$</t>
        </is>
      </c>
      <c r="B836" s="24">
        <f>IF($B$519="","",IF($B$519="rs",N($B$520),IF($B$519="rs_m2_priv",N($B$520)*$B$755,IF($B$519="rs_m2_terreno",N($B$520)*N($B$15),IF($B$519="pct_vgv",N($B$521)*$B$757,"depende do fluxo (app)")))))</f>
        <v/>
      </c>
      <c r="C836" s="20" t="inlineStr">
        <is>
          <t>R$ (ou texto se depender do fluxo)</t>
        </is>
      </c>
      <c r="D836" s="21" t="inlineStr">
        <is>
          <t>calculado</t>
        </is>
      </c>
    </row>
    <row r="837">
      <c r="A837" s="18" t="inlineStr">
        <is>
          <t>Custo 22 — equivalente em R$</t>
        </is>
      </c>
      <c r="B837" s="24">
        <f>IF($B$530="","",IF($B$530="rs",N($B$531),IF($B$530="rs_m2_priv",N($B$531)*$B$755,IF($B$530="rs_m2_terreno",N($B$531)*N($B$15),IF($B$530="pct_vgv",N($B$532)*$B$757,"depende do fluxo (app)")))))</f>
        <v/>
      </c>
      <c r="C837" s="20" t="inlineStr">
        <is>
          <t>R$ (ou texto se depender do fluxo)</t>
        </is>
      </c>
      <c r="D837" s="21" t="inlineStr">
        <is>
          <t>calculado</t>
        </is>
      </c>
    </row>
    <row r="838">
      <c r="A838" s="18" t="inlineStr">
        <is>
          <t>Custo 23 — equivalente em R$</t>
        </is>
      </c>
      <c r="B838" s="24">
        <f>IF($B$541="","",IF($B$541="rs",N($B$542),IF($B$541="rs_m2_priv",N($B$542)*$B$755,IF($B$541="rs_m2_terreno",N($B$542)*N($B$15),IF($B$541="pct_vgv",N($B$543)*$B$757,"depende do fluxo (app)")))))</f>
        <v/>
      </c>
      <c r="C838" s="20" t="inlineStr">
        <is>
          <t>R$ (ou texto se depender do fluxo)</t>
        </is>
      </c>
      <c r="D838" s="21" t="inlineStr">
        <is>
          <t>calculado</t>
        </is>
      </c>
    </row>
    <row r="839">
      <c r="A839" s="18" t="inlineStr">
        <is>
          <t>Custo 24 — equivalente em R$</t>
        </is>
      </c>
      <c r="B839" s="24">
        <f>IF($B$552="","",IF($B$552="rs",N($B$553),IF($B$552="rs_m2_priv",N($B$553)*$B$755,IF($B$552="rs_m2_terreno",N($B$553)*N($B$15),IF($B$552="pct_vgv",N($B$554)*$B$757,"depende do fluxo (app)")))))</f>
        <v/>
      </c>
      <c r="C839" s="20" t="inlineStr">
        <is>
          <t>R$ (ou texto se depender do fluxo)</t>
        </is>
      </c>
      <c r="D839" s="21" t="inlineStr">
        <is>
          <t>calculado</t>
        </is>
      </c>
    </row>
    <row r="840">
      <c r="A840" s="18" t="inlineStr">
        <is>
          <t>Custo 25 — equivalente em R$</t>
        </is>
      </c>
      <c r="B840" s="24">
        <f>IF($B$563="","",IF($B$563="rs",N($B$564),IF($B$563="rs_m2_priv",N($B$564)*$B$755,IF($B$563="rs_m2_terreno",N($B$564)*N($B$15),IF($B$563="pct_vgv",N($B$565)*$B$757,"depende do fluxo (app)")))))</f>
        <v/>
      </c>
      <c r="C840" s="20" t="inlineStr">
        <is>
          <t>R$ (ou texto se depender do fluxo)</t>
        </is>
      </c>
      <c r="D840" s="21" t="inlineStr">
        <is>
          <t>calculado</t>
        </is>
      </c>
    </row>
    <row r="841">
      <c r="A841" s="18" t="inlineStr">
        <is>
          <t>Custo 26 — equivalente em R$</t>
        </is>
      </c>
      <c r="B841" s="24">
        <f>IF($B$574="","",IF($B$574="rs",N($B$575),IF($B$574="rs_m2_priv",N($B$575)*$B$755,IF($B$574="rs_m2_terreno",N($B$575)*N($B$15),IF($B$574="pct_vgv",N($B$576)*$B$757,"depende do fluxo (app)")))))</f>
        <v/>
      </c>
      <c r="C841" s="20" t="inlineStr">
        <is>
          <t>R$ (ou texto se depender do fluxo)</t>
        </is>
      </c>
      <c r="D841" s="21" t="inlineStr">
        <is>
          <t>calculado</t>
        </is>
      </c>
    </row>
    <row r="842">
      <c r="A842" s="18" t="inlineStr">
        <is>
          <t>Custo 27 — equivalente em R$</t>
        </is>
      </c>
      <c r="B842" s="24">
        <f>IF($B$585="","",IF($B$585="rs",N($B$586),IF($B$585="rs_m2_priv",N($B$586)*$B$755,IF($B$585="rs_m2_terreno",N($B$586)*N($B$15),IF($B$585="pct_vgv",N($B$587)*$B$757,"depende do fluxo (app)")))))</f>
        <v/>
      </c>
      <c r="C842" s="20" t="inlineStr">
        <is>
          <t>R$ (ou texto se depender do fluxo)</t>
        </is>
      </c>
      <c r="D842" s="21" t="inlineStr">
        <is>
          <t>calculado</t>
        </is>
      </c>
    </row>
    <row r="843">
      <c r="A843" s="18" t="inlineStr">
        <is>
          <t>Custo 28 — equivalente em R$</t>
        </is>
      </c>
      <c r="B843" s="24">
        <f>IF($B$596="","",IF($B$596="rs",N($B$597),IF($B$596="rs_m2_priv",N($B$597)*$B$755,IF($B$596="rs_m2_terreno",N($B$597)*N($B$15),IF($B$596="pct_vgv",N($B$598)*$B$757,"depende do fluxo (app)")))))</f>
        <v/>
      </c>
      <c r="C843" s="20" t="inlineStr">
        <is>
          <t>R$ (ou texto se depender do fluxo)</t>
        </is>
      </c>
      <c r="D843" s="21" t="inlineStr">
        <is>
          <t>calculado</t>
        </is>
      </c>
    </row>
    <row r="844">
      <c r="A844" s="18" t="inlineStr">
        <is>
          <t>Custo 1 — conferência</t>
        </is>
      </c>
      <c r="B844" s="23">
        <f>IF(AND($B$296="",$B$297=""),"",IF(OR($B$296="",$B$297="",$B$299=""),"⚠ falta grupo, categoria ou unidade",IF(NOT(OR(AND($B$296="terreno",$B$297="Preço",OR($B$299="rs",$B$299="rs_m2_terreno")),AND($B$296="terreno",$B$297="Registro",OR($B$299="rs",$B$299="rs_m2_priv")),AND($B$296="terreno",$B$297="Outro",OR($B$299="rs",$B$299="pct_vgv")),AND($B$296="obra",$B$297="Construção",OR($B$299="rs",$B$299="rs_m2_priv")),AND($B$296="obra",$B$297="Outorga",OR($B$299="rs",$B$299="pct_vgv")),AND($B$296="obra",$B$297="Decoração",OR($B$299="rs",$B$299="rs_m2_priv")),AND($B$296="obra",$B$297="Gestão da obra",OR($B$299="rs",$B$299="pct_obra")),AND($B$296="obra",$B$297="Contingência",OR($B$299="rs",$B$299="pct_vgv")),AND($B$296="obra",$B$297="Outro",OR($B$299="rs",$B$299="pct_vgv")),AND($B$296="diretos",$B$297="Marketing &amp; Publicidade",OR($B$299="rs",$B$299="pct_vgv",$B$299="pct_recebido")),AND($B$296="diretos",$B$297="Corretagem de vendas",OR($B$299="pct_vgv")),AND($B$296="diretos",$B$297="Projetos",OR($B$299="rs",$B$299="rs_m2_priv",$B$299="pct_constr")),AND($B$296="diretos",$B$297="Licenças e Aprovações",OR($B$299="rs",$B$299="rs_m2_priv")),AND($B$296="diretos",$B$297="Manutenção pós-obra",OR($B$299="rs",$B$299="pct_vgv",$B$299="pct_recebido")),AND($B$296="diretos",$B$297="Outro",OR($B$299="rs",$B$299="pct_vgv",$B$299="pct_recebido")),AND($B$296="indireto",$B$297="Marketing global",OR($B$299="rs",$B$299="pct_vgv",$B$299="pct_recebido")),AND($B$296="indireto",$B$297="Stand de vendas",OR($B$299="rs",$B$299="pct_vgv")),AND($B$296="indireto",$B$297="Gestão",OR($B$299="rs",$B$299="pct_vgv",$B$299="pct_recebido")),AND($B$296="indireto",$B$297="Outro",OR($B$299="rs",$B$299="pct_vgv",$B$299="pct_recebido")),AND($B$296="financeiro",$B$297="Juros de financiamento",OR($B$299="rs",$B$299="pct_vgv")),AND($B$296="financeiro",$B$297="Taxas bancárias",OR($B$299="rs",$B$299="pct_vgv")),AND($B$296="financeiro",$B$297="Estruturação de dívida",OR($B$299="rs",$B$299="pct_vgv")),AND($B$296="financeiro",$B$297="Investidores",OR($B$299="rs",$B$299="pct_vgv")),AND($B$296="financeiro",$B$297="Outro",OR($B$299="rs",$B$299="pct_vgv")))),"⚠ unidade não aceita nesta categoria",IF(AND($B$300&lt;&gt;"",$B$301&lt;&gt;""),"⚠ preencha só uma linha de valor",IF(IF(LEFT($B$299,3)="pct",$B$301="",$B$300=""),"⚠ falta o valor na linha certa","OK")))))</f>
        <v/>
      </c>
      <c r="C844" s="20" t="inlineStr">
        <is>
          <t>alerta</t>
        </is>
      </c>
      <c r="D844" s="21" t="inlineStr">
        <is>
          <t>calculado</t>
        </is>
      </c>
    </row>
    <row r="845">
      <c r="A845" s="18" t="inlineStr">
        <is>
          <t>Custo 2 — conferência</t>
        </is>
      </c>
      <c r="B845" s="23">
        <f>IF(AND($B$307="",$B$308=""),"",IF(OR($B$307="",$B$308="",$B$310=""),"⚠ falta grupo, categoria ou unidade",IF(NOT(OR(AND($B$307="terreno",$B$308="Preço",OR($B$310="rs",$B$310="rs_m2_terreno")),AND($B$307="terreno",$B$308="Registro",OR($B$310="rs",$B$310="rs_m2_priv")),AND($B$307="terreno",$B$308="Outro",OR($B$310="rs",$B$310="pct_vgv")),AND($B$307="obra",$B$308="Construção",OR($B$310="rs",$B$310="rs_m2_priv")),AND($B$307="obra",$B$308="Outorga",OR($B$310="rs",$B$310="pct_vgv")),AND($B$307="obra",$B$308="Decoração",OR($B$310="rs",$B$310="rs_m2_priv")),AND($B$307="obra",$B$308="Gestão da obra",OR($B$310="rs",$B$310="pct_obra")),AND($B$307="obra",$B$308="Contingência",OR($B$310="rs",$B$310="pct_vgv")),AND($B$307="obra",$B$308="Outro",OR($B$310="rs",$B$310="pct_vgv")),AND($B$307="diretos",$B$308="Marketing &amp; Publicidade",OR($B$310="rs",$B$310="pct_vgv",$B$310="pct_recebido")),AND($B$307="diretos",$B$308="Corretagem de vendas",OR($B$310="pct_vgv")),AND($B$307="diretos",$B$308="Projetos",OR($B$310="rs",$B$310="rs_m2_priv",$B$310="pct_constr")),AND($B$307="diretos",$B$308="Licenças e Aprovações",OR($B$310="rs",$B$310="rs_m2_priv")),AND($B$307="diretos",$B$308="Manutenção pós-obra",OR($B$310="rs",$B$310="pct_vgv",$B$310="pct_recebido")),AND($B$307="diretos",$B$308="Outro",OR($B$310="rs",$B$310="pct_vgv",$B$310="pct_recebido")),AND($B$307="indireto",$B$308="Marketing global",OR($B$310="rs",$B$310="pct_vgv",$B$310="pct_recebido")),AND($B$307="indireto",$B$308="Stand de vendas",OR($B$310="rs",$B$310="pct_vgv")),AND($B$307="indireto",$B$308="Gestão",OR($B$310="rs",$B$310="pct_vgv",$B$310="pct_recebido")),AND($B$307="indireto",$B$308="Outro",OR($B$310="rs",$B$310="pct_vgv",$B$310="pct_recebido")),AND($B$307="financeiro",$B$308="Juros de financiamento",OR($B$310="rs",$B$310="pct_vgv")),AND($B$307="financeiro",$B$308="Taxas bancárias",OR($B$310="rs",$B$310="pct_vgv")),AND($B$307="financeiro",$B$308="Estruturação de dívida",OR($B$310="rs",$B$310="pct_vgv")),AND($B$307="financeiro",$B$308="Investidores",OR($B$310="rs",$B$310="pct_vgv")),AND($B$307="financeiro",$B$308="Outro",OR($B$310="rs",$B$310="pct_vgv")))),"⚠ unidade não aceita nesta categoria",IF(AND($B$311&lt;&gt;"",$B$312&lt;&gt;""),"⚠ preencha só uma linha de valor",IF(IF(LEFT($B$310,3)="pct",$B$312="",$B$311=""),"⚠ falta o valor na linha certa","OK")))))</f>
        <v/>
      </c>
      <c r="C845" s="20" t="inlineStr">
        <is>
          <t>alerta</t>
        </is>
      </c>
      <c r="D845" s="21" t="inlineStr">
        <is>
          <t>calculado</t>
        </is>
      </c>
    </row>
    <row r="846">
      <c r="A846" s="18" t="inlineStr">
        <is>
          <t>Custo 3 — conferência</t>
        </is>
      </c>
      <c r="B846" s="23">
        <f>IF(AND($B$318="",$B$319=""),"",IF(OR($B$318="",$B$319="",$B$321=""),"⚠ falta grupo, categoria ou unidade",IF(NOT(OR(AND($B$318="terreno",$B$319="Preço",OR($B$321="rs",$B$321="rs_m2_terreno")),AND($B$318="terreno",$B$319="Registro",OR($B$321="rs",$B$321="rs_m2_priv")),AND($B$318="terreno",$B$319="Outro",OR($B$321="rs",$B$321="pct_vgv")),AND($B$318="obra",$B$319="Construção",OR($B$321="rs",$B$321="rs_m2_priv")),AND($B$318="obra",$B$319="Outorga",OR($B$321="rs",$B$321="pct_vgv")),AND($B$318="obra",$B$319="Decoração",OR($B$321="rs",$B$321="rs_m2_priv")),AND($B$318="obra",$B$319="Gestão da obra",OR($B$321="rs",$B$321="pct_obra")),AND($B$318="obra",$B$319="Contingência",OR($B$321="rs",$B$321="pct_vgv")),AND($B$318="obra",$B$319="Outro",OR($B$321="rs",$B$321="pct_vgv")),AND($B$318="diretos",$B$319="Marketing &amp; Publicidade",OR($B$321="rs",$B$321="pct_vgv",$B$321="pct_recebido")),AND($B$318="diretos",$B$319="Corretagem de vendas",OR($B$321="pct_vgv")),AND($B$318="diretos",$B$319="Projetos",OR($B$321="rs",$B$321="rs_m2_priv",$B$321="pct_constr")),AND($B$318="diretos",$B$319="Licenças e Aprovações",OR($B$321="rs",$B$321="rs_m2_priv")),AND($B$318="diretos",$B$319="Manutenção pós-obra",OR($B$321="rs",$B$321="pct_vgv",$B$321="pct_recebido")),AND($B$318="diretos",$B$319="Outro",OR($B$321="rs",$B$321="pct_vgv",$B$321="pct_recebido")),AND($B$318="indireto",$B$319="Marketing global",OR($B$321="rs",$B$321="pct_vgv",$B$321="pct_recebido")),AND($B$318="indireto",$B$319="Stand de vendas",OR($B$321="rs",$B$321="pct_vgv")),AND($B$318="indireto",$B$319="Gestão",OR($B$321="rs",$B$321="pct_vgv",$B$321="pct_recebido")),AND($B$318="indireto",$B$319="Outro",OR($B$321="rs",$B$321="pct_vgv",$B$321="pct_recebido")),AND($B$318="financeiro",$B$319="Juros de financiamento",OR($B$321="rs",$B$321="pct_vgv")),AND($B$318="financeiro",$B$319="Taxas bancárias",OR($B$321="rs",$B$321="pct_vgv")),AND($B$318="financeiro",$B$319="Estruturação de dívida",OR($B$321="rs",$B$321="pct_vgv")),AND($B$318="financeiro",$B$319="Investidores",OR($B$321="rs",$B$321="pct_vgv")),AND($B$318="financeiro",$B$319="Outro",OR($B$321="rs",$B$321="pct_vgv")))),"⚠ unidade não aceita nesta categoria",IF(AND($B$322&lt;&gt;"",$B$323&lt;&gt;""),"⚠ preencha só uma linha de valor",IF(IF(LEFT($B$321,3)="pct",$B$323="",$B$322=""),"⚠ falta o valor na linha certa","OK")))))</f>
        <v/>
      </c>
      <c r="C846" s="20" t="inlineStr">
        <is>
          <t>alerta</t>
        </is>
      </c>
      <c r="D846" s="21" t="inlineStr">
        <is>
          <t>calculado</t>
        </is>
      </c>
    </row>
    <row r="847">
      <c r="A847" s="18" t="inlineStr">
        <is>
          <t>Custo 4 — conferência</t>
        </is>
      </c>
      <c r="B847" s="23">
        <f>IF(AND($B$329="",$B$330=""),"",IF(OR($B$329="",$B$330="",$B$332=""),"⚠ falta grupo, categoria ou unidade",IF(NOT(OR(AND($B$329="terreno",$B$330="Preço",OR($B$332="rs",$B$332="rs_m2_terreno")),AND($B$329="terreno",$B$330="Registro",OR($B$332="rs",$B$332="rs_m2_priv")),AND($B$329="terreno",$B$330="Outro",OR($B$332="rs",$B$332="pct_vgv")),AND($B$329="obra",$B$330="Construção",OR($B$332="rs",$B$332="rs_m2_priv")),AND($B$329="obra",$B$330="Outorga",OR($B$332="rs",$B$332="pct_vgv")),AND($B$329="obra",$B$330="Decoração",OR($B$332="rs",$B$332="rs_m2_priv")),AND($B$329="obra",$B$330="Gestão da obra",OR($B$332="rs",$B$332="pct_obra")),AND($B$329="obra",$B$330="Contingência",OR($B$332="rs",$B$332="pct_vgv")),AND($B$329="obra",$B$330="Outro",OR($B$332="rs",$B$332="pct_vgv")),AND($B$329="diretos",$B$330="Marketing &amp; Publicidade",OR($B$332="rs",$B$332="pct_vgv",$B$332="pct_recebido")),AND($B$329="diretos",$B$330="Corretagem de vendas",OR($B$332="pct_vgv")),AND($B$329="diretos",$B$330="Projetos",OR($B$332="rs",$B$332="rs_m2_priv",$B$332="pct_constr")),AND($B$329="diretos",$B$330="Licenças e Aprovações",OR($B$332="rs",$B$332="rs_m2_priv")),AND($B$329="diretos",$B$330="Manutenção pós-obra",OR($B$332="rs",$B$332="pct_vgv",$B$332="pct_recebido")),AND($B$329="diretos",$B$330="Outro",OR($B$332="rs",$B$332="pct_vgv",$B$332="pct_recebido")),AND($B$329="indireto",$B$330="Marketing global",OR($B$332="rs",$B$332="pct_vgv",$B$332="pct_recebido")),AND($B$329="indireto",$B$330="Stand de vendas",OR($B$332="rs",$B$332="pct_vgv")),AND($B$329="indireto",$B$330="Gestão",OR($B$332="rs",$B$332="pct_vgv",$B$332="pct_recebido")),AND($B$329="indireto",$B$330="Outro",OR($B$332="rs",$B$332="pct_vgv",$B$332="pct_recebido")),AND($B$329="financeiro",$B$330="Juros de financiamento",OR($B$332="rs",$B$332="pct_vgv")),AND($B$329="financeiro",$B$330="Taxas bancárias",OR($B$332="rs",$B$332="pct_vgv")),AND($B$329="financeiro",$B$330="Estruturação de dívida",OR($B$332="rs",$B$332="pct_vgv")),AND($B$329="financeiro",$B$330="Investidores",OR($B$332="rs",$B$332="pct_vgv")),AND($B$329="financeiro",$B$330="Outro",OR($B$332="rs",$B$332="pct_vgv")))),"⚠ unidade não aceita nesta categoria",IF(AND($B$333&lt;&gt;"",$B$334&lt;&gt;""),"⚠ preencha só uma linha de valor",IF(IF(LEFT($B$332,3)="pct",$B$334="",$B$333=""),"⚠ falta o valor na linha certa","OK")))))</f>
        <v/>
      </c>
      <c r="C847" s="20" t="inlineStr">
        <is>
          <t>alerta</t>
        </is>
      </c>
      <c r="D847" s="21" t="inlineStr">
        <is>
          <t>calculado</t>
        </is>
      </c>
    </row>
    <row r="848">
      <c r="A848" s="18" t="inlineStr">
        <is>
          <t>Custo 5 — conferência</t>
        </is>
      </c>
      <c r="B848" s="23">
        <f>IF(AND($B$340="",$B$341=""),"",IF(OR($B$340="",$B$341="",$B$343=""),"⚠ falta grupo, categoria ou unidade",IF(NOT(OR(AND($B$340="terreno",$B$341="Preço",OR($B$343="rs",$B$343="rs_m2_terreno")),AND($B$340="terreno",$B$341="Registro",OR($B$343="rs",$B$343="rs_m2_priv")),AND($B$340="terreno",$B$341="Outro",OR($B$343="rs",$B$343="pct_vgv")),AND($B$340="obra",$B$341="Construção",OR($B$343="rs",$B$343="rs_m2_priv")),AND($B$340="obra",$B$341="Outorga",OR($B$343="rs",$B$343="pct_vgv")),AND($B$340="obra",$B$341="Decoração",OR($B$343="rs",$B$343="rs_m2_priv")),AND($B$340="obra",$B$341="Gestão da obra",OR($B$343="rs",$B$343="pct_obra")),AND($B$340="obra",$B$341="Contingência",OR($B$343="rs",$B$343="pct_vgv")),AND($B$340="obra",$B$341="Outro",OR($B$343="rs",$B$343="pct_vgv")),AND($B$340="diretos",$B$341="Marketing &amp; Publicidade",OR($B$343="rs",$B$343="pct_vgv",$B$343="pct_recebido")),AND($B$340="diretos",$B$341="Corretagem de vendas",OR($B$343="pct_vgv")),AND($B$340="diretos",$B$341="Projetos",OR($B$343="rs",$B$343="rs_m2_priv",$B$343="pct_constr")),AND($B$340="diretos",$B$341="Licenças e Aprovações",OR($B$343="rs",$B$343="rs_m2_priv")),AND($B$340="diretos",$B$341="Manutenção pós-obra",OR($B$343="rs",$B$343="pct_vgv",$B$343="pct_recebido")),AND($B$340="diretos",$B$341="Outro",OR($B$343="rs",$B$343="pct_vgv",$B$343="pct_recebido")),AND($B$340="indireto",$B$341="Marketing global",OR($B$343="rs",$B$343="pct_vgv",$B$343="pct_recebido")),AND($B$340="indireto",$B$341="Stand de vendas",OR($B$343="rs",$B$343="pct_vgv")),AND($B$340="indireto",$B$341="Gestão",OR($B$343="rs",$B$343="pct_vgv",$B$343="pct_recebido")),AND($B$340="indireto",$B$341="Outro",OR($B$343="rs",$B$343="pct_vgv",$B$343="pct_recebido")),AND($B$340="financeiro",$B$341="Juros de financiamento",OR($B$343="rs",$B$343="pct_vgv")),AND($B$340="financeiro",$B$341="Taxas bancárias",OR($B$343="rs",$B$343="pct_vgv")),AND($B$340="financeiro",$B$341="Estruturação de dívida",OR($B$343="rs",$B$343="pct_vgv")),AND($B$340="financeiro",$B$341="Investidores",OR($B$343="rs",$B$343="pct_vgv")),AND($B$340="financeiro",$B$341="Outro",OR($B$343="rs",$B$343="pct_vgv")))),"⚠ unidade não aceita nesta categoria",IF(AND($B$344&lt;&gt;"",$B$345&lt;&gt;""),"⚠ preencha só uma linha de valor",IF(IF(LEFT($B$343,3)="pct",$B$345="",$B$344=""),"⚠ falta o valor na linha certa","OK")))))</f>
        <v/>
      </c>
      <c r="C848" s="20" t="inlineStr">
        <is>
          <t>alerta</t>
        </is>
      </c>
      <c r="D848" s="21" t="inlineStr">
        <is>
          <t>calculado</t>
        </is>
      </c>
    </row>
    <row r="849">
      <c r="A849" s="18" t="inlineStr">
        <is>
          <t>Custo 6 — conferência</t>
        </is>
      </c>
      <c r="B849" s="23">
        <f>IF(AND($B$351="",$B$352=""),"",IF(OR($B$351="",$B$352="",$B$354=""),"⚠ falta grupo, categoria ou unidade",IF(NOT(OR(AND($B$351="terreno",$B$352="Preço",OR($B$354="rs",$B$354="rs_m2_terreno")),AND($B$351="terreno",$B$352="Registro",OR($B$354="rs",$B$354="rs_m2_priv")),AND($B$351="terreno",$B$352="Outro",OR($B$354="rs",$B$354="pct_vgv")),AND($B$351="obra",$B$352="Construção",OR($B$354="rs",$B$354="rs_m2_priv")),AND($B$351="obra",$B$352="Outorga",OR($B$354="rs",$B$354="pct_vgv")),AND($B$351="obra",$B$352="Decoração",OR($B$354="rs",$B$354="rs_m2_priv")),AND($B$351="obra",$B$352="Gestão da obra",OR($B$354="rs",$B$354="pct_obra")),AND($B$351="obra",$B$352="Contingência",OR($B$354="rs",$B$354="pct_vgv")),AND($B$351="obra",$B$352="Outro",OR($B$354="rs",$B$354="pct_vgv")),AND($B$351="diretos",$B$352="Marketing &amp; Publicidade",OR($B$354="rs",$B$354="pct_vgv",$B$354="pct_recebido")),AND($B$351="diretos",$B$352="Corretagem de vendas",OR($B$354="pct_vgv")),AND($B$351="diretos",$B$352="Projetos",OR($B$354="rs",$B$354="rs_m2_priv",$B$354="pct_constr")),AND($B$351="diretos",$B$352="Licenças e Aprovações",OR($B$354="rs",$B$354="rs_m2_priv")),AND($B$351="diretos",$B$352="Manutenção pós-obra",OR($B$354="rs",$B$354="pct_vgv",$B$354="pct_recebido")),AND($B$351="diretos",$B$352="Outro",OR($B$354="rs",$B$354="pct_vgv",$B$354="pct_recebido")),AND($B$351="indireto",$B$352="Marketing global",OR($B$354="rs",$B$354="pct_vgv",$B$354="pct_recebido")),AND($B$351="indireto",$B$352="Stand de vendas",OR($B$354="rs",$B$354="pct_vgv")),AND($B$351="indireto",$B$352="Gestão",OR($B$354="rs",$B$354="pct_vgv",$B$354="pct_recebido")),AND($B$351="indireto",$B$352="Outro",OR($B$354="rs",$B$354="pct_vgv",$B$354="pct_recebido")),AND($B$351="financeiro",$B$352="Juros de financiamento",OR($B$354="rs",$B$354="pct_vgv")),AND($B$351="financeiro",$B$352="Taxas bancárias",OR($B$354="rs",$B$354="pct_vgv")),AND($B$351="financeiro",$B$352="Estruturação de dívida",OR($B$354="rs",$B$354="pct_vgv")),AND($B$351="financeiro",$B$352="Investidores",OR($B$354="rs",$B$354="pct_vgv")),AND($B$351="financeiro",$B$352="Outro",OR($B$354="rs",$B$354="pct_vgv")))),"⚠ unidade não aceita nesta categoria",IF(AND($B$355&lt;&gt;"",$B$356&lt;&gt;""),"⚠ preencha só uma linha de valor",IF(IF(LEFT($B$354,3)="pct",$B$356="",$B$355=""),"⚠ falta o valor na linha certa","OK")))))</f>
        <v/>
      </c>
      <c r="C849" s="20" t="inlineStr">
        <is>
          <t>alerta</t>
        </is>
      </c>
      <c r="D849" s="21" t="inlineStr">
        <is>
          <t>calculado</t>
        </is>
      </c>
    </row>
    <row r="850">
      <c r="A850" s="18" t="inlineStr">
        <is>
          <t>Custo 7 — conferência</t>
        </is>
      </c>
      <c r="B850" s="23">
        <f>IF(AND($B$362="",$B$363=""),"",IF(OR($B$362="",$B$363="",$B$365=""),"⚠ falta grupo, categoria ou unidade",IF(NOT(OR(AND($B$362="terreno",$B$363="Preço",OR($B$365="rs",$B$365="rs_m2_terreno")),AND($B$362="terreno",$B$363="Registro",OR($B$365="rs",$B$365="rs_m2_priv")),AND($B$362="terreno",$B$363="Outro",OR($B$365="rs",$B$365="pct_vgv")),AND($B$362="obra",$B$363="Construção",OR($B$365="rs",$B$365="rs_m2_priv")),AND($B$362="obra",$B$363="Outorga",OR($B$365="rs",$B$365="pct_vgv")),AND($B$362="obra",$B$363="Decoração",OR($B$365="rs",$B$365="rs_m2_priv")),AND($B$362="obra",$B$363="Gestão da obra",OR($B$365="rs",$B$365="pct_obra")),AND($B$362="obra",$B$363="Contingência",OR($B$365="rs",$B$365="pct_vgv")),AND($B$362="obra",$B$363="Outro",OR($B$365="rs",$B$365="pct_vgv")),AND($B$362="diretos",$B$363="Marketing &amp; Publicidade",OR($B$365="rs",$B$365="pct_vgv",$B$365="pct_recebido")),AND($B$362="diretos",$B$363="Corretagem de vendas",OR($B$365="pct_vgv")),AND($B$362="diretos",$B$363="Projetos",OR($B$365="rs",$B$365="rs_m2_priv",$B$365="pct_constr")),AND($B$362="diretos",$B$363="Licenças e Aprovações",OR($B$365="rs",$B$365="rs_m2_priv")),AND($B$362="diretos",$B$363="Manutenção pós-obra",OR($B$365="rs",$B$365="pct_vgv",$B$365="pct_recebido")),AND($B$362="diretos",$B$363="Outro",OR($B$365="rs",$B$365="pct_vgv",$B$365="pct_recebido")),AND($B$362="indireto",$B$363="Marketing global",OR($B$365="rs",$B$365="pct_vgv",$B$365="pct_recebido")),AND($B$362="indireto",$B$363="Stand de vendas",OR($B$365="rs",$B$365="pct_vgv")),AND($B$362="indireto",$B$363="Gestão",OR($B$365="rs",$B$365="pct_vgv",$B$365="pct_recebido")),AND($B$362="indireto",$B$363="Outro",OR($B$365="rs",$B$365="pct_vgv",$B$365="pct_recebido")),AND($B$362="financeiro",$B$363="Juros de financiamento",OR($B$365="rs",$B$365="pct_vgv")),AND($B$362="financeiro",$B$363="Taxas bancárias",OR($B$365="rs",$B$365="pct_vgv")),AND($B$362="financeiro",$B$363="Estruturação de dívida",OR($B$365="rs",$B$365="pct_vgv")),AND($B$362="financeiro",$B$363="Investidores",OR($B$365="rs",$B$365="pct_vgv")),AND($B$362="financeiro",$B$363="Outro",OR($B$365="rs",$B$365="pct_vgv")))),"⚠ unidade não aceita nesta categoria",IF(AND($B$366&lt;&gt;"",$B$367&lt;&gt;""),"⚠ preencha só uma linha de valor",IF(IF(LEFT($B$365,3)="pct",$B$367="",$B$366=""),"⚠ falta o valor na linha certa","OK")))))</f>
        <v/>
      </c>
      <c r="C850" s="20" t="inlineStr">
        <is>
          <t>alerta</t>
        </is>
      </c>
      <c r="D850" s="21" t="inlineStr">
        <is>
          <t>calculado</t>
        </is>
      </c>
    </row>
    <row r="851">
      <c r="A851" s="18" t="inlineStr">
        <is>
          <t>Custo 8 — conferência</t>
        </is>
      </c>
      <c r="B851" s="23">
        <f>IF(AND($B$373="",$B$374=""),"",IF(OR($B$373="",$B$374="",$B$376=""),"⚠ falta grupo, categoria ou unidade",IF(NOT(OR(AND($B$373="terreno",$B$374="Preço",OR($B$376="rs",$B$376="rs_m2_terreno")),AND($B$373="terreno",$B$374="Registro",OR($B$376="rs",$B$376="rs_m2_priv")),AND($B$373="terreno",$B$374="Outro",OR($B$376="rs",$B$376="pct_vgv")),AND($B$373="obra",$B$374="Construção",OR($B$376="rs",$B$376="rs_m2_priv")),AND($B$373="obra",$B$374="Outorga",OR($B$376="rs",$B$376="pct_vgv")),AND($B$373="obra",$B$374="Decoração",OR($B$376="rs",$B$376="rs_m2_priv")),AND($B$373="obra",$B$374="Gestão da obra",OR($B$376="rs",$B$376="pct_obra")),AND($B$373="obra",$B$374="Contingência",OR($B$376="rs",$B$376="pct_vgv")),AND($B$373="obra",$B$374="Outro",OR($B$376="rs",$B$376="pct_vgv")),AND($B$373="diretos",$B$374="Marketing &amp; Publicidade",OR($B$376="rs",$B$376="pct_vgv",$B$376="pct_recebido")),AND($B$373="diretos",$B$374="Corretagem de vendas",OR($B$376="pct_vgv")),AND($B$373="diretos",$B$374="Projetos",OR($B$376="rs",$B$376="rs_m2_priv",$B$376="pct_constr")),AND($B$373="diretos",$B$374="Licenças e Aprovações",OR($B$376="rs",$B$376="rs_m2_priv")),AND($B$373="diretos",$B$374="Manutenção pós-obra",OR($B$376="rs",$B$376="pct_vgv",$B$376="pct_recebido")),AND($B$373="diretos",$B$374="Outro",OR($B$376="rs",$B$376="pct_vgv",$B$376="pct_recebido")),AND($B$373="indireto",$B$374="Marketing global",OR($B$376="rs",$B$376="pct_vgv",$B$376="pct_recebido")),AND($B$373="indireto",$B$374="Stand de vendas",OR($B$376="rs",$B$376="pct_vgv")),AND($B$373="indireto",$B$374="Gestão",OR($B$376="rs",$B$376="pct_vgv",$B$376="pct_recebido")),AND($B$373="indireto",$B$374="Outro",OR($B$376="rs",$B$376="pct_vgv",$B$376="pct_recebido")),AND($B$373="financeiro",$B$374="Juros de financiamento",OR($B$376="rs",$B$376="pct_vgv")),AND($B$373="financeiro",$B$374="Taxas bancárias",OR($B$376="rs",$B$376="pct_vgv")),AND($B$373="financeiro",$B$374="Estruturação de dívida",OR($B$376="rs",$B$376="pct_vgv")),AND($B$373="financeiro",$B$374="Investidores",OR($B$376="rs",$B$376="pct_vgv")),AND($B$373="financeiro",$B$374="Outro",OR($B$376="rs",$B$376="pct_vgv")))),"⚠ unidade não aceita nesta categoria",IF(AND($B$377&lt;&gt;"",$B$378&lt;&gt;""),"⚠ preencha só uma linha de valor",IF(IF(LEFT($B$376,3)="pct",$B$378="",$B$377=""),"⚠ falta o valor na linha certa","OK")))))</f>
        <v/>
      </c>
      <c r="C851" s="20" t="inlineStr">
        <is>
          <t>alerta</t>
        </is>
      </c>
      <c r="D851" s="21" t="inlineStr">
        <is>
          <t>calculado</t>
        </is>
      </c>
    </row>
    <row r="852">
      <c r="A852" s="18" t="inlineStr">
        <is>
          <t>Custo 9 — conferência</t>
        </is>
      </c>
      <c r="B852" s="23">
        <f>IF(AND($B$384="",$B$385=""),"",IF(OR($B$384="",$B$385="",$B$387=""),"⚠ falta grupo, categoria ou unidade",IF(NOT(OR(AND($B$384="terreno",$B$385="Preço",OR($B$387="rs",$B$387="rs_m2_terreno")),AND($B$384="terreno",$B$385="Registro",OR($B$387="rs",$B$387="rs_m2_priv")),AND($B$384="terreno",$B$385="Outro",OR($B$387="rs",$B$387="pct_vgv")),AND($B$384="obra",$B$385="Construção",OR($B$387="rs",$B$387="rs_m2_priv")),AND($B$384="obra",$B$385="Outorga",OR($B$387="rs",$B$387="pct_vgv")),AND($B$384="obra",$B$385="Decoração",OR($B$387="rs",$B$387="rs_m2_priv")),AND($B$384="obra",$B$385="Gestão da obra",OR($B$387="rs",$B$387="pct_obra")),AND($B$384="obra",$B$385="Contingência",OR($B$387="rs",$B$387="pct_vgv")),AND($B$384="obra",$B$385="Outro",OR($B$387="rs",$B$387="pct_vgv")),AND($B$384="diretos",$B$385="Marketing &amp; Publicidade",OR($B$387="rs",$B$387="pct_vgv",$B$387="pct_recebido")),AND($B$384="diretos",$B$385="Corretagem de vendas",OR($B$387="pct_vgv")),AND($B$384="diretos",$B$385="Projetos",OR($B$387="rs",$B$387="rs_m2_priv",$B$387="pct_constr")),AND($B$384="diretos",$B$385="Licenças e Aprovações",OR($B$387="rs",$B$387="rs_m2_priv")),AND($B$384="diretos",$B$385="Manutenção pós-obra",OR($B$387="rs",$B$387="pct_vgv",$B$387="pct_recebido")),AND($B$384="diretos",$B$385="Outro",OR($B$387="rs",$B$387="pct_vgv",$B$387="pct_recebido")),AND($B$384="indireto",$B$385="Marketing global",OR($B$387="rs",$B$387="pct_vgv",$B$387="pct_recebido")),AND($B$384="indireto",$B$385="Stand de vendas",OR($B$387="rs",$B$387="pct_vgv")),AND($B$384="indireto",$B$385="Gestão",OR($B$387="rs",$B$387="pct_vgv",$B$387="pct_recebido")),AND($B$384="indireto",$B$385="Outro",OR($B$387="rs",$B$387="pct_vgv",$B$387="pct_recebido")),AND($B$384="financeiro",$B$385="Juros de financiamento",OR($B$387="rs",$B$387="pct_vgv")),AND($B$384="financeiro",$B$385="Taxas bancárias",OR($B$387="rs",$B$387="pct_vgv")),AND($B$384="financeiro",$B$385="Estruturação de dívida",OR($B$387="rs",$B$387="pct_vgv")),AND($B$384="financeiro",$B$385="Investidores",OR($B$387="rs",$B$387="pct_vgv")),AND($B$384="financeiro",$B$385="Outro",OR($B$387="rs",$B$387="pct_vgv")))),"⚠ unidade não aceita nesta categoria",IF(AND($B$388&lt;&gt;"",$B$389&lt;&gt;""),"⚠ preencha só uma linha de valor",IF(IF(LEFT($B$387,3)="pct",$B$389="",$B$388=""),"⚠ falta o valor na linha certa","OK")))))</f>
        <v/>
      </c>
      <c r="C852" s="20" t="inlineStr">
        <is>
          <t>alerta</t>
        </is>
      </c>
      <c r="D852" s="21" t="inlineStr">
        <is>
          <t>calculado</t>
        </is>
      </c>
    </row>
    <row r="853">
      <c r="A853" s="18" t="inlineStr">
        <is>
          <t>Custo 10 — conferência</t>
        </is>
      </c>
      <c r="B853" s="23">
        <f>IF(AND($B$395="",$B$396=""),"",IF(OR($B$395="",$B$396="",$B$398=""),"⚠ falta grupo, categoria ou unidade",IF(NOT(OR(AND($B$395="terreno",$B$396="Preço",OR($B$398="rs",$B$398="rs_m2_terreno")),AND($B$395="terreno",$B$396="Registro",OR($B$398="rs",$B$398="rs_m2_priv")),AND($B$395="terreno",$B$396="Outro",OR($B$398="rs",$B$398="pct_vgv")),AND($B$395="obra",$B$396="Construção",OR($B$398="rs",$B$398="rs_m2_priv")),AND($B$395="obra",$B$396="Outorga",OR($B$398="rs",$B$398="pct_vgv")),AND($B$395="obra",$B$396="Decoração",OR($B$398="rs",$B$398="rs_m2_priv")),AND($B$395="obra",$B$396="Gestão da obra",OR($B$398="rs",$B$398="pct_obra")),AND($B$395="obra",$B$396="Contingência",OR($B$398="rs",$B$398="pct_vgv")),AND($B$395="obra",$B$396="Outro",OR($B$398="rs",$B$398="pct_vgv")),AND($B$395="diretos",$B$396="Marketing &amp; Publicidade",OR($B$398="rs",$B$398="pct_vgv",$B$398="pct_recebido")),AND($B$395="diretos",$B$396="Corretagem de vendas",OR($B$398="pct_vgv")),AND($B$395="diretos",$B$396="Projetos",OR($B$398="rs",$B$398="rs_m2_priv",$B$398="pct_constr")),AND($B$395="diretos",$B$396="Licenças e Aprovações",OR($B$398="rs",$B$398="rs_m2_priv")),AND($B$395="diretos",$B$396="Manutenção pós-obra",OR($B$398="rs",$B$398="pct_vgv",$B$398="pct_recebido")),AND($B$395="diretos",$B$396="Outro",OR($B$398="rs",$B$398="pct_vgv",$B$398="pct_recebido")),AND($B$395="indireto",$B$396="Marketing global",OR($B$398="rs",$B$398="pct_vgv",$B$398="pct_recebido")),AND($B$395="indireto",$B$396="Stand de vendas",OR($B$398="rs",$B$398="pct_vgv")),AND($B$395="indireto",$B$396="Gestão",OR($B$398="rs",$B$398="pct_vgv",$B$398="pct_recebido")),AND($B$395="indireto",$B$396="Outro",OR($B$398="rs",$B$398="pct_vgv",$B$398="pct_recebido")),AND($B$395="financeiro",$B$396="Juros de financiamento",OR($B$398="rs",$B$398="pct_vgv")),AND($B$395="financeiro",$B$396="Taxas bancárias",OR($B$398="rs",$B$398="pct_vgv")),AND($B$395="financeiro",$B$396="Estruturação de dívida",OR($B$398="rs",$B$398="pct_vgv")),AND($B$395="financeiro",$B$396="Investidores",OR($B$398="rs",$B$398="pct_vgv")),AND($B$395="financeiro",$B$396="Outro",OR($B$398="rs",$B$398="pct_vgv")))),"⚠ unidade não aceita nesta categoria",IF(AND($B$399&lt;&gt;"",$B$400&lt;&gt;""),"⚠ preencha só uma linha de valor",IF(IF(LEFT($B$398,3)="pct",$B$400="",$B$399=""),"⚠ falta o valor na linha certa","OK")))))</f>
        <v/>
      </c>
      <c r="C853" s="20" t="inlineStr">
        <is>
          <t>alerta</t>
        </is>
      </c>
      <c r="D853" s="21" t="inlineStr">
        <is>
          <t>calculado</t>
        </is>
      </c>
    </row>
    <row r="854">
      <c r="A854" s="18" t="inlineStr">
        <is>
          <t>Custo 11 — conferência</t>
        </is>
      </c>
      <c r="B854" s="23">
        <f>IF(AND($B$406="",$B$407=""),"",IF(OR($B$406="",$B$407="",$B$409=""),"⚠ falta grupo, categoria ou unidade",IF(NOT(OR(AND($B$406="terreno",$B$407="Preço",OR($B$409="rs",$B$409="rs_m2_terreno")),AND($B$406="terreno",$B$407="Registro",OR($B$409="rs",$B$409="rs_m2_priv")),AND($B$406="terreno",$B$407="Outro",OR($B$409="rs",$B$409="pct_vgv")),AND($B$406="obra",$B$407="Construção",OR($B$409="rs",$B$409="rs_m2_priv")),AND($B$406="obra",$B$407="Outorga",OR($B$409="rs",$B$409="pct_vgv")),AND($B$406="obra",$B$407="Decoração",OR($B$409="rs",$B$409="rs_m2_priv")),AND($B$406="obra",$B$407="Gestão da obra",OR($B$409="rs",$B$409="pct_obra")),AND($B$406="obra",$B$407="Contingência",OR($B$409="rs",$B$409="pct_vgv")),AND($B$406="obra",$B$407="Outro",OR($B$409="rs",$B$409="pct_vgv")),AND($B$406="diretos",$B$407="Marketing &amp; Publicidade",OR($B$409="rs",$B$409="pct_vgv",$B$409="pct_recebido")),AND($B$406="diretos",$B$407="Corretagem de vendas",OR($B$409="pct_vgv")),AND($B$406="diretos",$B$407="Projetos",OR($B$409="rs",$B$409="rs_m2_priv",$B$409="pct_constr")),AND($B$406="diretos",$B$407="Licenças e Aprovações",OR($B$409="rs",$B$409="rs_m2_priv")),AND($B$406="diretos",$B$407="Manutenção pós-obra",OR($B$409="rs",$B$409="pct_vgv",$B$409="pct_recebido")),AND($B$406="diretos",$B$407="Outro",OR($B$409="rs",$B$409="pct_vgv",$B$409="pct_recebido")),AND($B$406="indireto",$B$407="Marketing global",OR($B$409="rs",$B$409="pct_vgv",$B$409="pct_recebido")),AND($B$406="indireto",$B$407="Stand de vendas",OR($B$409="rs",$B$409="pct_vgv")),AND($B$406="indireto",$B$407="Gestão",OR($B$409="rs",$B$409="pct_vgv",$B$409="pct_recebido")),AND($B$406="indireto",$B$407="Outro",OR($B$409="rs",$B$409="pct_vgv",$B$409="pct_recebido")),AND($B$406="financeiro",$B$407="Juros de financiamento",OR($B$409="rs",$B$409="pct_vgv")),AND($B$406="financeiro",$B$407="Taxas bancárias",OR($B$409="rs",$B$409="pct_vgv")),AND($B$406="financeiro",$B$407="Estruturação de dívida",OR($B$409="rs",$B$409="pct_vgv")),AND($B$406="financeiro",$B$407="Investidores",OR($B$409="rs",$B$409="pct_vgv")),AND($B$406="financeiro",$B$407="Outro",OR($B$409="rs",$B$409="pct_vgv")))),"⚠ unidade não aceita nesta categoria",IF(AND($B$410&lt;&gt;"",$B$411&lt;&gt;""),"⚠ preencha só uma linha de valor",IF(IF(LEFT($B$409,3)="pct",$B$411="",$B$410=""),"⚠ falta o valor na linha certa","OK")))))</f>
        <v/>
      </c>
      <c r="C854" s="20" t="inlineStr">
        <is>
          <t>alerta</t>
        </is>
      </c>
      <c r="D854" s="21" t="inlineStr">
        <is>
          <t>calculado</t>
        </is>
      </c>
    </row>
    <row r="855">
      <c r="A855" s="18" t="inlineStr">
        <is>
          <t>Custo 12 — conferência</t>
        </is>
      </c>
      <c r="B855" s="23">
        <f>IF(AND($B$417="",$B$418=""),"",IF(OR($B$417="",$B$418="",$B$420=""),"⚠ falta grupo, categoria ou unidade",IF(NOT(OR(AND($B$417="terreno",$B$418="Preço",OR($B$420="rs",$B$420="rs_m2_terreno")),AND($B$417="terreno",$B$418="Registro",OR($B$420="rs",$B$420="rs_m2_priv")),AND($B$417="terreno",$B$418="Outro",OR($B$420="rs",$B$420="pct_vgv")),AND($B$417="obra",$B$418="Construção",OR($B$420="rs",$B$420="rs_m2_priv")),AND($B$417="obra",$B$418="Outorga",OR($B$420="rs",$B$420="pct_vgv")),AND($B$417="obra",$B$418="Decoração",OR($B$420="rs",$B$420="rs_m2_priv")),AND($B$417="obra",$B$418="Gestão da obra",OR($B$420="rs",$B$420="pct_obra")),AND($B$417="obra",$B$418="Contingência",OR($B$420="rs",$B$420="pct_vgv")),AND($B$417="obra",$B$418="Outro",OR($B$420="rs",$B$420="pct_vgv")),AND($B$417="diretos",$B$418="Marketing &amp; Publicidade",OR($B$420="rs",$B$420="pct_vgv",$B$420="pct_recebido")),AND($B$417="diretos",$B$418="Corretagem de vendas",OR($B$420="pct_vgv")),AND($B$417="diretos",$B$418="Projetos",OR($B$420="rs",$B$420="rs_m2_priv",$B$420="pct_constr")),AND($B$417="diretos",$B$418="Licenças e Aprovações",OR($B$420="rs",$B$420="rs_m2_priv")),AND($B$417="diretos",$B$418="Manutenção pós-obra",OR($B$420="rs",$B$420="pct_vgv",$B$420="pct_recebido")),AND($B$417="diretos",$B$418="Outro",OR($B$420="rs",$B$420="pct_vgv",$B$420="pct_recebido")),AND($B$417="indireto",$B$418="Marketing global",OR($B$420="rs",$B$420="pct_vgv",$B$420="pct_recebido")),AND($B$417="indireto",$B$418="Stand de vendas",OR($B$420="rs",$B$420="pct_vgv")),AND($B$417="indireto",$B$418="Gestão",OR($B$420="rs",$B$420="pct_vgv",$B$420="pct_recebido")),AND($B$417="indireto",$B$418="Outro",OR($B$420="rs",$B$420="pct_vgv",$B$420="pct_recebido")),AND($B$417="financeiro",$B$418="Juros de financiamento",OR($B$420="rs",$B$420="pct_vgv")),AND($B$417="financeiro",$B$418="Taxas bancárias",OR($B$420="rs",$B$420="pct_vgv")),AND($B$417="financeiro",$B$418="Estruturação de dívida",OR($B$420="rs",$B$420="pct_vgv")),AND($B$417="financeiro",$B$418="Investidores",OR($B$420="rs",$B$420="pct_vgv")),AND($B$417="financeiro",$B$418="Outro",OR($B$420="rs",$B$420="pct_vgv")))),"⚠ unidade não aceita nesta categoria",IF(AND($B$421&lt;&gt;"",$B$422&lt;&gt;""),"⚠ preencha só uma linha de valor",IF(IF(LEFT($B$420,3)="pct",$B$422="",$B$421=""),"⚠ falta o valor na linha certa","OK")))))</f>
        <v/>
      </c>
      <c r="C855" s="20" t="inlineStr">
        <is>
          <t>alerta</t>
        </is>
      </c>
      <c r="D855" s="21" t="inlineStr">
        <is>
          <t>calculado</t>
        </is>
      </c>
    </row>
    <row r="856">
      <c r="A856" s="18" t="inlineStr">
        <is>
          <t>Custo 13 — conferência</t>
        </is>
      </c>
      <c r="B856" s="23">
        <f>IF(AND($B$428="",$B$429=""),"",IF(OR($B$428="",$B$429="",$B$431=""),"⚠ falta grupo, categoria ou unidade",IF(NOT(OR(AND($B$428="terreno",$B$429="Preço",OR($B$431="rs",$B$431="rs_m2_terreno")),AND($B$428="terreno",$B$429="Registro",OR($B$431="rs",$B$431="rs_m2_priv")),AND($B$428="terreno",$B$429="Outro",OR($B$431="rs",$B$431="pct_vgv")),AND($B$428="obra",$B$429="Construção",OR($B$431="rs",$B$431="rs_m2_priv")),AND($B$428="obra",$B$429="Outorga",OR($B$431="rs",$B$431="pct_vgv")),AND($B$428="obra",$B$429="Decoração",OR($B$431="rs",$B$431="rs_m2_priv")),AND($B$428="obra",$B$429="Gestão da obra",OR($B$431="rs",$B$431="pct_obra")),AND($B$428="obra",$B$429="Contingência",OR($B$431="rs",$B$431="pct_vgv")),AND($B$428="obra",$B$429="Outro",OR($B$431="rs",$B$431="pct_vgv")),AND($B$428="diretos",$B$429="Marketing &amp; Publicidade",OR($B$431="rs",$B$431="pct_vgv",$B$431="pct_recebido")),AND($B$428="diretos",$B$429="Corretagem de vendas",OR($B$431="pct_vgv")),AND($B$428="diretos",$B$429="Projetos",OR($B$431="rs",$B$431="rs_m2_priv",$B$431="pct_constr")),AND($B$428="diretos",$B$429="Licenças e Aprovações",OR($B$431="rs",$B$431="rs_m2_priv")),AND($B$428="diretos",$B$429="Manutenção pós-obra",OR($B$431="rs",$B$431="pct_vgv",$B$431="pct_recebido")),AND($B$428="diretos",$B$429="Outro",OR($B$431="rs",$B$431="pct_vgv",$B$431="pct_recebido")),AND($B$428="indireto",$B$429="Marketing global",OR($B$431="rs",$B$431="pct_vgv",$B$431="pct_recebido")),AND($B$428="indireto",$B$429="Stand de vendas",OR($B$431="rs",$B$431="pct_vgv")),AND($B$428="indireto",$B$429="Gestão",OR($B$431="rs",$B$431="pct_vgv",$B$431="pct_recebido")),AND($B$428="indireto",$B$429="Outro",OR($B$431="rs",$B$431="pct_vgv",$B$431="pct_recebido")),AND($B$428="financeiro",$B$429="Juros de financiamento",OR($B$431="rs",$B$431="pct_vgv")),AND($B$428="financeiro",$B$429="Taxas bancárias",OR($B$431="rs",$B$431="pct_vgv")),AND($B$428="financeiro",$B$429="Estruturação de dívida",OR($B$431="rs",$B$431="pct_vgv")),AND($B$428="financeiro",$B$429="Investidores",OR($B$431="rs",$B$431="pct_vgv")),AND($B$428="financeiro",$B$429="Outro",OR($B$431="rs",$B$431="pct_vgv")))),"⚠ unidade não aceita nesta categoria",IF(AND($B$432&lt;&gt;"",$B$433&lt;&gt;""),"⚠ preencha só uma linha de valor",IF(IF(LEFT($B$431,3)="pct",$B$433="",$B$432=""),"⚠ falta o valor na linha certa","OK")))))</f>
        <v/>
      </c>
      <c r="C856" s="20" t="inlineStr">
        <is>
          <t>alerta</t>
        </is>
      </c>
      <c r="D856" s="21" t="inlineStr">
        <is>
          <t>calculado</t>
        </is>
      </c>
    </row>
    <row r="857">
      <c r="A857" s="18" t="inlineStr">
        <is>
          <t>Custo 14 — conferência</t>
        </is>
      </c>
      <c r="B857" s="23">
        <f>IF(AND($B$439="",$B$440=""),"",IF(OR($B$439="",$B$440="",$B$442=""),"⚠ falta grupo, categoria ou unidade",IF(NOT(OR(AND($B$439="terreno",$B$440="Preço",OR($B$442="rs",$B$442="rs_m2_terreno")),AND($B$439="terreno",$B$440="Registro",OR($B$442="rs",$B$442="rs_m2_priv")),AND($B$439="terreno",$B$440="Outro",OR($B$442="rs",$B$442="pct_vgv")),AND($B$439="obra",$B$440="Construção",OR($B$442="rs",$B$442="rs_m2_priv")),AND($B$439="obra",$B$440="Outorga",OR($B$442="rs",$B$442="pct_vgv")),AND($B$439="obra",$B$440="Decoração",OR($B$442="rs",$B$442="rs_m2_priv")),AND($B$439="obra",$B$440="Gestão da obra",OR($B$442="rs",$B$442="pct_obra")),AND($B$439="obra",$B$440="Contingência",OR($B$442="rs",$B$442="pct_vgv")),AND($B$439="obra",$B$440="Outro",OR($B$442="rs",$B$442="pct_vgv")),AND($B$439="diretos",$B$440="Marketing &amp; Publicidade",OR($B$442="rs",$B$442="pct_vgv",$B$442="pct_recebido")),AND($B$439="diretos",$B$440="Corretagem de vendas",OR($B$442="pct_vgv")),AND($B$439="diretos",$B$440="Projetos",OR($B$442="rs",$B$442="rs_m2_priv",$B$442="pct_constr")),AND($B$439="diretos",$B$440="Licenças e Aprovações",OR($B$442="rs",$B$442="rs_m2_priv")),AND($B$439="diretos",$B$440="Manutenção pós-obra",OR($B$442="rs",$B$442="pct_vgv",$B$442="pct_recebido")),AND($B$439="diretos",$B$440="Outro",OR($B$442="rs",$B$442="pct_vgv",$B$442="pct_recebido")),AND($B$439="indireto",$B$440="Marketing global",OR($B$442="rs",$B$442="pct_vgv",$B$442="pct_recebido")),AND($B$439="indireto",$B$440="Stand de vendas",OR($B$442="rs",$B$442="pct_vgv")),AND($B$439="indireto",$B$440="Gestão",OR($B$442="rs",$B$442="pct_vgv",$B$442="pct_recebido")),AND($B$439="indireto",$B$440="Outro",OR($B$442="rs",$B$442="pct_vgv",$B$442="pct_recebido")),AND($B$439="financeiro",$B$440="Juros de financiamento",OR($B$442="rs",$B$442="pct_vgv")),AND($B$439="financeiro",$B$440="Taxas bancárias",OR($B$442="rs",$B$442="pct_vgv")),AND($B$439="financeiro",$B$440="Estruturação de dívida",OR($B$442="rs",$B$442="pct_vgv")),AND($B$439="financeiro",$B$440="Investidores",OR($B$442="rs",$B$442="pct_vgv")),AND($B$439="financeiro",$B$440="Outro",OR($B$442="rs",$B$442="pct_vgv")))),"⚠ unidade não aceita nesta categoria",IF(AND($B$443&lt;&gt;"",$B$444&lt;&gt;""),"⚠ preencha só uma linha de valor",IF(IF(LEFT($B$442,3)="pct",$B$444="",$B$443=""),"⚠ falta o valor na linha certa","OK")))))</f>
        <v/>
      </c>
      <c r="C857" s="20" t="inlineStr">
        <is>
          <t>alerta</t>
        </is>
      </c>
      <c r="D857" s="21" t="inlineStr">
        <is>
          <t>calculado</t>
        </is>
      </c>
    </row>
    <row r="858">
      <c r="A858" s="18" t="inlineStr">
        <is>
          <t>Custo 15 — conferência</t>
        </is>
      </c>
      <c r="B858" s="23">
        <f>IF(AND($B$450="",$B$451=""),"",IF(OR($B$450="",$B$451="",$B$453=""),"⚠ falta grupo, categoria ou unidade",IF(NOT(OR(AND($B$450="terreno",$B$451="Preço",OR($B$453="rs",$B$453="rs_m2_terreno")),AND($B$450="terreno",$B$451="Registro",OR($B$453="rs",$B$453="rs_m2_priv")),AND($B$450="terreno",$B$451="Outro",OR($B$453="rs",$B$453="pct_vgv")),AND($B$450="obra",$B$451="Construção",OR($B$453="rs",$B$453="rs_m2_priv")),AND($B$450="obra",$B$451="Outorga",OR($B$453="rs",$B$453="pct_vgv")),AND($B$450="obra",$B$451="Decoração",OR($B$453="rs",$B$453="rs_m2_priv")),AND($B$450="obra",$B$451="Gestão da obra",OR($B$453="rs",$B$453="pct_obra")),AND($B$450="obra",$B$451="Contingência",OR($B$453="rs",$B$453="pct_vgv")),AND($B$450="obra",$B$451="Outro",OR($B$453="rs",$B$453="pct_vgv")),AND($B$450="diretos",$B$451="Marketing &amp; Publicidade",OR($B$453="rs",$B$453="pct_vgv",$B$453="pct_recebido")),AND($B$450="diretos",$B$451="Corretagem de vendas",OR($B$453="pct_vgv")),AND($B$450="diretos",$B$451="Projetos",OR($B$453="rs",$B$453="rs_m2_priv",$B$453="pct_constr")),AND($B$450="diretos",$B$451="Licenças e Aprovações",OR($B$453="rs",$B$453="rs_m2_priv")),AND($B$450="diretos",$B$451="Manutenção pós-obra",OR($B$453="rs",$B$453="pct_vgv",$B$453="pct_recebido")),AND($B$450="diretos",$B$451="Outro",OR($B$453="rs",$B$453="pct_vgv",$B$453="pct_recebido")),AND($B$450="indireto",$B$451="Marketing global",OR($B$453="rs",$B$453="pct_vgv",$B$453="pct_recebido")),AND($B$450="indireto",$B$451="Stand de vendas",OR($B$453="rs",$B$453="pct_vgv")),AND($B$450="indireto",$B$451="Gestão",OR($B$453="rs",$B$453="pct_vgv",$B$453="pct_recebido")),AND($B$450="indireto",$B$451="Outro",OR($B$453="rs",$B$453="pct_vgv",$B$453="pct_recebido")),AND($B$450="financeiro",$B$451="Juros de financiamento",OR($B$453="rs",$B$453="pct_vgv")),AND($B$450="financeiro",$B$451="Taxas bancárias",OR($B$453="rs",$B$453="pct_vgv")),AND($B$450="financeiro",$B$451="Estruturação de dívida",OR($B$453="rs",$B$453="pct_vgv")),AND($B$450="financeiro",$B$451="Investidores",OR($B$453="rs",$B$453="pct_vgv")),AND($B$450="financeiro",$B$451="Outro",OR($B$453="rs",$B$453="pct_vgv")))),"⚠ unidade não aceita nesta categoria",IF(AND($B$454&lt;&gt;"",$B$455&lt;&gt;""),"⚠ preencha só uma linha de valor",IF(IF(LEFT($B$453,3)="pct",$B$455="",$B$454=""),"⚠ falta o valor na linha certa","OK")))))</f>
        <v/>
      </c>
      <c r="C858" s="20" t="inlineStr">
        <is>
          <t>alerta</t>
        </is>
      </c>
      <c r="D858" s="21" t="inlineStr">
        <is>
          <t>calculado</t>
        </is>
      </c>
    </row>
    <row r="859">
      <c r="A859" s="18" t="inlineStr">
        <is>
          <t>Custo 16 — conferência</t>
        </is>
      </c>
      <c r="B859" s="23">
        <f>IF(AND($B$461="",$B$462=""),"",IF(OR($B$461="",$B$462="",$B$464=""),"⚠ falta grupo, categoria ou unidade",IF(NOT(OR(AND($B$461="terreno",$B$462="Preço",OR($B$464="rs",$B$464="rs_m2_terreno")),AND($B$461="terreno",$B$462="Registro",OR($B$464="rs",$B$464="rs_m2_priv")),AND($B$461="terreno",$B$462="Outro",OR($B$464="rs",$B$464="pct_vgv")),AND($B$461="obra",$B$462="Construção",OR($B$464="rs",$B$464="rs_m2_priv")),AND($B$461="obra",$B$462="Outorga",OR($B$464="rs",$B$464="pct_vgv")),AND($B$461="obra",$B$462="Decoração",OR($B$464="rs",$B$464="rs_m2_priv")),AND($B$461="obra",$B$462="Gestão da obra",OR($B$464="rs",$B$464="pct_obra")),AND($B$461="obra",$B$462="Contingência",OR($B$464="rs",$B$464="pct_vgv")),AND($B$461="obra",$B$462="Outro",OR($B$464="rs",$B$464="pct_vgv")),AND($B$461="diretos",$B$462="Marketing &amp; Publicidade",OR($B$464="rs",$B$464="pct_vgv",$B$464="pct_recebido")),AND($B$461="diretos",$B$462="Corretagem de vendas",OR($B$464="pct_vgv")),AND($B$461="diretos",$B$462="Projetos",OR($B$464="rs",$B$464="rs_m2_priv",$B$464="pct_constr")),AND($B$461="diretos",$B$462="Licenças e Aprovações",OR($B$464="rs",$B$464="rs_m2_priv")),AND($B$461="diretos",$B$462="Manutenção pós-obra",OR($B$464="rs",$B$464="pct_vgv",$B$464="pct_recebido")),AND($B$461="diretos",$B$462="Outro",OR($B$464="rs",$B$464="pct_vgv",$B$464="pct_recebido")),AND($B$461="indireto",$B$462="Marketing global",OR($B$464="rs",$B$464="pct_vgv",$B$464="pct_recebido")),AND($B$461="indireto",$B$462="Stand de vendas",OR($B$464="rs",$B$464="pct_vgv")),AND($B$461="indireto",$B$462="Gestão",OR($B$464="rs",$B$464="pct_vgv",$B$464="pct_recebido")),AND($B$461="indireto",$B$462="Outro",OR($B$464="rs",$B$464="pct_vgv",$B$464="pct_recebido")),AND($B$461="financeiro",$B$462="Juros de financiamento",OR($B$464="rs",$B$464="pct_vgv")),AND($B$461="financeiro",$B$462="Taxas bancárias",OR($B$464="rs",$B$464="pct_vgv")),AND($B$461="financeiro",$B$462="Estruturação de dívida",OR($B$464="rs",$B$464="pct_vgv")),AND($B$461="financeiro",$B$462="Investidores",OR($B$464="rs",$B$464="pct_vgv")),AND($B$461="financeiro",$B$462="Outro",OR($B$464="rs",$B$464="pct_vgv")))),"⚠ unidade não aceita nesta categoria",IF(AND($B$465&lt;&gt;"",$B$466&lt;&gt;""),"⚠ preencha só uma linha de valor",IF(IF(LEFT($B$464,3)="pct",$B$466="",$B$465=""),"⚠ falta o valor na linha certa","OK")))))</f>
        <v/>
      </c>
      <c r="C859" s="20" t="inlineStr">
        <is>
          <t>alerta</t>
        </is>
      </c>
      <c r="D859" s="21" t="inlineStr">
        <is>
          <t>calculado</t>
        </is>
      </c>
    </row>
    <row r="860">
      <c r="A860" s="18" t="inlineStr">
        <is>
          <t>Custo 17 — conferência</t>
        </is>
      </c>
      <c r="B860" s="23">
        <f>IF(AND($B$472="",$B$473=""),"",IF(OR($B$472="",$B$473="",$B$475=""),"⚠ falta grupo, categoria ou unidade",IF(NOT(OR(AND($B$472="terreno",$B$473="Preço",OR($B$475="rs",$B$475="rs_m2_terreno")),AND($B$472="terreno",$B$473="Registro",OR($B$475="rs",$B$475="rs_m2_priv")),AND($B$472="terreno",$B$473="Outro",OR($B$475="rs",$B$475="pct_vgv")),AND($B$472="obra",$B$473="Construção",OR($B$475="rs",$B$475="rs_m2_priv")),AND($B$472="obra",$B$473="Outorga",OR($B$475="rs",$B$475="pct_vgv")),AND($B$472="obra",$B$473="Decoração",OR($B$475="rs",$B$475="rs_m2_priv")),AND($B$472="obra",$B$473="Gestão da obra",OR($B$475="rs",$B$475="pct_obra")),AND($B$472="obra",$B$473="Contingência",OR($B$475="rs",$B$475="pct_vgv")),AND($B$472="obra",$B$473="Outro",OR($B$475="rs",$B$475="pct_vgv")),AND($B$472="diretos",$B$473="Marketing &amp; Publicidade",OR($B$475="rs",$B$475="pct_vgv",$B$475="pct_recebido")),AND($B$472="diretos",$B$473="Corretagem de vendas",OR($B$475="pct_vgv")),AND($B$472="diretos",$B$473="Projetos",OR($B$475="rs",$B$475="rs_m2_priv",$B$475="pct_constr")),AND($B$472="diretos",$B$473="Licenças e Aprovações",OR($B$475="rs",$B$475="rs_m2_priv")),AND($B$472="diretos",$B$473="Manutenção pós-obra",OR($B$475="rs",$B$475="pct_vgv",$B$475="pct_recebido")),AND($B$472="diretos",$B$473="Outro",OR($B$475="rs",$B$475="pct_vgv",$B$475="pct_recebido")),AND($B$472="indireto",$B$473="Marketing global",OR($B$475="rs",$B$475="pct_vgv",$B$475="pct_recebido")),AND($B$472="indireto",$B$473="Stand de vendas",OR($B$475="rs",$B$475="pct_vgv")),AND($B$472="indireto",$B$473="Gestão",OR($B$475="rs",$B$475="pct_vgv",$B$475="pct_recebido")),AND($B$472="indireto",$B$473="Outro",OR($B$475="rs",$B$475="pct_vgv",$B$475="pct_recebido")),AND($B$472="financeiro",$B$473="Juros de financiamento",OR($B$475="rs",$B$475="pct_vgv")),AND($B$472="financeiro",$B$473="Taxas bancárias",OR($B$475="rs",$B$475="pct_vgv")),AND($B$472="financeiro",$B$473="Estruturação de dívida",OR($B$475="rs",$B$475="pct_vgv")),AND($B$472="financeiro",$B$473="Investidores",OR($B$475="rs",$B$475="pct_vgv")),AND($B$472="financeiro",$B$473="Outro",OR($B$475="rs",$B$475="pct_vgv")))),"⚠ unidade não aceita nesta categoria",IF(AND($B$476&lt;&gt;"",$B$477&lt;&gt;""),"⚠ preencha só uma linha de valor",IF(IF(LEFT($B$475,3)="pct",$B$477="",$B$476=""),"⚠ falta o valor na linha certa","OK")))))</f>
        <v/>
      </c>
      <c r="C860" s="20" t="inlineStr">
        <is>
          <t>alerta</t>
        </is>
      </c>
      <c r="D860" s="21" t="inlineStr">
        <is>
          <t>calculado</t>
        </is>
      </c>
    </row>
    <row r="861">
      <c r="A861" s="18" t="inlineStr">
        <is>
          <t>Custo 18 — conferência</t>
        </is>
      </c>
      <c r="B861" s="23">
        <f>IF(AND($B$483="",$B$484=""),"",IF(OR($B$483="",$B$484="",$B$486=""),"⚠ falta grupo, categoria ou unidade",IF(NOT(OR(AND($B$483="terreno",$B$484="Preço",OR($B$486="rs",$B$486="rs_m2_terreno")),AND($B$483="terreno",$B$484="Registro",OR($B$486="rs",$B$486="rs_m2_priv")),AND($B$483="terreno",$B$484="Outro",OR($B$486="rs",$B$486="pct_vgv")),AND($B$483="obra",$B$484="Construção",OR($B$486="rs",$B$486="rs_m2_priv")),AND($B$483="obra",$B$484="Outorga",OR($B$486="rs",$B$486="pct_vgv")),AND($B$483="obra",$B$484="Decoração",OR($B$486="rs",$B$486="rs_m2_priv")),AND($B$483="obra",$B$484="Gestão da obra",OR($B$486="rs",$B$486="pct_obra")),AND($B$483="obra",$B$484="Contingência",OR($B$486="rs",$B$486="pct_vgv")),AND($B$483="obra",$B$484="Outro",OR($B$486="rs",$B$486="pct_vgv")),AND($B$483="diretos",$B$484="Marketing &amp; Publicidade",OR($B$486="rs",$B$486="pct_vgv",$B$486="pct_recebido")),AND($B$483="diretos",$B$484="Corretagem de vendas",OR($B$486="pct_vgv")),AND($B$483="diretos",$B$484="Projetos",OR($B$486="rs",$B$486="rs_m2_priv",$B$486="pct_constr")),AND($B$483="diretos",$B$484="Licenças e Aprovações",OR($B$486="rs",$B$486="rs_m2_priv")),AND($B$483="diretos",$B$484="Manutenção pós-obra",OR($B$486="rs",$B$486="pct_vgv",$B$486="pct_recebido")),AND($B$483="diretos",$B$484="Outro",OR($B$486="rs",$B$486="pct_vgv",$B$486="pct_recebido")),AND($B$483="indireto",$B$484="Marketing global",OR($B$486="rs",$B$486="pct_vgv",$B$486="pct_recebido")),AND($B$483="indireto",$B$484="Stand de vendas",OR($B$486="rs",$B$486="pct_vgv")),AND($B$483="indireto",$B$484="Gestão",OR($B$486="rs",$B$486="pct_vgv",$B$486="pct_recebido")),AND($B$483="indireto",$B$484="Outro",OR($B$486="rs",$B$486="pct_vgv",$B$486="pct_recebido")),AND($B$483="financeiro",$B$484="Juros de financiamento",OR($B$486="rs",$B$486="pct_vgv")),AND($B$483="financeiro",$B$484="Taxas bancárias",OR($B$486="rs",$B$486="pct_vgv")),AND($B$483="financeiro",$B$484="Estruturação de dívida",OR($B$486="rs",$B$486="pct_vgv")),AND($B$483="financeiro",$B$484="Investidores",OR($B$486="rs",$B$486="pct_vgv")),AND($B$483="financeiro",$B$484="Outro",OR($B$486="rs",$B$486="pct_vgv")))),"⚠ unidade não aceita nesta categoria",IF(AND($B$487&lt;&gt;"",$B$488&lt;&gt;""),"⚠ preencha só uma linha de valor",IF(IF(LEFT($B$486,3)="pct",$B$488="",$B$487=""),"⚠ falta o valor na linha certa","OK")))))</f>
        <v/>
      </c>
      <c r="C861" s="20" t="inlineStr">
        <is>
          <t>alerta</t>
        </is>
      </c>
      <c r="D861" s="21" t="inlineStr">
        <is>
          <t>calculado</t>
        </is>
      </c>
    </row>
    <row r="862">
      <c r="A862" s="18" t="inlineStr">
        <is>
          <t>Custo 19 — conferência</t>
        </is>
      </c>
      <c r="B862" s="23">
        <f>IF(AND($B$494="",$B$495=""),"",IF(OR($B$494="",$B$495="",$B$497=""),"⚠ falta grupo, categoria ou unidade",IF(NOT(OR(AND($B$494="terreno",$B$495="Preço",OR($B$497="rs",$B$497="rs_m2_terreno")),AND($B$494="terreno",$B$495="Registro",OR($B$497="rs",$B$497="rs_m2_priv")),AND($B$494="terreno",$B$495="Outro",OR($B$497="rs",$B$497="pct_vgv")),AND($B$494="obra",$B$495="Construção",OR($B$497="rs",$B$497="rs_m2_priv")),AND($B$494="obra",$B$495="Outorga",OR($B$497="rs",$B$497="pct_vgv")),AND($B$494="obra",$B$495="Decoração",OR($B$497="rs",$B$497="rs_m2_priv")),AND($B$494="obra",$B$495="Gestão da obra",OR($B$497="rs",$B$497="pct_obra")),AND($B$494="obra",$B$495="Contingência",OR($B$497="rs",$B$497="pct_vgv")),AND($B$494="obra",$B$495="Outro",OR($B$497="rs",$B$497="pct_vgv")),AND($B$494="diretos",$B$495="Marketing &amp; Publicidade",OR($B$497="rs",$B$497="pct_vgv",$B$497="pct_recebido")),AND($B$494="diretos",$B$495="Corretagem de vendas",OR($B$497="pct_vgv")),AND($B$494="diretos",$B$495="Projetos",OR($B$497="rs",$B$497="rs_m2_priv",$B$497="pct_constr")),AND($B$494="diretos",$B$495="Licenças e Aprovações",OR($B$497="rs",$B$497="rs_m2_priv")),AND($B$494="diretos",$B$495="Manutenção pós-obra",OR($B$497="rs",$B$497="pct_vgv",$B$497="pct_recebido")),AND($B$494="diretos",$B$495="Outro",OR($B$497="rs",$B$497="pct_vgv",$B$497="pct_recebido")),AND($B$494="indireto",$B$495="Marketing global",OR($B$497="rs",$B$497="pct_vgv",$B$497="pct_recebido")),AND($B$494="indireto",$B$495="Stand de vendas",OR($B$497="rs",$B$497="pct_vgv")),AND($B$494="indireto",$B$495="Gestão",OR($B$497="rs",$B$497="pct_vgv",$B$497="pct_recebido")),AND($B$494="indireto",$B$495="Outro",OR($B$497="rs",$B$497="pct_vgv",$B$497="pct_recebido")),AND($B$494="financeiro",$B$495="Juros de financiamento",OR($B$497="rs",$B$497="pct_vgv")),AND($B$494="financeiro",$B$495="Taxas bancárias",OR($B$497="rs",$B$497="pct_vgv")),AND($B$494="financeiro",$B$495="Estruturação de dívida",OR($B$497="rs",$B$497="pct_vgv")),AND($B$494="financeiro",$B$495="Investidores",OR($B$497="rs",$B$497="pct_vgv")),AND($B$494="financeiro",$B$495="Outro",OR($B$497="rs",$B$497="pct_vgv")))),"⚠ unidade não aceita nesta categoria",IF(AND($B$498&lt;&gt;"",$B$499&lt;&gt;""),"⚠ preencha só uma linha de valor",IF(IF(LEFT($B$497,3)="pct",$B$499="",$B$498=""),"⚠ falta o valor na linha certa","OK")))))</f>
        <v/>
      </c>
      <c r="C862" s="20" t="inlineStr">
        <is>
          <t>alerta</t>
        </is>
      </c>
      <c r="D862" s="21" t="inlineStr">
        <is>
          <t>calculado</t>
        </is>
      </c>
    </row>
    <row r="863">
      <c r="A863" s="18" t="inlineStr">
        <is>
          <t>Custo 20 — conferência</t>
        </is>
      </c>
      <c r="B863" s="23">
        <f>IF(AND($B$505="",$B$506=""),"",IF(OR($B$505="",$B$506="",$B$508=""),"⚠ falta grupo, categoria ou unidade",IF(NOT(OR(AND($B$505="terreno",$B$506="Preço",OR($B$508="rs",$B$508="rs_m2_terreno")),AND($B$505="terreno",$B$506="Registro",OR($B$508="rs",$B$508="rs_m2_priv")),AND($B$505="terreno",$B$506="Outro",OR($B$508="rs",$B$508="pct_vgv")),AND($B$505="obra",$B$506="Construção",OR($B$508="rs",$B$508="rs_m2_priv")),AND($B$505="obra",$B$506="Outorga",OR($B$508="rs",$B$508="pct_vgv")),AND($B$505="obra",$B$506="Decoração",OR($B$508="rs",$B$508="rs_m2_priv")),AND($B$505="obra",$B$506="Gestão da obra",OR($B$508="rs",$B$508="pct_obra")),AND($B$505="obra",$B$506="Contingência",OR($B$508="rs",$B$508="pct_vgv")),AND($B$505="obra",$B$506="Outro",OR($B$508="rs",$B$508="pct_vgv")),AND($B$505="diretos",$B$506="Marketing &amp; Publicidade",OR($B$508="rs",$B$508="pct_vgv",$B$508="pct_recebido")),AND($B$505="diretos",$B$506="Corretagem de vendas",OR($B$508="pct_vgv")),AND($B$505="diretos",$B$506="Projetos",OR($B$508="rs",$B$508="rs_m2_priv",$B$508="pct_constr")),AND($B$505="diretos",$B$506="Licenças e Aprovações",OR($B$508="rs",$B$508="rs_m2_priv")),AND($B$505="diretos",$B$506="Manutenção pós-obra",OR($B$508="rs",$B$508="pct_vgv",$B$508="pct_recebido")),AND($B$505="diretos",$B$506="Outro",OR($B$508="rs",$B$508="pct_vgv",$B$508="pct_recebido")),AND($B$505="indireto",$B$506="Marketing global",OR($B$508="rs",$B$508="pct_vgv",$B$508="pct_recebido")),AND($B$505="indireto",$B$506="Stand de vendas",OR($B$508="rs",$B$508="pct_vgv")),AND($B$505="indireto",$B$506="Gestão",OR($B$508="rs",$B$508="pct_vgv",$B$508="pct_recebido")),AND($B$505="indireto",$B$506="Outro",OR($B$508="rs",$B$508="pct_vgv",$B$508="pct_recebido")),AND($B$505="financeiro",$B$506="Juros de financiamento",OR($B$508="rs",$B$508="pct_vgv")),AND($B$505="financeiro",$B$506="Taxas bancárias",OR($B$508="rs",$B$508="pct_vgv")),AND($B$505="financeiro",$B$506="Estruturação de dívida",OR($B$508="rs",$B$508="pct_vgv")),AND($B$505="financeiro",$B$506="Investidores",OR($B$508="rs",$B$508="pct_vgv")),AND($B$505="financeiro",$B$506="Outro",OR($B$508="rs",$B$508="pct_vgv")))),"⚠ unidade não aceita nesta categoria",IF(AND($B$509&lt;&gt;"",$B$510&lt;&gt;""),"⚠ preencha só uma linha de valor",IF(IF(LEFT($B$508,3)="pct",$B$510="",$B$509=""),"⚠ falta o valor na linha certa","OK")))))</f>
        <v/>
      </c>
      <c r="C863" s="20" t="inlineStr">
        <is>
          <t>alerta</t>
        </is>
      </c>
      <c r="D863" s="21" t="inlineStr">
        <is>
          <t>calculado</t>
        </is>
      </c>
    </row>
    <row r="864">
      <c r="A864" s="18" t="inlineStr">
        <is>
          <t>Custo 21 — conferência</t>
        </is>
      </c>
      <c r="B864" s="23">
        <f>IF(AND($B$516="",$B$517=""),"",IF(OR($B$516="",$B$517="",$B$519=""),"⚠ falta grupo, categoria ou unidade",IF(NOT(OR(AND($B$516="terreno",$B$517="Preço",OR($B$519="rs",$B$519="rs_m2_terreno")),AND($B$516="terreno",$B$517="Registro",OR($B$519="rs",$B$519="rs_m2_priv")),AND($B$516="terreno",$B$517="Outro",OR($B$519="rs",$B$519="pct_vgv")),AND($B$516="obra",$B$517="Construção",OR($B$519="rs",$B$519="rs_m2_priv")),AND($B$516="obra",$B$517="Outorga",OR($B$519="rs",$B$519="pct_vgv")),AND($B$516="obra",$B$517="Decoração",OR($B$519="rs",$B$519="rs_m2_priv")),AND($B$516="obra",$B$517="Gestão da obra",OR($B$519="rs",$B$519="pct_obra")),AND($B$516="obra",$B$517="Contingência",OR($B$519="rs",$B$519="pct_vgv")),AND($B$516="obra",$B$517="Outro",OR($B$519="rs",$B$519="pct_vgv")),AND($B$516="diretos",$B$517="Marketing &amp; Publicidade",OR($B$519="rs",$B$519="pct_vgv",$B$519="pct_recebido")),AND($B$516="diretos",$B$517="Corretagem de vendas",OR($B$519="pct_vgv")),AND($B$516="diretos",$B$517="Projetos",OR($B$519="rs",$B$519="rs_m2_priv",$B$519="pct_constr")),AND($B$516="diretos",$B$517="Licenças e Aprovações",OR($B$519="rs",$B$519="rs_m2_priv")),AND($B$516="diretos",$B$517="Manutenção pós-obra",OR($B$519="rs",$B$519="pct_vgv",$B$519="pct_recebido")),AND($B$516="diretos",$B$517="Outro",OR($B$519="rs",$B$519="pct_vgv",$B$519="pct_recebido")),AND($B$516="indireto",$B$517="Marketing global",OR($B$519="rs",$B$519="pct_vgv",$B$519="pct_recebido")),AND($B$516="indireto",$B$517="Stand de vendas",OR($B$519="rs",$B$519="pct_vgv")),AND($B$516="indireto",$B$517="Gestão",OR($B$519="rs",$B$519="pct_vgv",$B$519="pct_recebido")),AND($B$516="indireto",$B$517="Outro",OR($B$519="rs",$B$519="pct_vgv",$B$519="pct_recebido")),AND($B$516="financeiro",$B$517="Juros de financiamento",OR($B$519="rs",$B$519="pct_vgv")),AND($B$516="financeiro",$B$517="Taxas bancárias",OR($B$519="rs",$B$519="pct_vgv")),AND($B$516="financeiro",$B$517="Estruturação de dívida",OR($B$519="rs",$B$519="pct_vgv")),AND($B$516="financeiro",$B$517="Investidores",OR($B$519="rs",$B$519="pct_vgv")),AND($B$516="financeiro",$B$517="Outro",OR($B$519="rs",$B$519="pct_vgv")))),"⚠ unidade não aceita nesta categoria",IF(AND($B$520&lt;&gt;"",$B$521&lt;&gt;""),"⚠ preencha só uma linha de valor",IF(IF(LEFT($B$519,3)="pct",$B$521="",$B$520=""),"⚠ falta o valor na linha certa","OK")))))</f>
        <v/>
      </c>
      <c r="C864" s="20" t="inlineStr">
        <is>
          <t>alerta</t>
        </is>
      </c>
      <c r="D864" s="21" t="inlineStr">
        <is>
          <t>calculado</t>
        </is>
      </c>
    </row>
    <row r="865">
      <c r="A865" s="18" t="inlineStr">
        <is>
          <t>Custo 22 — conferência</t>
        </is>
      </c>
      <c r="B865" s="23">
        <f>IF(AND($B$527="",$B$528=""),"",IF(OR($B$527="",$B$528="",$B$530=""),"⚠ falta grupo, categoria ou unidade",IF(NOT(OR(AND($B$527="terreno",$B$528="Preço",OR($B$530="rs",$B$530="rs_m2_terreno")),AND($B$527="terreno",$B$528="Registro",OR($B$530="rs",$B$530="rs_m2_priv")),AND($B$527="terreno",$B$528="Outro",OR($B$530="rs",$B$530="pct_vgv")),AND($B$527="obra",$B$528="Construção",OR($B$530="rs",$B$530="rs_m2_priv")),AND($B$527="obra",$B$528="Outorga",OR($B$530="rs",$B$530="pct_vgv")),AND($B$527="obra",$B$528="Decoração",OR($B$530="rs",$B$530="rs_m2_priv")),AND($B$527="obra",$B$528="Gestão da obra",OR($B$530="rs",$B$530="pct_obra")),AND($B$527="obra",$B$528="Contingência",OR($B$530="rs",$B$530="pct_vgv")),AND($B$527="obra",$B$528="Outro",OR($B$530="rs",$B$530="pct_vgv")),AND($B$527="diretos",$B$528="Marketing &amp; Publicidade",OR($B$530="rs",$B$530="pct_vgv",$B$530="pct_recebido")),AND($B$527="diretos",$B$528="Corretagem de vendas",OR($B$530="pct_vgv")),AND($B$527="diretos",$B$528="Projetos",OR($B$530="rs",$B$530="rs_m2_priv",$B$530="pct_constr")),AND($B$527="diretos",$B$528="Licenças e Aprovações",OR($B$530="rs",$B$530="rs_m2_priv")),AND($B$527="diretos",$B$528="Manutenção pós-obra",OR($B$530="rs",$B$530="pct_vgv",$B$530="pct_recebido")),AND($B$527="diretos",$B$528="Outro",OR($B$530="rs",$B$530="pct_vgv",$B$530="pct_recebido")),AND($B$527="indireto",$B$528="Marketing global",OR($B$530="rs",$B$530="pct_vgv",$B$530="pct_recebido")),AND($B$527="indireto",$B$528="Stand de vendas",OR($B$530="rs",$B$530="pct_vgv")),AND($B$527="indireto",$B$528="Gestão",OR($B$530="rs",$B$530="pct_vgv",$B$530="pct_recebido")),AND($B$527="indireto",$B$528="Outro",OR($B$530="rs",$B$530="pct_vgv",$B$530="pct_recebido")),AND($B$527="financeiro",$B$528="Juros de financiamento",OR($B$530="rs",$B$530="pct_vgv")),AND($B$527="financeiro",$B$528="Taxas bancárias",OR($B$530="rs",$B$530="pct_vgv")),AND($B$527="financeiro",$B$528="Estruturação de dívida",OR($B$530="rs",$B$530="pct_vgv")),AND($B$527="financeiro",$B$528="Investidores",OR($B$530="rs",$B$530="pct_vgv")),AND($B$527="financeiro",$B$528="Outro",OR($B$530="rs",$B$530="pct_vgv")))),"⚠ unidade não aceita nesta categoria",IF(AND($B$531&lt;&gt;"",$B$532&lt;&gt;""),"⚠ preencha só uma linha de valor",IF(IF(LEFT($B$530,3)="pct",$B$532="",$B$531=""),"⚠ falta o valor na linha certa","OK")))))</f>
        <v/>
      </c>
      <c r="C865" s="20" t="inlineStr">
        <is>
          <t>alerta</t>
        </is>
      </c>
      <c r="D865" s="21" t="inlineStr">
        <is>
          <t>calculado</t>
        </is>
      </c>
    </row>
    <row r="866">
      <c r="A866" s="18" t="inlineStr">
        <is>
          <t>Custo 23 — conferência</t>
        </is>
      </c>
      <c r="B866" s="23">
        <f>IF(AND($B$538="",$B$539=""),"",IF(OR($B$538="",$B$539="",$B$541=""),"⚠ falta grupo, categoria ou unidade",IF(NOT(OR(AND($B$538="terreno",$B$539="Preço",OR($B$541="rs",$B$541="rs_m2_terreno")),AND($B$538="terreno",$B$539="Registro",OR($B$541="rs",$B$541="rs_m2_priv")),AND($B$538="terreno",$B$539="Outro",OR($B$541="rs",$B$541="pct_vgv")),AND($B$538="obra",$B$539="Construção",OR($B$541="rs",$B$541="rs_m2_priv")),AND($B$538="obra",$B$539="Outorga",OR($B$541="rs",$B$541="pct_vgv")),AND($B$538="obra",$B$539="Decoração",OR($B$541="rs",$B$541="rs_m2_priv")),AND($B$538="obra",$B$539="Gestão da obra",OR($B$541="rs",$B$541="pct_obra")),AND($B$538="obra",$B$539="Contingência",OR($B$541="rs",$B$541="pct_vgv")),AND($B$538="obra",$B$539="Outro",OR($B$541="rs",$B$541="pct_vgv")),AND($B$538="diretos",$B$539="Marketing &amp; Publicidade",OR($B$541="rs",$B$541="pct_vgv",$B$541="pct_recebido")),AND($B$538="diretos",$B$539="Corretagem de vendas",OR($B$541="pct_vgv")),AND($B$538="diretos",$B$539="Projetos",OR($B$541="rs",$B$541="rs_m2_priv",$B$541="pct_constr")),AND($B$538="diretos",$B$539="Licenças e Aprovações",OR($B$541="rs",$B$541="rs_m2_priv")),AND($B$538="diretos",$B$539="Manutenção pós-obra",OR($B$541="rs",$B$541="pct_vgv",$B$541="pct_recebido")),AND($B$538="diretos",$B$539="Outro",OR($B$541="rs",$B$541="pct_vgv",$B$541="pct_recebido")),AND($B$538="indireto",$B$539="Marketing global",OR($B$541="rs",$B$541="pct_vgv",$B$541="pct_recebido")),AND($B$538="indireto",$B$539="Stand de vendas",OR($B$541="rs",$B$541="pct_vgv")),AND($B$538="indireto",$B$539="Gestão",OR($B$541="rs",$B$541="pct_vgv",$B$541="pct_recebido")),AND($B$538="indireto",$B$539="Outro",OR($B$541="rs",$B$541="pct_vgv",$B$541="pct_recebido")),AND($B$538="financeiro",$B$539="Juros de financiamento",OR($B$541="rs",$B$541="pct_vgv")),AND($B$538="financeiro",$B$539="Taxas bancárias",OR($B$541="rs",$B$541="pct_vgv")),AND($B$538="financeiro",$B$539="Estruturação de dívida",OR($B$541="rs",$B$541="pct_vgv")),AND($B$538="financeiro",$B$539="Investidores",OR($B$541="rs",$B$541="pct_vgv")),AND($B$538="financeiro",$B$539="Outro",OR($B$541="rs",$B$541="pct_vgv")))),"⚠ unidade não aceita nesta categoria",IF(AND($B$542&lt;&gt;"",$B$543&lt;&gt;""),"⚠ preencha só uma linha de valor",IF(IF(LEFT($B$541,3)="pct",$B$543="",$B$542=""),"⚠ falta o valor na linha certa","OK")))))</f>
        <v/>
      </c>
      <c r="C866" s="20" t="inlineStr">
        <is>
          <t>alerta</t>
        </is>
      </c>
      <c r="D866" s="21" t="inlineStr">
        <is>
          <t>calculado</t>
        </is>
      </c>
    </row>
    <row r="867">
      <c r="A867" s="18" t="inlineStr">
        <is>
          <t>Custo 24 — conferência</t>
        </is>
      </c>
      <c r="B867" s="23">
        <f>IF(AND($B$549="",$B$550=""),"",IF(OR($B$549="",$B$550="",$B$552=""),"⚠ falta grupo, categoria ou unidade",IF(NOT(OR(AND($B$549="terreno",$B$550="Preço",OR($B$552="rs",$B$552="rs_m2_terreno")),AND($B$549="terreno",$B$550="Registro",OR($B$552="rs",$B$552="rs_m2_priv")),AND($B$549="terreno",$B$550="Outro",OR($B$552="rs",$B$552="pct_vgv")),AND($B$549="obra",$B$550="Construção",OR($B$552="rs",$B$552="rs_m2_priv")),AND($B$549="obra",$B$550="Outorga",OR($B$552="rs",$B$552="pct_vgv")),AND($B$549="obra",$B$550="Decoração",OR($B$552="rs",$B$552="rs_m2_priv")),AND($B$549="obra",$B$550="Gestão da obra",OR($B$552="rs",$B$552="pct_obra")),AND($B$549="obra",$B$550="Contingência",OR($B$552="rs",$B$552="pct_vgv")),AND($B$549="obra",$B$550="Outro",OR($B$552="rs",$B$552="pct_vgv")),AND($B$549="diretos",$B$550="Marketing &amp; Publicidade",OR($B$552="rs",$B$552="pct_vgv",$B$552="pct_recebido")),AND($B$549="diretos",$B$550="Corretagem de vendas",OR($B$552="pct_vgv")),AND($B$549="diretos",$B$550="Projetos",OR($B$552="rs",$B$552="rs_m2_priv",$B$552="pct_constr")),AND($B$549="diretos",$B$550="Licenças e Aprovações",OR($B$552="rs",$B$552="rs_m2_priv")),AND($B$549="diretos",$B$550="Manutenção pós-obra",OR($B$552="rs",$B$552="pct_vgv",$B$552="pct_recebido")),AND($B$549="diretos",$B$550="Outro",OR($B$552="rs",$B$552="pct_vgv",$B$552="pct_recebido")),AND($B$549="indireto",$B$550="Marketing global",OR($B$552="rs",$B$552="pct_vgv",$B$552="pct_recebido")),AND($B$549="indireto",$B$550="Stand de vendas",OR($B$552="rs",$B$552="pct_vgv")),AND($B$549="indireto",$B$550="Gestão",OR($B$552="rs",$B$552="pct_vgv",$B$552="pct_recebido")),AND($B$549="indireto",$B$550="Outro",OR($B$552="rs",$B$552="pct_vgv",$B$552="pct_recebido")),AND($B$549="financeiro",$B$550="Juros de financiamento",OR($B$552="rs",$B$552="pct_vgv")),AND($B$549="financeiro",$B$550="Taxas bancárias",OR($B$552="rs",$B$552="pct_vgv")),AND($B$549="financeiro",$B$550="Estruturação de dívida",OR($B$552="rs",$B$552="pct_vgv")),AND($B$549="financeiro",$B$550="Investidores",OR($B$552="rs",$B$552="pct_vgv")),AND($B$549="financeiro",$B$550="Outro",OR($B$552="rs",$B$552="pct_vgv")))),"⚠ unidade não aceita nesta categoria",IF(AND($B$553&lt;&gt;"",$B$554&lt;&gt;""),"⚠ preencha só uma linha de valor",IF(IF(LEFT($B$552,3)="pct",$B$554="",$B$553=""),"⚠ falta o valor na linha certa","OK")))))</f>
        <v/>
      </c>
      <c r="C867" s="20" t="inlineStr">
        <is>
          <t>alerta</t>
        </is>
      </c>
      <c r="D867" s="21" t="inlineStr">
        <is>
          <t>calculado</t>
        </is>
      </c>
    </row>
    <row r="868">
      <c r="A868" s="18" t="inlineStr">
        <is>
          <t>Custo 25 — conferência</t>
        </is>
      </c>
      <c r="B868" s="23">
        <f>IF(AND($B$560="",$B$561=""),"",IF(OR($B$560="",$B$561="",$B$563=""),"⚠ falta grupo, categoria ou unidade",IF(NOT(OR(AND($B$560="terreno",$B$561="Preço",OR($B$563="rs",$B$563="rs_m2_terreno")),AND($B$560="terreno",$B$561="Registro",OR($B$563="rs",$B$563="rs_m2_priv")),AND($B$560="terreno",$B$561="Outro",OR($B$563="rs",$B$563="pct_vgv")),AND($B$560="obra",$B$561="Construção",OR($B$563="rs",$B$563="rs_m2_priv")),AND($B$560="obra",$B$561="Outorga",OR($B$563="rs",$B$563="pct_vgv")),AND($B$560="obra",$B$561="Decoração",OR($B$563="rs",$B$563="rs_m2_priv")),AND($B$560="obra",$B$561="Gestão da obra",OR($B$563="rs",$B$563="pct_obra")),AND($B$560="obra",$B$561="Contingência",OR($B$563="rs",$B$563="pct_vgv")),AND($B$560="obra",$B$561="Outro",OR($B$563="rs",$B$563="pct_vgv")),AND($B$560="diretos",$B$561="Marketing &amp; Publicidade",OR($B$563="rs",$B$563="pct_vgv",$B$563="pct_recebido")),AND($B$560="diretos",$B$561="Corretagem de vendas",OR($B$563="pct_vgv")),AND($B$560="diretos",$B$561="Projetos",OR($B$563="rs",$B$563="rs_m2_priv",$B$563="pct_constr")),AND($B$560="diretos",$B$561="Licenças e Aprovações",OR($B$563="rs",$B$563="rs_m2_priv")),AND($B$560="diretos",$B$561="Manutenção pós-obra",OR($B$563="rs",$B$563="pct_vgv",$B$563="pct_recebido")),AND($B$560="diretos",$B$561="Outro",OR($B$563="rs",$B$563="pct_vgv",$B$563="pct_recebido")),AND($B$560="indireto",$B$561="Marketing global",OR($B$563="rs",$B$563="pct_vgv",$B$563="pct_recebido")),AND($B$560="indireto",$B$561="Stand de vendas",OR($B$563="rs",$B$563="pct_vgv")),AND($B$560="indireto",$B$561="Gestão",OR($B$563="rs",$B$563="pct_vgv",$B$563="pct_recebido")),AND($B$560="indireto",$B$561="Outro",OR($B$563="rs",$B$563="pct_vgv",$B$563="pct_recebido")),AND($B$560="financeiro",$B$561="Juros de financiamento",OR($B$563="rs",$B$563="pct_vgv")),AND($B$560="financeiro",$B$561="Taxas bancárias",OR($B$563="rs",$B$563="pct_vgv")),AND($B$560="financeiro",$B$561="Estruturação de dívida",OR($B$563="rs",$B$563="pct_vgv")),AND($B$560="financeiro",$B$561="Investidores",OR($B$563="rs",$B$563="pct_vgv")),AND($B$560="financeiro",$B$561="Outro",OR($B$563="rs",$B$563="pct_vgv")))),"⚠ unidade não aceita nesta categoria",IF(AND($B$564&lt;&gt;"",$B$565&lt;&gt;""),"⚠ preencha só uma linha de valor",IF(IF(LEFT($B$563,3)="pct",$B$565="",$B$564=""),"⚠ falta o valor na linha certa","OK")))))</f>
        <v/>
      </c>
      <c r="C868" s="20" t="inlineStr">
        <is>
          <t>alerta</t>
        </is>
      </c>
      <c r="D868" s="21" t="inlineStr">
        <is>
          <t>calculado</t>
        </is>
      </c>
    </row>
    <row r="869">
      <c r="A869" s="18" t="inlineStr">
        <is>
          <t>Custo 26 — conferência</t>
        </is>
      </c>
      <c r="B869" s="23">
        <f>IF(AND($B$571="",$B$572=""),"",IF(OR($B$571="",$B$572="",$B$574=""),"⚠ falta grupo, categoria ou unidade",IF(NOT(OR(AND($B$571="terreno",$B$572="Preço",OR($B$574="rs",$B$574="rs_m2_terreno")),AND($B$571="terreno",$B$572="Registro",OR($B$574="rs",$B$574="rs_m2_priv")),AND($B$571="terreno",$B$572="Outro",OR($B$574="rs",$B$574="pct_vgv")),AND($B$571="obra",$B$572="Construção",OR($B$574="rs",$B$574="rs_m2_priv")),AND($B$571="obra",$B$572="Outorga",OR($B$574="rs",$B$574="pct_vgv")),AND($B$571="obra",$B$572="Decoração",OR($B$574="rs",$B$574="rs_m2_priv")),AND($B$571="obra",$B$572="Gestão da obra",OR($B$574="rs",$B$574="pct_obra")),AND($B$571="obra",$B$572="Contingência",OR($B$574="rs",$B$574="pct_vgv")),AND($B$571="obra",$B$572="Outro",OR($B$574="rs",$B$574="pct_vgv")),AND($B$571="diretos",$B$572="Marketing &amp; Publicidade",OR($B$574="rs",$B$574="pct_vgv",$B$574="pct_recebido")),AND($B$571="diretos",$B$572="Corretagem de vendas",OR($B$574="pct_vgv")),AND($B$571="diretos",$B$572="Projetos",OR($B$574="rs",$B$574="rs_m2_priv",$B$574="pct_constr")),AND($B$571="diretos",$B$572="Licenças e Aprovações",OR($B$574="rs",$B$574="rs_m2_priv")),AND($B$571="diretos",$B$572="Manutenção pós-obra",OR($B$574="rs",$B$574="pct_vgv",$B$574="pct_recebido")),AND($B$571="diretos",$B$572="Outro",OR($B$574="rs",$B$574="pct_vgv",$B$574="pct_recebido")),AND($B$571="indireto",$B$572="Marketing global",OR($B$574="rs",$B$574="pct_vgv",$B$574="pct_recebido")),AND($B$571="indireto",$B$572="Stand de vendas",OR($B$574="rs",$B$574="pct_vgv")),AND($B$571="indireto",$B$572="Gestão",OR($B$574="rs",$B$574="pct_vgv",$B$574="pct_recebido")),AND($B$571="indireto",$B$572="Outro",OR($B$574="rs",$B$574="pct_vgv",$B$574="pct_recebido")),AND($B$571="financeiro",$B$572="Juros de financiamento",OR($B$574="rs",$B$574="pct_vgv")),AND($B$571="financeiro",$B$572="Taxas bancárias",OR($B$574="rs",$B$574="pct_vgv")),AND($B$571="financeiro",$B$572="Estruturação de dívida",OR($B$574="rs",$B$574="pct_vgv")),AND($B$571="financeiro",$B$572="Investidores",OR($B$574="rs",$B$574="pct_vgv")),AND($B$571="financeiro",$B$572="Outro",OR($B$574="rs",$B$574="pct_vgv")))),"⚠ unidade não aceita nesta categoria",IF(AND($B$575&lt;&gt;"",$B$576&lt;&gt;""),"⚠ preencha só uma linha de valor",IF(IF(LEFT($B$574,3)="pct",$B$576="",$B$575=""),"⚠ falta o valor na linha certa","OK")))))</f>
        <v/>
      </c>
      <c r="C869" s="20" t="inlineStr">
        <is>
          <t>alerta</t>
        </is>
      </c>
      <c r="D869" s="21" t="inlineStr">
        <is>
          <t>calculado</t>
        </is>
      </c>
    </row>
    <row r="870">
      <c r="A870" s="18" t="inlineStr">
        <is>
          <t>Custo 27 — conferência</t>
        </is>
      </c>
      <c r="B870" s="23">
        <f>IF(AND($B$582="",$B$583=""),"",IF(OR($B$582="",$B$583="",$B$585=""),"⚠ falta grupo, categoria ou unidade",IF(NOT(OR(AND($B$582="terreno",$B$583="Preço",OR($B$585="rs",$B$585="rs_m2_terreno")),AND($B$582="terreno",$B$583="Registro",OR($B$585="rs",$B$585="rs_m2_priv")),AND($B$582="terreno",$B$583="Outro",OR($B$585="rs",$B$585="pct_vgv")),AND($B$582="obra",$B$583="Construção",OR($B$585="rs",$B$585="rs_m2_priv")),AND($B$582="obra",$B$583="Outorga",OR($B$585="rs",$B$585="pct_vgv")),AND($B$582="obra",$B$583="Decoração",OR($B$585="rs",$B$585="rs_m2_priv")),AND($B$582="obra",$B$583="Gestão da obra",OR($B$585="rs",$B$585="pct_obra")),AND($B$582="obra",$B$583="Contingência",OR($B$585="rs",$B$585="pct_vgv")),AND($B$582="obra",$B$583="Outro",OR($B$585="rs",$B$585="pct_vgv")),AND($B$582="diretos",$B$583="Marketing &amp; Publicidade",OR($B$585="rs",$B$585="pct_vgv",$B$585="pct_recebido")),AND($B$582="diretos",$B$583="Corretagem de vendas",OR($B$585="pct_vgv")),AND($B$582="diretos",$B$583="Projetos",OR($B$585="rs",$B$585="rs_m2_priv",$B$585="pct_constr")),AND($B$582="diretos",$B$583="Licenças e Aprovações",OR($B$585="rs",$B$585="rs_m2_priv")),AND($B$582="diretos",$B$583="Manutenção pós-obra",OR($B$585="rs",$B$585="pct_vgv",$B$585="pct_recebido")),AND($B$582="diretos",$B$583="Outro",OR($B$585="rs",$B$585="pct_vgv",$B$585="pct_recebido")),AND($B$582="indireto",$B$583="Marketing global",OR($B$585="rs",$B$585="pct_vgv",$B$585="pct_recebido")),AND($B$582="indireto",$B$583="Stand de vendas",OR($B$585="rs",$B$585="pct_vgv")),AND($B$582="indireto",$B$583="Gestão",OR($B$585="rs",$B$585="pct_vgv",$B$585="pct_recebido")),AND($B$582="indireto",$B$583="Outro",OR($B$585="rs",$B$585="pct_vgv",$B$585="pct_recebido")),AND($B$582="financeiro",$B$583="Juros de financiamento",OR($B$585="rs",$B$585="pct_vgv")),AND($B$582="financeiro",$B$583="Taxas bancárias",OR($B$585="rs",$B$585="pct_vgv")),AND($B$582="financeiro",$B$583="Estruturação de dívida",OR($B$585="rs",$B$585="pct_vgv")),AND($B$582="financeiro",$B$583="Investidores",OR($B$585="rs",$B$585="pct_vgv")),AND($B$582="financeiro",$B$583="Outro",OR($B$585="rs",$B$585="pct_vgv")))),"⚠ unidade não aceita nesta categoria",IF(AND($B$586&lt;&gt;"",$B$587&lt;&gt;""),"⚠ preencha só uma linha de valor",IF(IF(LEFT($B$585,3)="pct",$B$587="",$B$586=""),"⚠ falta o valor na linha certa","OK")))))</f>
        <v/>
      </c>
      <c r="C870" s="20" t="inlineStr">
        <is>
          <t>alerta</t>
        </is>
      </c>
      <c r="D870" s="21" t="inlineStr">
        <is>
          <t>calculado</t>
        </is>
      </c>
    </row>
    <row r="871">
      <c r="A871" s="18" t="inlineStr">
        <is>
          <t>Custo 28 — conferência</t>
        </is>
      </c>
      <c r="B871" s="23">
        <f>IF(AND($B$593="",$B$594=""),"",IF(OR($B$593="",$B$594="",$B$596=""),"⚠ falta grupo, categoria ou unidade",IF(NOT(OR(AND($B$593="terreno",$B$594="Preço",OR($B$596="rs",$B$596="rs_m2_terreno")),AND($B$593="terreno",$B$594="Registro",OR($B$596="rs",$B$596="rs_m2_priv")),AND($B$593="terreno",$B$594="Outro",OR($B$596="rs",$B$596="pct_vgv")),AND($B$593="obra",$B$594="Construção",OR($B$596="rs",$B$596="rs_m2_priv")),AND($B$593="obra",$B$594="Outorga",OR($B$596="rs",$B$596="pct_vgv")),AND($B$593="obra",$B$594="Decoração",OR($B$596="rs",$B$596="rs_m2_priv")),AND($B$593="obra",$B$594="Gestão da obra",OR($B$596="rs",$B$596="pct_obra")),AND($B$593="obra",$B$594="Contingência",OR($B$596="rs",$B$596="pct_vgv")),AND($B$593="obra",$B$594="Outro",OR($B$596="rs",$B$596="pct_vgv")),AND($B$593="diretos",$B$594="Marketing &amp; Publicidade",OR($B$596="rs",$B$596="pct_vgv",$B$596="pct_recebido")),AND($B$593="diretos",$B$594="Corretagem de vendas",OR($B$596="pct_vgv")),AND($B$593="diretos",$B$594="Projetos",OR($B$596="rs",$B$596="rs_m2_priv",$B$596="pct_constr")),AND($B$593="diretos",$B$594="Licenças e Aprovações",OR($B$596="rs",$B$596="rs_m2_priv")),AND($B$593="diretos",$B$594="Manutenção pós-obra",OR($B$596="rs",$B$596="pct_vgv",$B$596="pct_recebido")),AND($B$593="diretos",$B$594="Outro",OR($B$596="rs",$B$596="pct_vgv",$B$596="pct_recebido")),AND($B$593="indireto",$B$594="Marketing global",OR($B$596="rs",$B$596="pct_vgv",$B$596="pct_recebido")),AND($B$593="indireto",$B$594="Stand de vendas",OR($B$596="rs",$B$596="pct_vgv")),AND($B$593="indireto",$B$594="Gestão",OR($B$596="rs",$B$596="pct_vgv",$B$596="pct_recebido")),AND($B$593="indireto",$B$594="Outro",OR($B$596="rs",$B$596="pct_vgv",$B$596="pct_recebido")),AND($B$593="financeiro",$B$594="Juros de financiamento",OR($B$596="rs",$B$596="pct_vgv")),AND($B$593="financeiro",$B$594="Taxas bancárias",OR($B$596="rs",$B$596="pct_vgv")),AND($B$593="financeiro",$B$594="Estruturação de dívida",OR($B$596="rs",$B$596="pct_vgv")),AND($B$593="financeiro",$B$594="Investidores",OR($B$596="rs",$B$596="pct_vgv")),AND($B$593="financeiro",$B$594="Outro",OR($B$596="rs",$B$596="pct_vgv")))),"⚠ unidade não aceita nesta categoria",IF(AND($B$597&lt;&gt;"",$B$598&lt;&gt;""),"⚠ preencha só uma linha de valor",IF(IF(LEFT($B$596,3)="pct",$B$598="",$B$597=""),"⚠ falta o valor na linha certa","OK")))))</f>
        <v/>
      </c>
      <c r="C871" s="20" t="inlineStr">
        <is>
          <t>alerta</t>
        </is>
      </c>
      <c r="D871" s="21" t="inlineStr">
        <is>
          <t>calculado</t>
        </is>
      </c>
    </row>
    <row r="872">
      <c r="A872" s="18" t="inlineStr">
        <is>
          <t>Cada 1% do VGV de tabela equivale a (para converter Projetos, que não aceita % do VGV)</t>
        </is>
      </c>
      <c r="B872" s="24">
        <f>$B$757*0.01</f>
        <v/>
      </c>
      <c r="C872" s="20" t="inlineStr">
        <is>
          <t>R$</t>
        </is>
      </c>
      <c r="D872" s="21" t="inlineStr">
        <is>
          <t>calculado</t>
        </is>
      </c>
    </row>
    <row r="873">
      <c r="A873" s="18" t="inlineStr">
        <is>
          <t>Σ custos conversíveis — terreno</t>
        </is>
      </c>
      <c r="B873" s="24">
        <f>IF($B$296="terreno",N($B$816),0)+IF($B$307="terreno",N($B$817),0)+IF($B$318="terreno",N($B$818),0)+IF($B$329="terreno",N($B$819),0)+IF($B$340="terreno",N($B$820),0)+IF($B$351="terreno",N($B$821),0)+IF($B$362="terreno",N($B$822),0)+IF($B$373="terreno",N($B$823),0)+IF($B$384="terreno",N($B$824),0)+IF($B$395="terreno",N($B$825),0)+IF($B$406="terreno",N($B$826),0)+IF($B$417="terreno",N($B$827),0)+IF($B$428="terreno",N($B$828),0)+IF($B$439="terreno",N($B$829),0)+IF($B$450="terreno",N($B$830),0)+IF($B$461="terreno",N($B$831),0)+IF($B$472="terreno",N($B$832),0)+IF($B$483="terreno",N($B$833),0)+IF($B$494="terreno",N($B$834),0)+IF($B$505="terreno",N($B$835),0)+IF($B$516="terreno",N($B$836),0)+IF($B$527="terreno",N($B$837),0)+IF($B$538="terreno",N($B$838),0)+IF($B$549="terreno",N($B$839),0)+IF($B$560="terreno",N($B$840),0)+IF($B$571="terreno",N($B$841),0)+IF($B$582="terreno",N($B$842),0)+IF($B$593="terreno",N($B$843),0)</f>
        <v/>
      </c>
      <c r="C873" s="20" t="inlineStr">
        <is>
          <t>R$</t>
        </is>
      </c>
      <c r="D873" s="21" t="inlineStr">
        <is>
          <t>calculado</t>
        </is>
      </c>
    </row>
    <row r="874">
      <c r="A874" s="18" t="inlineStr">
        <is>
          <t>Σ custos conversíveis — obra</t>
        </is>
      </c>
      <c r="B874" s="24">
        <f>IF($B$296="obra",N($B$816),0)+IF($B$307="obra",N($B$817),0)+IF($B$318="obra",N($B$818),0)+IF($B$329="obra",N($B$819),0)+IF($B$340="obra",N($B$820),0)+IF($B$351="obra",N($B$821),0)+IF($B$362="obra",N($B$822),0)+IF($B$373="obra",N($B$823),0)+IF($B$384="obra",N($B$824),0)+IF($B$395="obra",N($B$825),0)+IF($B$406="obra",N($B$826),0)+IF($B$417="obra",N($B$827),0)+IF($B$428="obra",N($B$828),0)+IF($B$439="obra",N($B$829),0)+IF($B$450="obra",N($B$830),0)+IF($B$461="obra",N($B$831),0)+IF($B$472="obra",N($B$832),0)+IF($B$483="obra",N($B$833),0)+IF($B$494="obra",N($B$834),0)+IF($B$505="obra",N($B$835),0)+IF($B$516="obra",N($B$836),0)+IF($B$527="obra",N($B$837),0)+IF($B$538="obra",N($B$838),0)+IF($B$549="obra",N($B$839),0)+IF($B$560="obra",N($B$840),0)+IF($B$571="obra",N($B$841),0)+IF($B$582="obra",N($B$842),0)+IF($B$593="obra",N($B$843),0)</f>
        <v/>
      </c>
      <c r="C874" s="20" t="inlineStr">
        <is>
          <t>R$</t>
        </is>
      </c>
      <c r="D874" s="21" t="inlineStr">
        <is>
          <t>calculado</t>
        </is>
      </c>
    </row>
    <row r="875">
      <c r="A875" s="18" t="inlineStr">
        <is>
          <t>Σ custos conversíveis — diretos</t>
        </is>
      </c>
      <c r="B875" s="24">
        <f>IF($B$296="diretos",N($B$816),0)+IF($B$307="diretos",N($B$817),0)+IF($B$318="diretos",N($B$818),0)+IF($B$329="diretos",N($B$819),0)+IF($B$340="diretos",N($B$820),0)+IF($B$351="diretos",N($B$821),0)+IF($B$362="diretos",N($B$822),0)+IF($B$373="diretos",N($B$823),0)+IF($B$384="diretos",N($B$824),0)+IF($B$395="diretos",N($B$825),0)+IF($B$406="diretos",N($B$826),0)+IF($B$417="diretos",N($B$827),0)+IF($B$428="diretos",N($B$828),0)+IF($B$439="diretos",N($B$829),0)+IF($B$450="diretos",N($B$830),0)+IF($B$461="diretos",N($B$831),0)+IF($B$472="diretos",N($B$832),0)+IF($B$483="diretos",N($B$833),0)+IF($B$494="diretos",N($B$834),0)+IF($B$505="diretos",N($B$835),0)+IF($B$516="diretos",N($B$836),0)+IF($B$527="diretos",N($B$837),0)+IF($B$538="diretos",N($B$838),0)+IF($B$549="diretos",N($B$839),0)+IF($B$560="diretos",N($B$840),0)+IF($B$571="diretos",N($B$841),0)+IF($B$582="diretos",N($B$842),0)+IF($B$593="diretos",N($B$843),0)</f>
        <v/>
      </c>
      <c r="C875" s="20" t="inlineStr">
        <is>
          <t>R$</t>
        </is>
      </c>
      <c r="D875" s="21" t="inlineStr">
        <is>
          <t>calculado</t>
        </is>
      </c>
    </row>
    <row r="876">
      <c r="A876" s="18" t="inlineStr">
        <is>
          <t>Σ custos conversíveis — indireto</t>
        </is>
      </c>
      <c r="B876" s="24">
        <f>IF($B$296="indireto",N($B$816),0)+IF($B$307="indireto",N($B$817),0)+IF($B$318="indireto",N($B$818),0)+IF($B$329="indireto",N($B$819),0)+IF($B$340="indireto",N($B$820),0)+IF($B$351="indireto",N($B$821),0)+IF($B$362="indireto",N($B$822),0)+IF($B$373="indireto",N($B$823),0)+IF($B$384="indireto",N($B$824),0)+IF($B$395="indireto",N($B$825),0)+IF($B$406="indireto",N($B$826),0)+IF($B$417="indireto",N($B$827),0)+IF($B$428="indireto",N($B$828),0)+IF($B$439="indireto",N($B$829),0)+IF($B$450="indireto",N($B$830),0)+IF($B$461="indireto",N($B$831),0)+IF($B$472="indireto",N($B$832),0)+IF($B$483="indireto",N($B$833),0)+IF($B$494="indireto",N($B$834),0)+IF($B$505="indireto",N($B$835),0)+IF($B$516="indireto",N($B$836),0)+IF($B$527="indireto",N($B$837),0)+IF($B$538="indireto",N($B$838),0)+IF($B$549="indireto",N($B$839),0)+IF($B$560="indireto",N($B$840),0)+IF($B$571="indireto",N($B$841),0)+IF($B$582="indireto",N($B$842),0)+IF($B$593="indireto",N($B$843),0)</f>
        <v/>
      </c>
      <c r="C876" s="20" t="inlineStr">
        <is>
          <t>R$</t>
        </is>
      </c>
      <c r="D876" s="21" t="inlineStr">
        <is>
          <t>calculado</t>
        </is>
      </c>
    </row>
    <row r="877">
      <c r="A877" s="18" t="inlineStr">
        <is>
          <t>Σ custos conversíveis — financeiro</t>
        </is>
      </c>
      <c r="B877" s="24">
        <f>IF($B$296="financeiro",N($B$816),0)+IF($B$307="financeiro",N($B$817),0)+IF($B$318="financeiro",N($B$818),0)+IF($B$329="financeiro",N($B$819),0)+IF($B$340="financeiro",N($B$820),0)+IF($B$351="financeiro",N($B$821),0)+IF($B$362="financeiro",N($B$822),0)+IF($B$373="financeiro",N($B$823),0)+IF($B$384="financeiro",N($B$824),0)+IF($B$395="financeiro",N($B$825),0)+IF($B$406="financeiro",N($B$826),0)+IF($B$417="financeiro",N($B$827),0)+IF($B$428="financeiro",N($B$828),0)+IF($B$439="financeiro",N($B$829),0)+IF($B$450="financeiro",N($B$830),0)+IF($B$461="financeiro",N($B$831),0)+IF($B$472="financeiro",N($B$832),0)+IF($B$483="financeiro",N($B$833),0)+IF($B$494="financeiro",N($B$834),0)+IF($B$505="financeiro",N($B$835),0)+IF($B$516="financeiro",N($B$836),0)+IF($B$527="financeiro",N($B$837),0)+IF($B$538="financeiro",N($B$838),0)+IF($B$549="financeiro",N($B$839),0)+IF($B$560="financeiro",N($B$840),0)+IF($B$571="financeiro",N($B$841),0)+IF($B$582="financeiro",N($B$842),0)+IF($B$593="financeiro",N($B$843),0)</f>
        <v/>
      </c>
      <c r="C877" s="20" t="inlineStr">
        <is>
          <t>R$</t>
        </is>
      </c>
      <c r="D877" s="21" t="inlineStr">
        <is>
          <t>calculado</t>
        </is>
      </c>
    </row>
    <row r="878">
      <c r="A878" s="18" t="inlineStr">
        <is>
          <t>Permuta física 1 — VGV entregue (unidades × área × preço sugerido)</t>
        </is>
      </c>
      <c r="B878" s="24">
        <f>IF($B$604="",0,N($B$605)*(($B$58=$B$604)*(N($B$59)+N($B$60))*N($B$62)+($B$64=$B$604)*(N($B$65)+N($B$66))*N($B$68)+($B$70=$B$604)*(N($B$71)+N($B$72))*N($B$74)+($B$76=$B$604)*(N($B$77)+N($B$78))*N($B$80)+($B$82=$B$604)*(N($B$83)+N($B$84))*N($B$86)+($B$88=$B$604)*(N($B$89)+N($B$90))*N($B$92)+($B$94=$B$604)*(N($B$95)+N($B$96))*N($B$98)+($B$100=$B$604)*(N($B$101)+N($B$102))*N($B$104)+($B$106=$B$604)*(N($B$107)+N($B$108))*N($B$110)+($B$112=$B$604)*(N($B$113)+N($B$114))*N($B$116)))</f>
        <v/>
      </c>
      <c r="C878" s="20" t="inlineStr">
        <is>
          <t>R$</t>
        </is>
      </c>
      <c r="D878" s="21" t="inlineStr">
        <is>
          <t>calculado</t>
        </is>
      </c>
    </row>
    <row r="879">
      <c r="A879" s="18" t="inlineStr">
        <is>
          <t>Permuta financeira 1 — equivalente em R$</t>
        </is>
      </c>
      <c r="B879" s="24">
        <f>IF($B$609="pct_vgv",N($B$611)*$B$757,IF($B$609="rs",N($B$610),0))</f>
        <v/>
      </c>
      <c r="C879" s="20" t="inlineStr">
        <is>
          <t>R$</t>
        </is>
      </c>
      <c r="D879" s="21" t="inlineStr">
        <is>
          <t>calculado</t>
        </is>
      </c>
    </row>
    <row r="880">
      <c r="A880" s="18" t="inlineStr">
        <is>
          <t>Permuta física 2 — VGV entregue (unidades × área × preço sugerido)</t>
        </is>
      </c>
      <c r="B880" s="24">
        <f>IF($B$606="",0,N($B$607)*(($B$58=$B$606)*(N($B$59)+N($B$60))*N($B$62)+($B$64=$B$606)*(N($B$65)+N($B$66))*N($B$68)+($B$70=$B$606)*(N($B$71)+N($B$72))*N($B$74)+($B$76=$B$606)*(N($B$77)+N($B$78))*N($B$80)+($B$82=$B$606)*(N($B$83)+N($B$84))*N($B$86)+($B$88=$B$606)*(N($B$89)+N($B$90))*N($B$92)+($B$94=$B$606)*(N($B$95)+N($B$96))*N($B$98)+($B$100=$B$606)*(N($B$101)+N($B$102))*N($B$104)+($B$106=$B$606)*(N($B$107)+N($B$108))*N($B$110)+($B$112=$B$606)*(N($B$113)+N($B$114))*N($B$116)))</f>
        <v/>
      </c>
      <c r="C880" s="20" t="inlineStr">
        <is>
          <t>R$</t>
        </is>
      </c>
      <c r="D880" s="21" t="inlineStr">
        <is>
          <t>calculado</t>
        </is>
      </c>
    </row>
    <row r="881">
      <c r="A881" s="18" t="inlineStr">
        <is>
          <t>Permuta financeira 2 — equivalente em R$</t>
        </is>
      </c>
      <c r="B881" s="24">
        <f>IF($B$614="pct_vgv",N($B$616)*$B$757,IF($B$614="rs",N($B$615),0))</f>
        <v/>
      </c>
      <c r="C881" s="20" t="inlineStr">
        <is>
          <t>R$</t>
        </is>
      </c>
      <c r="D881" s="21" t="inlineStr">
        <is>
          <t>calculado</t>
        </is>
      </c>
    </row>
    <row r="882">
      <c r="A882" s="18" t="inlineStr">
        <is>
          <t>Σ valor das dívidas</t>
        </is>
      </c>
      <c r="B882" s="24">
        <f>N($B$631)+N($B$644)+N($B$657)</f>
        <v/>
      </c>
      <c r="C882" s="20" t="inlineStr">
        <is>
          <t>R$</t>
        </is>
      </c>
      <c r="D882" s="21" t="inlineStr">
        <is>
          <t>calculado</t>
        </is>
      </c>
    </row>
    <row r="883">
      <c r="A883" s="18" t="inlineStr">
        <is>
          <t>Σ valor dos equities</t>
        </is>
      </c>
      <c r="B883" s="24">
        <f>N($B$670)+N($B$677)+N($B$684)</f>
        <v/>
      </c>
      <c r="C883" s="20" t="inlineStr">
        <is>
          <t>R$</t>
        </is>
      </c>
      <c r="D883" s="21" t="inlineStr">
        <is>
          <t>calculado</t>
        </is>
      </c>
    </row>
    <row r="886">
      <c r="F886" t="inlineStr">
        <is>
          <t>Preço</t>
        </is>
      </c>
    </row>
    <row r="887">
      <c r="F887" t="inlineStr">
        <is>
          <t>Registro</t>
        </is>
      </c>
    </row>
    <row r="888">
      <c r="F888" t="inlineStr">
        <is>
          <t>Outro</t>
        </is>
      </c>
    </row>
    <row r="889">
      <c r="F889" t="inlineStr">
        <is>
          <t>Construção</t>
        </is>
      </c>
    </row>
    <row r="890">
      <c r="F890" t="inlineStr">
        <is>
          <t>Outorga</t>
        </is>
      </c>
    </row>
    <row r="891">
      <c r="F891" t="inlineStr">
        <is>
          <t>Decoração</t>
        </is>
      </c>
    </row>
    <row r="892">
      <c r="F892" t="inlineStr">
        <is>
          <t>Gestão da obra</t>
        </is>
      </c>
    </row>
    <row r="893">
      <c r="F893" t="inlineStr">
        <is>
          <t>Contingência</t>
        </is>
      </c>
    </row>
    <row r="894">
      <c r="F894" t="inlineStr">
        <is>
          <t>Marketing &amp; Publicidade</t>
        </is>
      </c>
    </row>
    <row r="895">
      <c r="F895" t="inlineStr">
        <is>
          <t>Corretagem de vendas</t>
        </is>
      </c>
    </row>
    <row r="896">
      <c r="F896" t="inlineStr">
        <is>
          <t>Projetos</t>
        </is>
      </c>
    </row>
    <row r="897">
      <c r="F897" t="inlineStr">
        <is>
          <t>Licenças e Aprovações</t>
        </is>
      </c>
    </row>
    <row r="898">
      <c r="F898" t="inlineStr">
        <is>
          <t>Manutenção pós-obra</t>
        </is>
      </c>
    </row>
    <row r="899">
      <c r="F899" t="inlineStr">
        <is>
          <t>Marketing global</t>
        </is>
      </c>
    </row>
    <row r="900">
      <c r="F900" t="inlineStr">
        <is>
          <t>Gestão</t>
        </is>
      </c>
    </row>
    <row r="901">
      <c r="F901" t="inlineStr">
        <is>
          <t>Stand de vendas</t>
        </is>
      </c>
    </row>
    <row r="902">
      <c r="F902" t="inlineStr">
        <is>
          <t>Juros de financiamento</t>
        </is>
      </c>
    </row>
    <row r="903">
      <c r="F903" t="inlineStr">
        <is>
          <t>Taxas bancárias</t>
        </is>
      </c>
    </row>
    <row r="904">
      <c r="F904" t="inlineStr">
        <is>
          <t>Estruturação de dívida</t>
        </is>
      </c>
    </row>
    <row r="905">
      <c r="F905" t="inlineStr">
        <is>
          <t>Investidores</t>
        </is>
      </c>
    </row>
    <row r="907">
      <c r="F907" t="inlineStr">
        <is>
          <t>planejamento</t>
        </is>
      </c>
    </row>
    <row r="908">
      <c r="F908" t="inlineStr">
        <is>
          <t>pre_lancamento</t>
        </is>
      </c>
    </row>
    <row r="909">
      <c r="F909" t="inlineStr">
        <is>
          <t>lancamento</t>
        </is>
      </c>
    </row>
    <row r="910">
      <c r="F910" t="inlineStr">
        <is>
          <t>obra</t>
        </is>
      </c>
    </row>
    <row r="911">
      <c r="F911" t="inlineStr">
        <is>
          <t>pos_obra</t>
        </is>
      </c>
    </row>
    <row r="912">
      <c r="F912" t="inlineStr">
        <is>
          <t>customizado</t>
        </is>
      </c>
    </row>
    <row r="914">
      <c r="F914" t="inlineStr">
        <is>
          <t>Linear</t>
        </is>
      </c>
    </row>
    <row r="915">
      <c r="F915" t="inlineStr">
        <is>
          <t>Curva S</t>
        </is>
      </c>
    </row>
    <row r="916">
      <c r="F916" t="inlineStr">
        <is>
          <t>unit_delivery</t>
        </is>
      </c>
    </row>
    <row r="917">
      <c r="F917" t="inlineStr">
        <is>
          <t>sales_revenue</t>
        </is>
      </c>
    </row>
  </sheetData>
  <sheetProtection selectLockedCells="0" selectUnlockedCells="0" sheet="1" objects="0" insertRows="1" insertHyperlinks="1" autoFilter="1" scenarios="0" formatColumns="0" deleteColumns="1" insertColumns="1" pivotTables="1" deleteRows="1" formatCells="1" formatRows="0" sort="1"/>
  <mergeCells count="100">
    <mergeCell ref="A734:D734"/>
    <mergeCell ref="A159:D159"/>
    <mergeCell ref="A815:D815"/>
    <mergeCell ref="A81:D81"/>
    <mergeCell ref="A161:D161"/>
    <mergeCell ref="A372:D372"/>
    <mergeCell ref="A257:D257"/>
    <mergeCell ref="A24:D24"/>
    <mergeCell ref="A51:D51"/>
    <mergeCell ref="A620:D620"/>
    <mergeCell ref="A629:D629"/>
    <mergeCell ref="A707:D707"/>
    <mergeCell ref="A241:D241"/>
    <mergeCell ref="A526:D526"/>
    <mergeCell ref="A252:D252"/>
    <mergeCell ref="A99:D99"/>
    <mergeCell ref="A277:D277"/>
    <mergeCell ref="A292:D292"/>
    <mergeCell ref="A581:D581"/>
    <mergeCell ref="A619:D619"/>
    <mergeCell ref="A56:D56"/>
    <mergeCell ref="A267:D267"/>
    <mergeCell ref="A438:D438"/>
    <mergeCell ref="A294:D294"/>
    <mergeCell ref="A306:D306"/>
    <mergeCell ref="A592:D592"/>
    <mergeCell ref="A675:D675"/>
    <mergeCell ref="A2:D2"/>
    <mergeCell ref="A361:D361"/>
    <mergeCell ref="A135:D135"/>
    <mergeCell ref="A35:D35"/>
    <mergeCell ref="A262:D262"/>
    <mergeCell ref="A504:D504"/>
    <mergeCell ref="A482:D482"/>
    <mergeCell ref="A789:D789"/>
    <mergeCell ref="A117:D117"/>
    <mergeCell ref="A111:D111"/>
    <mergeCell ref="A127:D127"/>
    <mergeCell ref="A603:D603"/>
    <mergeCell ref="A11:D11"/>
    <mergeCell ref="A169:D169"/>
    <mergeCell ref="A225:D225"/>
    <mergeCell ref="A177:D177"/>
    <mergeCell ref="A217:D217"/>
    <mergeCell ref="A282:D282"/>
    <mergeCell ref="A655:D655"/>
    <mergeCell ref="A493:D493"/>
    <mergeCell ref="A105:D105"/>
    <mergeCell ref="A272:D272"/>
    <mergeCell ref="A242:D242"/>
    <mergeCell ref="A405:D405"/>
    <mergeCell ref="A705:D705"/>
    <mergeCell ref="A63:D63"/>
    <mergeCell ref="A416:D416"/>
    <mergeCell ref="A293:D293"/>
    <mergeCell ref="A93:D93"/>
    <mergeCell ref="A471:D471"/>
    <mergeCell ref="A295:D295"/>
    <mergeCell ref="A642:D642"/>
    <mergeCell ref="A143:D143"/>
    <mergeCell ref="A328:D328"/>
    <mergeCell ref="A608:D608"/>
    <mergeCell ref="A350:D350"/>
    <mergeCell ref="A383:D383"/>
    <mergeCell ref="A1:D1"/>
    <mergeCell ref="A287:D287"/>
    <mergeCell ref="A570:D570"/>
    <mergeCell ref="A339:D339"/>
    <mergeCell ref="A548:D548"/>
    <mergeCell ref="A69:D69"/>
    <mergeCell ref="A668:D668"/>
    <mergeCell ref="A427:D427"/>
    <mergeCell ref="A87:D87"/>
    <mergeCell ref="A193:D193"/>
    <mergeCell ref="A317:D317"/>
    <mergeCell ref="A233:D233"/>
    <mergeCell ref="A57:D57"/>
    <mergeCell ref="A247:D247"/>
    <mergeCell ref="A185:D185"/>
    <mergeCell ref="A4:D4"/>
    <mergeCell ref="A209:D209"/>
    <mergeCell ref="A460:D460"/>
    <mergeCell ref="A721:D721"/>
    <mergeCell ref="A201:D201"/>
    <mergeCell ref="A559:D559"/>
    <mergeCell ref="A682:D682"/>
    <mergeCell ref="A119:D119"/>
    <mergeCell ref="A706:D706"/>
    <mergeCell ref="A25:D25"/>
    <mergeCell ref="A537:D537"/>
    <mergeCell ref="A118:D118"/>
    <mergeCell ref="A75:D75"/>
    <mergeCell ref="A18:D18"/>
    <mergeCell ref="A394:D394"/>
    <mergeCell ref="A689:D689"/>
    <mergeCell ref="A55:D55"/>
    <mergeCell ref="A151:D151"/>
    <mergeCell ref="A515:D515"/>
    <mergeCell ref="A449:D449"/>
    <mergeCell ref="A160:D160"/>
  </mergeCells>
  <dataValidations count="23">
    <dataValidation sqref="B5 B14" showDropDown="0" showInputMessage="0" showErrorMessage="0" allowBlank="1" error="No máximo 200 caracteres." type="textLength" errorStyle="warning" operator="lessThanOrEqual">
      <formula1>200</formula1>
    </dataValidation>
    <dataValidation sqref="B8" showDropDown="0" showInputMessage="0" showErrorMessage="0" allowBlank="1" errorTitle="Valor inválido" error="Escolha um valor da lista." type="list">
      <formula1>"manual,nucleo"</formula1>
    </dataValidation>
    <dataValidation sqref="B9" showDropDown="0" showInputMessage="0" showErrorMessage="0" allowBlank="1" error="No máximo 2 caracteres." type="textLength" errorStyle="warning" operator="lessThanOrEqual">
      <formula1>2</formula1>
    </dataValidation>
    <dataValidation sqref="B12 B58 B64 B70 B76 B82 B88 B94 B100 B106 B112" showDropDown="0" showInputMessage="0" showErrorMessage="0" allowBlank="1" error="No máximo 100 caracteres." type="textLength" errorStyle="warning" operator="lessThanOrEqual">
      <formula1>100</formula1>
    </dataValidation>
    <dataValidation sqref="B15 B59 B60 B62 B65 B66 B68 B71 B72 B74 B77 B78 B80 B83 B84 B86 B89 B90 B92 B95 B96 B98 B101 B102 B104 B107 B108 B110 B113 B114 B116 B246 B251 B256 B261 B266 B271 B276 B281 B286 B291 B300 B311 B322 B333 B344 B355 B366 B377 B388 B399 B410 B421 B432 B443 B454 B465 B476 B487 B498 B509 B520 B531 B542 B553 B564 B575 B586 B597 B610 B615 B623 B631 B640 B641 B644 B653 B654 B657 B666 B667 B670 B677 B684" showDropDown="0" showInputMessage="0" showErrorMessage="0" allowBlank="1" errorTitle="Confira o valor" error="Valor fora da faixa esperada (0 a 1000000000000.0)." type="decimal" errorStyle="warning" operator="between">
      <formula1>0</formula1>
      <formula2>1000000000000.0</formula2>
    </dataValidation>
    <dataValidation sqref="B19" showDropDown="0" showInputMessage="0" showErrorMessage="0" allowBlank="1" errorTitle="Confira o valor" error="Valor fora da faixa esperada (0 a 9.9999)." type="decimal" errorStyle="warning" operator="between">
      <formula1>0</formula1>
      <formula2>9.9999</formula2>
    </dataValidation>
    <dataValidation sqref="B20 B23 B121 B122 B123 B129 B130 B131 B137 B138 B139 B145 B146 B147 B153 B154 B155 B164 B166 B167 B172 B174 B175 B180 B182 B183 B188 B190 B191 B196 B198 B199 B204 B206 B207 B212 B214 B215 B220 B222 B223 B228 B230 B231 B236 B238 B239 B611 B616 B624 B625 B626 B636 B639 B649 B652 B662 B665 B674 B681 B688" showDropDown="0" showInputMessage="0" showErrorMessage="0" allowBlank="1" errorTitle="Confira o valor" error="Valor fora da faixa esperada (0 a 1)." type="decimal" errorStyle="warning" operator="between">
      <formula1>0</formula1>
      <formula2>1</formula2>
    </dataValidation>
    <dataValidation sqref="B21 B22 B27 B125 B133 B141 B149 B157 B168 B176 B184 B192 B200 B208 B216 B224 B232 B240 B612 B613 B617 B618 B622 B627 B634 B647 B660" showDropDown="0" showInputMessage="0" showErrorMessage="0" allowBlank="1" errorTitle="Valor inválido" error="Escolha um valor da lista." type="list">
      <formula1>"Sim,Não"</formula1>
    </dataValidation>
    <dataValidation sqref="B28 B32 B37 B40 B43 B46 B49 B61 B67 B73 B79 B85 B91 B97 B103 B109 B115 B245 B250 B255 B260 B265 B270 B275 B280 B285 B290 B304 B315 B326 B337 B348 B359 B370 B381 B392 B403 B414 B425 B436 B447 B458 B469 B480 B491 B502 B513 B524 B535 B546 B557 B568 B579 B590 B601 B605 B607 B633 B637 B638 B646 B650 B651 B659 B663 B664 B672 B679 B686" showDropDown="0" showInputMessage="0" showErrorMessage="0" allowBlank="1" errorTitle="Confira o valor" error="Valor fora da faixa esperada (0 a 1000000000000.0)." type="whole" errorStyle="warning" operator="between">
      <formula1>0</formula1>
      <formula2>1000000000000.0</formula2>
    </dataValidation>
    <dataValidation sqref="B29 B30 B31 B33 B34 B38 B41 B44 B47 B50 B165 B173 B181 B189 B197 B205 B213 B221 B229 B237 B305 B316 B327 B338 B349 B360 B371 B382 B393 B404 B415 B426 B437 B448 B459 B470 B481 B492 B503 B514 B525 B536 B547 B558 B569 B580 B591 B602 B635 B648 B661" showDropDown="0" showInputMessage="0" showErrorMessage="0" allowBlank="1" errorTitle="Confira o valor" error="Valor fora da faixa esperada (1 a 1000000000000.0)." type="whole" errorStyle="warning" operator="between">
      <formula1>1</formula1>
      <formula2>1000000000000.0</formula2>
    </dataValidation>
    <dataValidation sqref="B53" showDropDown="0" showInputMessage="0" showErrorMessage="0" allowBlank="1" errorTitle="Valor inválido" error="Escolha um valor da lista." type="list">
      <formula1>"anuncios,populacao,mercado,outro"</formula1>
    </dataValidation>
    <dataValidation sqref="B124 B132 B140 B148 B156" showDropDown="0" showInputMessage="0" showErrorMessage="0" allowBlank="1" errorTitle="Confira o valor" error="Valor fora da faixa esperada (1 a 12)." type="whole" errorStyle="warning" operator="between">
      <formula1>1</formula1>
      <formula2>12</formula2>
    </dataValidation>
    <dataValidation sqref="B126 B134 B142 B150 B158" showDropDown="0" showInputMessage="0" showErrorMessage="0" allowBlank="1" errorTitle="Valor inválido" error="Escolha um valor da lista." type="list">
      <formula1>"imediato,concentrado"</formula1>
    </dataValidation>
    <dataValidation sqref="B163 B171 B179 B187 B195 B203 B211 B219 B227 B235" showDropDown="0" showInputMessage="0" showErrorMessage="0" allowBlank="1" errorTitle="Valor inválido" error="Escolha um valor da lista." type="list">
      <formula1>"Entrada,Parcelamento"</formula1>
    </dataValidation>
    <dataValidation sqref="B299 B310 B332 B343 B354 B365 B376 B387 B398 B409 B420 B431 B442 B453 B464 B475 B486 B497 B508 B519 B530 B541 B552 B563 B574 B585 B596" showDropDown="0" showInputMessage="0" showErrorMessage="0" allowBlank="1" errorTitle="Valor inválido" error="Escolha um valor da lista." type="list">
      <formula1>"rs,rs_m2_priv,rs_m2_terreno,pct_vgv,pct_obra,pct_recebido,pct_constr"</formula1>
    </dataValidation>
    <dataValidation sqref="B301 B312 B323 B334 B345 B356 B367 B378 B389 B400 B411 B422 B433 B444 B455 B466 B477 B488 B499 B510 B521 B532 B543 B554 B565 B576 B587 B598" showDropDown="0" showInputMessage="0" showErrorMessage="0" allowBlank="1" errorTitle="Confira o valor" error="Valor fora da faixa esperada (0 a 10)." type="decimal" errorStyle="warning" operator="between">
      <formula1>0</formula1>
      <formula2>10</formula2>
    </dataValidation>
    <dataValidation sqref="B302 B313 B324 B335 B346 B357 B368 B379 B390 B401 B412 B423 B434 B445 B456 B467 B478 B489 B500 B511 B522 B533 B544 B555 B566 B577 B588 B599" showDropDown="0" showInputMessage="0" showErrorMessage="0" allowBlank="1" errorTitle="Confira o valor" error="Valor fora da lista de referência — confirme." type="list" errorStyle="warning">
      <formula1>$F$914:$F$917</formula1>
    </dataValidation>
    <dataValidation sqref="B303 B314 B325 B336 B347 B358 B369 B380 B391 B402 B413 B424 B435 B446 B457 B468 B479 B490 B501 B512 B523 B534 B545 B556 B567 B578 B589 B600 B632 B645 B658 B671 B678 B685" showDropDown="0" showInputMessage="0" showErrorMessage="0" allowBlank="1" errorTitle="Confira o valor" error="Valor fora da lista de referência — confirme." type="list" errorStyle="warning">
      <formula1>$F$907:$F$912</formula1>
    </dataValidation>
    <dataValidation sqref="B329 B340 B351 B362 B373 B384 B395 B406 B417 B428 B439 B450 B461 B472 B483 B494 B505 B516 B527 B538 B549 B560 B571 B582 B593" showDropDown="0" showInputMessage="0" showErrorMessage="0" allowBlank="1" errorTitle="Valor inválido" error="Escolha um valor da lista." type="list">
      <formula1>"terreno,obra,diretos,indireto,financeiro"</formula1>
    </dataValidation>
    <dataValidation sqref="B330 B341 B352 B363 B374 B385 B396 B407 B418 B429 B440 B451 B462 B473 B484 B495 B506 B517 B528 B539 B550 B561 B572 B583 B594" showDropDown="0" showInputMessage="0" showErrorMessage="0" allowBlank="1" errorTitle="Confira o valor" error="Valor fora da lista de referência — confirme." type="list" errorStyle="warning">
      <formula1>$F$886:$F$905</formula1>
    </dataValidation>
    <dataValidation sqref="B609 B614" showDropDown="0" showInputMessage="0" showErrorMessage="0" allowBlank="1" errorTitle="Valor inválido" error="Escolha um valor da lista." type="list">
      <formula1>"rs,pct_vgv"</formula1>
    </dataValidation>
    <dataValidation sqref="B673 B680 B687" showDropDown="0" showInputMessage="0" showErrorMessage="0" allowBlank="1" errorTitle="Valor inválido" error="Escolha um valor da lista." type="list">
      <formula1>"permuta_financeira,resultado_final"</formula1>
    </dataValidation>
    <dataValidation sqref="B691 B692 B694 B695 B697 B698 B700 B701 B703 B704" showDropDown="0" showInputMessage="0" showErrorMessage="0" allowBlank="1" errorTitle="Confira o valor" error="Valor fora da faixa esperada (-1 a 10)." type="decimal" errorStyle="warning" operator="between">
      <formula1>-1</formula1>
      <formula2>10</formula2>
    </dataValidation>
  </dataValidation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2026-10-13T22:15:28Z</dcterms:created>
  <dcterms:modified xmlns:dcterms="http://purl.org/dc/terms/" xmlns:xsi="http://www.w3.org/2001/XMLSchema-instance" xsi:type="dcterms:W3CDTF">2026-10-13T22:15:28Z</dcterms:modified>
</cp:coreProperties>
</file>