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48"/>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c r="C17" s="7" t="inlineStr">
        <is>
          <t>índice (x)</t>
        </is>
      </c>
      <c r="D17" s="8" t="inlineStr">
        <is>
          <t>estudos.coef_aproveitamento_basico</t>
        </is>
      </c>
    </row>
    <row r="18">
      <c r="A18" s="5" t="inlineStr">
        <is>
          <t>Coeficiente de aproveitamento máximo (informativo)</t>
        </is>
      </c>
      <c r="B18" s="11" t="n"/>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c r="C21" s="7" t="inlineStr">
        <is>
          <t>% a.a. (0 a 999,99; vale p/ todos os grupos)</t>
        </is>
      </c>
      <c r="D21" s="8" t="inlineStr">
        <is>
          <t>estudos.juros_tabela_aa_padrao</t>
        </is>
      </c>
    </row>
    <row r="22">
      <c r="A22" s="5" t="inlineStr">
        <is>
          <t>Taxa de desconto p/ VP *</t>
        </is>
      </c>
      <c r="B22" s="12" t="n"/>
      <c r="C22" s="7" t="inlineStr">
        <is>
          <t>% a.a. (0 a 100)</t>
        </is>
      </c>
      <c r="D22" s="8" t="inlineStr">
        <is>
          <t>estudos.taxa_desconto_aa</t>
        </is>
      </c>
    </row>
    <row r="23">
      <c r="A23" s="5" t="inlineStr">
        <is>
          <t>Corretagem incide sobre a permuta física *</t>
        </is>
      </c>
      <c r="B23" s="6" t="n"/>
      <c r="C23" s="7" t="inlineStr">
        <is>
          <t>Sim/Não</t>
        </is>
      </c>
      <c r="D23" s="8" t="inlineStr">
        <is>
          <t>estudos.corretagem_sobre_permuta_fisica</t>
        </is>
      </c>
    </row>
    <row r="24">
      <c r="A24" s="5" t="inlineStr">
        <is>
          <t>RET (Regime Especial de Tributação) *</t>
        </is>
      </c>
      <c r="B24" s="6" t="n"/>
      <c r="C24" s="7" t="inlineStr">
        <is>
          <t>Sim/Não (único imposto aplicado pelo Avançado)</t>
        </is>
      </c>
      <c r="D24" s="8" t="inlineStr">
        <is>
          <t>parametros.considerar_ret</t>
        </is>
      </c>
    </row>
    <row r="25">
      <c r="A25" s="5" t="inlineStr">
        <is>
          <t>Alíquota RET *</t>
        </is>
      </c>
      <c r="B25" s="12" t="n"/>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c r="C28" s="7" t="inlineStr">
        <is>
          <t>data (mês/ano) — mês 0 do fluxo</t>
        </is>
      </c>
      <c r="D28" s="8" t="inlineStr">
        <is>
          <t>parametros.data_inicio_projeto</t>
        </is>
      </c>
    </row>
    <row r="29">
      <c r="A29" s="5" t="inlineStr">
        <is>
          <t>Este empreendimento tem Pré-lançamento *</t>
        </is>
      </c>
      <c r="B29" s="6" t="n"/>
      <c r="C29" s="7" t="inlineStr">
        <is>
          <t>Sim/Não</t>
        </is>
      </c>
      <c r="D29" s="8" t="inlineStr">
        <is>
          <t>parametros.tem_pre_lancamento</t>
        </is>
      </c>
    </row>
    <row r="30">
      <c r="A30" s="5" t="inlineStr">
        <is>
          <t>Planejamento — Início *</t>
        </is>
      </c>
      <c r="B30" s="15" t="n"/>
      <c r="C30" s="7" t="inlineStr">
        <is>
          <t>mês (inteiro ≥ 0; 0 = início)</t>
        </is>
      </c>
      <c r="D30" s="8" t="inlineStr">
        <is>
          <t>cronograma.planejamento.inicio_mes</t>
        </is>
      </c>
    </row>
    <row r="31">
      <c r="A31" s="5" t="inlineStr">
        <is>
          <t>Planejamento — Duração *</t>
        </is>
      </c>
      <c r="B31" s="15" t="n"/>
      <c r="C31" s="7" t="inlineStr">
        <is>
          <t>meses (inteiro ≥ 1)</t>
        </is>
      </c>
      <c r="D31" s="8" t="inlineStr">
        <is>
          <t>cronograma.planejamento.duracao_meses</t>
        </is>
      </c>
    </row>
    <row r="32">
      <c r="A32" s="5" t="inlineStr">
        <is>
          <t>Pré-lançamento — Duração (só se tiver pré)</t>
        </is>
      </c>
      <c r="B32" s="15" t="n"/>
      <c r="C32" s="7" t="inlineStr">
        <is>
          <t>meses (inteiro ≥ 1)</t>
        </is>
      </c>
      <c r="D32" s="8" t="inlineStr">
        <is>
          <t>cronograma.pre_lancamento.duracao_meses</t>
        </is>
      </c>
    </row>
    <row r="33">
      <c r="A33" s="5" t="inlineStr">
        <is>
          <t>Lançamento — Duração *</t>
        </is>
      </c>
      <c r="B33" s="15" t="n"/>
      <c r="C33" s="7" t="inlineStr">
        <is>
          <t>meses (inteiro ≥ 1)</t>
        </is>
      </c>
      <c r="D33" s="8" t="inlineStr">
        <is>
          <t>cronograma.lancamento.duracao_meses</t>
        </is>
      </c>
    </row>
    <row r="34">
      <c r="A34" s="5" t="inlineStr">
        <is>
          <t>Obra — Início *</t>
        </is>
      </c>
      <c r="B34" s="15" t="n"/>
      <c r="C34" s="7" t="inlineStr">
        <is>
          <t>mês (inteiro ≥ 0)</t>
        </is>
      </c>
      <c r="D34" s="8" t="inlineStr">
        <is>
          <t>cronograma.obra.inicio_mes</t>
        </is>
      </c>
    </row>
    <row r="35">
      <c r="A35" s="5" t="inlineStr">
        <is>
          <t>Obra — Duração *</t>
        </is>
      </c>
      <c r="B35" s="15" t="n"/>
      <c r="C35" s="7" t="inlineStr">
        <is>
          <t>meses (inteiro ≥ 1)</t>
        </is>
      </c>
      <c r="D35" s="8" t="inlineStr">
        <is>
          <t>cronograma.obra.duracao_meses</t>
        </is>
      </c>
    </row>
    <row r="36">
      <c r="A36" s="5" t="inlineStr">
        <is>
          <t>Pós-obras — Duração *</t>
        </is>
      </c>
      <c r="B36" s="15" t="n"/>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n"/>
      <c r="C38" s="7" t="inlineStr">
        <is>
          <t>texto</t>
        </is>
      </c>
      <c r="D38" s="8" t="inlineStr">
        <is>
          <t>fases[1].nome</t>
        </is>
      </c>
    </row>
    <row r="39">
      <c r="A39" s="5" t="inlineStr">
        <is>
          <t>Fase 1 — Início</t>
        </is>
      </c>
      <c r="B39" s="15" t="n"/>
      <c r="C39" s="7" t="inlineStr">
        <is>
          <t>mês (inteiro ≥ 0)</t>
        </is>
      </c>
      <c r="D39" s="8" t="inlineStr">
        <is>
          <t>fases[1].inicio_mes</t>
        </is>
      </c>
    </row>
    <row r="40">
      <c r="A40" s="5" t="inlineStr">
        <is>
          <t>Fase 1 — Duração</t>
        </is>
      </c>
      <c r="B40" s="15" t="n"/>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n"/>
      <c r="C59" s="7" t="inlineStr">
        <is>
          <t>texto (até 100)</t>
        </is>
      </c>
      <c r="D59" s="8" t="inlineStr">
        <is>
          <t>tipologias[1].nome</t>
        </is>
      </c>
    </row>
    <row r="60">
      <c r="A60" s="5" t="inlineStr">
        <is>
          <t>Tipologia 1 — Tipo</t>
        </is>
      </c>
      <c r="B60" s="6" t="n"/>
      <c r="C60" s="7" t="inlineStr">
        <is>
          <t>lista: apartamento | cobertura | loja | outro</t>
        </is>
      </c>
      <c r="D60" s="8" t="inlineStr">
        <is>
          <t>tipologias[1].tipo_unidade</t>
        </is>
      </c>
    </row>
    <row r="61">
      <c r="A61" s="5" t="inlineStr">
        <is>
          <t>Tipologia 1 — Área privativa (fechada)</t>
        </is>
      </c>
      <c r="B61" s="10" t="n"/>
      <c r="C61" s="7" t="inlineStr">
        <is>
          <t>m²</t>
        </is>
      </c>
      <c r="D61" s="8" t="inlineStr">
        <is>
          <t>tipologias[1].area_privativa_m2</t>
        </is>
      </c>
    </row>
    <row r="62">
      <c r="A62" s="5" t="inlineStr">
        <is>
          <t>Tipologia 1 — Área aberta</t>
        </is>
      </c>
      <c r="B62" s="10" t="n"/>
      <c r="C62" s="7" t="inlineStr">
        <is>
          <t>m² (entra no VGV)</t>
        </is>
      </c>
      <c r="D62" s="8" t="inlineStr">
        <is>
          <t>tipologias[1].area_privativa_aberta_m2</t>
        </is>
      </c>
    </row>
    <row r="63">
      <c r="A63" s="5" t="inlineStr">
        <is>
          <t>Tipologia 1 — Dormitórios</t>
        </is>
      </c>
      <c r="B63" s="15" t="n"/>
      <c r="C63" s="7" t="inlineStr">
        <is>
          <t>inteiro</t>
        </is>
      </c>
      <c r="D63" s="8" t="inlineStr">
        <is>
          <t>tipologias[1].dormitorios</t>
        </is>
      </c>
    </row>
    <row r="64">
      <c r="A64" s="5" t="inlineStr">
        <is>
          <t>Tipologia 1 — Vagas</t>
        </is>
      </c>
      <c r="B64" s="15" t="n"/>
      <c r="C64" s="7" t="inlineStr">
        <is>
          <t>inteiro</t>
        </is>
      </c>
      <c r="D64" s="8" t="inlineStr">
        <is>
          <t>tipologias[1].vagas</t>
        </is>
      </c>
    </row>
    <row r="65">
      <c r="A65" s="5" t="inlineStr">
        <is>
          <t>Tipologia 1 — Unidades</t>
        </is>
      </c>
      <c r="B65" s="15" t="n"/>
      <c r="C65" s="7" t="inlineStr">
        <is>
          <t>unidades (inteiro &gt; 0)</t>
        </is>
      </c>
      <c r="D65" s="8" t="inlineStr">
        <is>
          <t>tipologias[1].quantidade</t>
        </is>
      </c>
    </row>
    <row r="66">
      <c r="A66" s="5" t="inlineStr">
        <is>
          <t>Tipologia 1 — Preço/m² sugerido</t>
        </is>
      </c>
      <c r="B66" s="17" t="n"/>
      <c r="C66" s="7" t="inlineStr">
        <is>
          <t>R$/m² (preço padrão da alocação)</t>
        </is>
      </c>
      <c r="D66" s="8" t="inlineStr">
        <is>
          <t>tipologias[1].preco_m2</t>
        </is>
      </c>
    </row>
    <row r="67">
      <c r="A67" s="16" t="inlineStr">
        <is>
          <t>Tipologia 2</t>
        </is>
      </c>
    </row>
    <row r="68">
      <c r="A68" s="5" t="inlineStr">
        <is>
          <t>Tipologia 2 — Nome</t>
        </is>
      </c>
      <c r="B68" s="6" t="n"/>
      <c r="C68" s="7" t="inlineStr">
        <is>
          <t>texto (até 100)</t>
        </is>
      </c>
      <c r="D68" s="8" t="inlineStr">
        <is>
          <t>tipologias[2].nome</t>
        </is>
      </c>
    </row>
    <row r="69">
      <c r="A69" s="5" t="inlineStr">
        <is>
          <t>Tipologia 2 — Tipo</t>
        </is>
      </c>
      <c r="B69" s="6" t="n"/>
      <c r="C69" s="7" t="inlineStr">
        <is>
          <t>lista: apartamento | cobertura | loja | outro</t>
        </is>
      </c>
      <c r="D69" s="8" t="inlineStr">
        <is>
          <t>tipologias[2].tipo_unidade</t>
        </is>
      </c>
    </row>
    <row r="70">
      <c r="A70" s="5" t="inlineStr">
        <is>
          <t>Tipologia 2 — Área privativa (fechada)</t>
        </is>
      </c>
      <c r="B70" s="10" t="n"/>
      <c r="C70" s="7" t="inlineStr">
        <is>
          <t>m²</t>
        </is>
      </c>
      <c r="D70" s="8" t="inlineStr">
        <is>
          <t>tipologias[2].area_privativa_m2</t>
        </is>
      </c>
    </row>
    <row r="71">
      <c r="A71" s="5" t="inlineStr">
        <is>
          <t>Tipologia 2 — Área aberta</t>
        </is>
      </c>
      <c r="B71" s="10" t="n"/>
      <c r="C71" s="7" t="inlineStr">
        <is>
          <t>m² (entra no VGV)</t>
        </is>
      </c>
      <c r="D71" s="8" t="inlineStr">
        <is>
          <t>tipologias[2].area_privativa_aberta_m2</t>
        </is>
      </c>
    </row>
    <row r="72">
      <c r="A72" s="5" t="inlineStr">
        <is>
          <t>Tipologia 2 — Dormitórios</t>
        </is>
      </c>
      <c r="B72" s="15" t="n"/>
      <c r="C72" s="7" t="inlineStr">
        <is>
          <t>inteiro</t>
        </is>
      </c>
      <c r="D72" s="8" t="inlineStr">
        <is>
          <t>tipologias[2].dormitorios</t>
        </is>
      </c>
    </row>
    <row r="73">
      <c r="A73" s="5" t="inlineStr">
        <is>
          <t>Tipologia 2 — Vagas</t>
        </is>
      </c>
      <c r="B73" s="15" t="n"/>
      <c r="C73" s="7" t="inlineStr">
        <is>
          <t>inteiro</t>
        </is>
      </c>
      <c r="D73" s="8" t="inlineStr">
        <is>
          <t>tipologias[2].vagas</t>
        </is>
      </c>
    </row>
    <row r="74">
      <c r="A74" s="5" t="inlineStr">
        <is>
          <t>Tipologia 2 — Unidades</t>
        </is>
      </c>
      <c r="B74" s="15" t="n"/>
      <c r="C74" s="7" t="inlineStr">
        <is>
          <t>unidades (inteiro &gt; 0)</t>
        </is>
      </c>
      <c r="D74" s="8" t="inlineStr">
        <is>
          <t>tipologias[2].quantidade</t>
        </is>
      </c>
    </row>
    <row r="75">
      <c r="A75" s="5" t="inlineStr">
        <is>
          <t>Tipologia 2 — Preço/m² sugerido</t>
        </is>
      </c>
      <c r="B75" s="17" t="n"/>
      <c r="C75" s="7" t="inlineStr">
        <is>
          <t>R$/m² (preço padrão da alocação)</t>
        </is>
      </c>
      <c r="D75" s="8" t="inlineStr">
        <is>
          <t>tipologias[2].preco_m2</t>
        </is>
      </c>
    </row>
    <row r="76">
      <c r="A76" s="16" t="inlineStr">
        <is>
          <t>Tipologia 3</t>
        </is>
      </c>
    </row>
    <row r="77">
      <c r="A77" s="5" t="inlineStr">
        <is>
          <t>Tipologia 3 — Nome</t>
        </is>
      </c>
      <c r="B77" s="6" t="n"/>
      <c r="C77" s="7" t="inlineStr">
        <is>
          <t>texto (até 100)</t>
        </is>
      </c>
      <c r="D77" s="8" t="inlineStr">
        <is>
          <t>tipologias[3].nome</t>
        </is>
      </c>
    </row>
    <row r="78">
      <c r="A78" s="5" t="inlineStr">
        <is>
          <t>Tipologia 3 — Tipo</t>
        </is>
      </c>
      <c r="B78" s="6" t="n"/>
      <c r="C78" s="7" t="inlineStr">
        <is>
          <t>lista: apartamento | cobertura | loja | outro</t>
        </is>
      </c>
      <c r="D78" s="8" t="inlineStr">
        <is>
          <t>tipologias[3].tipo_unidade</t>
        </is>
      </c>
    </row>
    <row r="79">
      <c r="A79" s="5" t="inlineStr">
        <is>
          <t>Tipologia 3 — Área privativa (fechada)</t>
        </is>
      </c>
      <c r="B79" s="10" t="n"/>
      <c r="C79" s="7" t="inlineStr">
        <is>
          <t>m²</t>
        </is>
      </c>
      <c r="D79" s="8" t="inlineStr">
        <is>
          <t>tipologias[3].area_privativa_m2</t>
        </is>
      </c>
    </row>
    <row r="80">
      <c r="A80" s="5" t="inlineStr">
        <is>
          <t>Tipologia 3 — Área aberta</t>
        </is>
      </c>
      <c r="B80" s="10" t="n"/>
      <c r="C80" s="7" t="inlineStr">
        <is>
          <t>m² (entra no VGV)</t>
        </is>
      </c>
      <c r="D80" s="8" t="inlineStr">
        <is>
          <t>tipologias[3].area_privativa_aberta_m2</t>
        </is>
      </c>
    </row>
    <row r="81">
      <c r="A81" s="5" t="inlineStr">
        <is>
          <t>Tipologia 3 — Dormitórios</t>
        </is>
      </c>
      <c r="B81" s="15" t="n"/>
      <c r="C81" s="7" t="inlineStr">
        <is>
          <t>inteiro</t>
        </is>
      </c>
      <c r="D81" s="8" t="inlineStr">
        <is>
          <t>tipologias[3].dormitorios</t>
        </is>
      </c>
    </row>
    <row r="82">
      <c r="A82" s="5" t="inlineStr">
        <is>
          <t>Tipologia 3 — Vagas</t>
        </is>
      </c>
      <c r="B82" s="15" t="n"/>
      <c r="C82" s="7" t="inlineStr">
        <is>
          <t>inteiro</t>
        </is>
      </c>
      <c r="D82" s="8" t="inlineStr">
        <is>
          <t>tipologias[3].vagas</t>
        </is>
      </c>
    </row>
    <row r="83">
      <c r="A83" s="5" t="inlineStr">
        <is>
          <t>Tipologia 3 — Unidades</t>
        </is>
      </c>
      <c r="B83" s="15" t="n"/>
      <c r="C83" s="7" t="inlineStr">
        <is>
          <t>unidades (inteiro &gt; 0)</t>
        </is>
      </c>
      <c r="D83" s="8" t="inlineStr">
        <is>
          <t>tipologias[3].quantidade</t>
        </is>
      </c>
    </row>
    <row r="84">
      <c r="A84" s="5" t="inlineStr">
        <is>
          <t>Tipologia 3 — Preço/m² sugerido</t>
        </is>
      </c>
      <c r="B84" s="17" t="n"/>
      <c r="C84" s="7" t="inlineStr">
        <is>
          <t>R$/m² (preço padrão da alocação)</t>
        </is>
      </c>
      <c r="D84" s="8" t="inlineStr">
        <is>
          <t>tipologias[3].preco_m2</t>
        </is>
      </c>
    </row>
    <row r="85">
      <c r="A85" s="16" t="inlineStr">
        <is>
          <t>Tipologia 4</t>
        </is>
      </c>
    </row>
    <row r="86">
      <c r="A86" s="5" t="inlineStr">
        <is>
          <t>Tipologia 4 — Nome</t>
        </is>
      </c>
      <c r="B86" s="6" t="n"/>
      <c r="C86" s="7" t="inlineStr">
        <is>
          <t>texto (até 100)</t>
        </is>
      </c>
      <c r="D86" s="8" t="inlineStr">
        <is>
          <t>tipologias[4].nome</t>
        </is>
      </c>
    </row>
    <row r="87">
      <c r="A87" s="5" t="inlineStr">
        <is>
          <t>Tipologia 4 — Tipo</t>
        </is>
      </c>
      <c r="B87" s="6" t="n"/>
      <c r="C87" s="7" t="inlineStr">
        <is>
          <t>lista: apartamento | cobertura | loja | outro</t>
        </is>
      </c>
      <c r="D87" s="8" t="inlineStr">
        <is>
          <t>tipologias[4].tipo_unidade</t>
        </is>
      </c>
    </row>
    <row r="88">
      <c r="A88" s="5" t="inlineStr">
        <is>
          <t>Tipologia 4 — Área privativa (fechada)</t>
        </is>
      </c>
      <c r="B88" s="10" t="n"/>
      <c r="C88" s="7" t="inlineStr">
        <is>
          <t>m²</t>
        </is>
      </c>
      <c r="D88" s="8" t="inlineStr">
        <is>
          <t>tipologias[4].area_privativa_m2</t>
        </is>
      </c>
    </row>
    <row r="89">
      <c r="A89" s="5" t="inlineStr">
        <is>
          <t>Tipologia 4 — Área aberta</t>
        </is>
      </c>
      <c r="B89" s="10" t="n"/>
      <c r="C89" s="7" t="inlineStr">
        <is>
          <t>m² (entra no VGV)</t>
        </is>
      </c>
      <c r="D89" s="8" t="inlineStr">
        <is>
          <t>tipologias[4].area_privativa_aberta_m2</t>
        </is>
      </c>
    </row>
    <row r="90">
      <c r="A90" s="5" t="inlineStr">
        <is>
          <t>Tipologia 4 — Dormitórios</t>
        </is>
      </c>
      <c r="B90" s="15" t="n"/>
      <c r="C90" s="7" t="inlineStr">
        <is>
          <t>inteiro</t>
        </is>
      </c>
      <c r="D90" s="8" t="inlineStr">
        <is>
          <t>tipologias[4].dormitorios</t>
        </is>
      </c>
    </row>
    <row r="91">
      <c r="A91" s="5" t="inlineStr">
        <is>
          <t>Tipologia 4 — Vagas</t>
        </is>
      </c>
      <c r="B91" s="15" t="n"/>
      <c r="C91" s="7" t="inlineStr">
        <is>
          <t>inteiro</t>
        </is>
      </c>
      <c r="D91" s="8" t="inlineStr">
        <is>
          <t>tipologias[4].vagas</t>
        </is>
      </c>
    </row>
    <row r="92">
      <c r="A92" s="5" t="inlineStr">
        <is>
          <t>Tipologia 4 — Unidades</t>
        </is>
      </c>
      <c r="B92" s="15" t="n"/>
      <c r="C92" s="7" t="inlineStr">
        <is>
          <t>unidades (inteiro &gt; 0)</t>
        </is>
      </c>
      <c r="D92" s="8" t="inlineStr">
        <is>
          <t>tipologias[4].quantidade</t>
        </is>
      </c>
    </row>
    <row r="93">
      <c r="A93" s="5" t="inlineStr">
        <is>
          <t>Tipologia 4 — Preço/m² sugerido</t>
        </is>
      </c>
      <c r="B93" s="17" t="n"/>
      <c r="C93" s="7" t="inlineStr">
        <is>
          <t>R$/m² (preço padrão da alocação)</t>
        </is>
      </c>
      <c r="D93" s="8" t="inlineStr">
        <is>
          <t>tipologias[4].preco_m2</t>
        </is>
      </c>
    </row>
    <row r="94">
      <c r="A94" s="16" t="inlineStr">
        <is>
          <t>Tipologia 5</t>
        </is>
      </c>
    </row>
    <row r="95">
      <c r="A95" s="5" t="inlineStr">
        <is>
          <t>Tipologia 5 — Nome</t>
        </is>
      </c>
      <c r="B95" s="6" t="n"/>
      <c r="C95" s="7" t="inlineStr">
        <is>
          <t>texto (até 100)</t>
        </is>
      </c>
      <c r="D95" s="8" t="inlineStr">
        <is>
          <t>tipologias[5].nome</t>
        </is>
      </c>
    </row>
    <row r="96">
      <c r="A96" s="5" t="inlineStr">
        <is>
          <t>Tipologia 5 — Tipo</t>
        </is>
      </c>
      <c r="B96" s="6" t="n"/>
      <c r="C96" s="7" t="inlineStr">
        <is>
          <t>lista: apartamento | cobertura | loja | outro</t>
        </is>
      </c>
      <c r="D96" s="8" t="inlineStr">
        <is>
          <t>tipologias[5].tipo_unidade</t>
        </is>
      </c>
    </row>
    <row r="97">
      <c r="A97" s="5" t="inlineStr">
        <is>
          <t>Tipologia 5 — Área privativa (fechada)</t>
        </is>
      </c>
      <c r="B97" s="10" t="n"/>
      <c r="C97" s="7" t="inlineStr">
        <is>
          <t>m²</t>
        </is>
      </c>
      <c r="D97" s="8" t="inlineStr">
        <is>
          <t>tipologias[5].area_privativa_m2</t>
        </is>
      </c>
    </row>
    <row r="98">
      <c r="A98" s="5" t="inlineStr">
        <is>
          <t>Tipologia 5 — Área aberta</t>
        </is>
      </c>
      <c r="B98" s="10" t="n"/>
      <c r="C98" s="7" t="inlineStr">
        <is>
          <t>m² (entra no VGV)</t>
        </is>
      </c>
      <c r="D98" s="8" t="inlineStr">
        <is>
          <t>tipologias[5].area_privativa_aberta_m2</t>
        </is>
      </c>
    </row>
    <row r="99">
      <c r="A99" s="5" t="inlineStr">
        <is>
          <t>Tipologia 5 — Dormitórios</t>
        </is>
      </c>
      <c r="B99" s="15" t="n"/>
      <c r="C99" s="7" t="inlineStr">
        <is>
          <t>inteiro</t>
        </is>
      </c>
      <c r="D99" s="8" t="inlineStr">
        <is>
          <t>tipologias[5].dormitorios</t>
        </is>
      </c>
    </row>
    <row r="100">
      <c r="A100" s="5" t="inlineStr">
        <is>
          <t>Tipologia 5 — Vagas</t>
        </is>
      </c>
      <c r="B100" s="15" t="n"/>
      <c r="C100" s="7" t="inlineStr">
        <is>
          <t>inteiro</t>
        </is>
      </c>
      <c r="D100" s="8" t="inlineStr">
        <is>
          <t>tipologias[5].vagas</t>
        </is>
      </c>
    </row>
    <row r="101">
      <c r="A101" s="5" t="inlineStr">
        <is>
          <t>Tipologia 5 — Unidades</t>
        </is>
      </c>
      <c r="B101" s="15" t="n"/>
      <c r="C101" s="7" t="inlineStr">
        <is>
          <t>unidades (inteiro &gt; 0)</t>
        </is>
      </c>
      <c r="D101" s="8" t="inlineStr">
        <is>
          <t>tipologias[5].quantidade</t>
        </is>
      </c>
    </row>
    <row r="102">
      <c r="A102" s="5" t="inlineStr">
        <is>
          <t>Tipologia 5 — Preço/m² sugerido</t>
        </is>
      </c>
      <c r="B102" s="17" t="n"/>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n"/>
      <c r="C151" s="7" t="inlineStr">
        <is>
          <t>texto</t>
        </is>
      </c>
      <c r="D151" s="8" t="inlineStr">
        <is>
          <t>grupos[1].nome</t>
        </is>
      </c>
    </row>
    <row r="152">
      <c r="A152" s="5" t="inlineStr">
        <is>
          <t>Grupo 1 — Absorção no Pré-lançamento (só com pré)</t>
        </is>
      </c>
      <c r="B152" s="12" t="n"/>
      <c r="C152" s="7" t="inlineStr">
        <is>
          <t>% das unidades</t>
        </is>
      </c>
      <c r="D152" s="8" t="inlineStr">
        <is>
          <t>grupos[1].pre_lancamento_pct</t>
        </is>
      </c>
    </row>
    <row r="153">
      <c r="A153" s="5" t="inlineStr">
        <is>
          <t>Grupo 1 — Absorção no Lançamento</t>
        </is>
      </c>
      <c r="B153" s="12" t="n"/>
      <c r="C153" s="7" t="inlineStr">
        <is>
          <t>% das unidades</t>
        </is>
      </c>
      <c r="D153" s="8" t="inlineStr">
        <is>
          <t>grupos[1].lancamento_pct</t>
        </is>
      </c>
    </row>
    <row r="154">
      <c r="A154" s="5" t="inlineStr">
        <is>
          <t>Grupo 1 — Absorção Durante a obra</t>
        </is>
      </c>
      <c r="B154" s="12" t="n"/>
      <c r="C154" s="7" t="inlineStr">
        <is>
          <t>% das unidades</t>
        </is>
      </c>
      <c r="D154" s="8" t="inlineStr">
        <is>
          <t>grupos[1].obra_pct</t>
        </is>
      </c>
    </row>
    <row r="155">
      <c r="A155" s="5" t="inlineStr">
        <is>
          <t>Grupo 1 — Janela pós-chaves</t>
        </is>
      </c>
      <c r="B155" s="15" t="n"/>
      <c r="C155" s="7" t="inlineStr">
        <is>
          <t>meses (1 a 12)</t>
        </is>
      </c>
      <c r="D155" s="8" t="inlineStr">
        <is>
          <t>grupos[1].pos_chaves_meses</t>
        </is>
      </c>
    </row>
    <row r="156">
      <c r="A156" s="5" t="inlineStr">
        <is>
          <t>Grupo 1 — Correção de estoque</t>
        </is>
      </c>
      <c r="B156" s="6" t="n"/>
      <c r="C156" s="7" t="inlineStr">
        <is>
          <t>Sim/Não</t>
        </is>
      </c>
      <c r="D156" s="8" t="inlineStr">
        <is>
          <t>grupos[1].correcao_estoque</t>
        </is>
      </c>
    </row>
    <row r="157">
      <c r="A157" s="5" t="inlineStr">
        <is>
          <t>Grupo 1 — Resíduo sem prazo</t>
        </is>
      </c>
      <c r="B157" s="6" t="n"/>
      <c r="C157" s="7" t="inlineStr">
        <is>
          <t>lista: imediato | concentrado</t>
        </is>
      </c>
      <c r="D157" s="8" t="inlineStr">
        <is>
          <t>grupos[1].residuo_sem_prazo</t>
        </is>
      </c>
    </row>
    <row r="158">
      <c r="A158" s="16" t="inlineStr">
        <is>
          <t>Grupo de venda 2</t>
        </is>
      </c>
    </row>
    <row r="159">
      <c r="A159" s="5" t="inlineStr">
        <is>
          <t>Grupo 2 — Nome</t>
        </is>
      </c>
      <c r="B159" s="6" t="n"/>
      <c r="C159" s="7" t="inlineStr">
        <is>
          <t>texto</t>
        </is>
      </c>
      <c r="D159" s="8" t="inlineStr">
        <is>
          <t>grupos[2].nome</t>
        </is>
      </c>
    </row>
    <row r="160">
      <c r="A160" s="5" t="inlineStr">
        <is>
          <t>Grupo 2 — Absorção no Pré-lançamento (só com pré)</t>
        </is>
      </c>
      <c r="B160" s="12" t="n"/>
      <c r="C160" s="7" t="inlineStr">
        <is>
          <t>% das unidades</t>
        </is>
      </c>
      <c r="D160" s="8" t="inlineStr">
        <is>
          <t>grupos[2].pre_lancamento_pct</t>
        </is>
      </c>
    </row>
    <row r="161">
      <c r="A161" s="5" t="inlineStr">
        <is>
          <t>Grupo 2 — Absorção no Lançamento</t>
        </is>
      </c>
      <c r="B161" s="12" t="n"/>
      <c r="C161" s="7" t="inlineStr">
        <is>
          <t>% das unidades</t>
        </is>
      </c>
      <c r="D161" s="8" t="inlineStr">
        <is>
          <t>grupos[2].lancamento_pct</t>
        </is>
      </c>
    </row>
    <row r="162">
      <c r="A162" s="5" t="inlineStr">
        <is>
          <t>Grupo 2 — Absorção Durante a obra</t>
        </is>
      </c>
      <c r="B162" s="12" t="n"/>
      <c r="C162" s="7" t="inlineStr">
        <is>
          <t>% das unidades</t>
        </is>
      </c>
      <c r="D162" s="8" t="inlineStr">
        <is>
          <t>grupos[2].obra_pct</t>
        </is>
      </c>
    </row>
    <row r="163">
      <c r="A163" s="5" t="inlineStr">
        <is>
          <t>Grupo 2 — Janela pós-chaves</t>
        </is>
      </c>
      <c r="B163" s="15" t="n"/>
      <c r="C163" s="7" t="inlineStr">
        <is>
          <t>meses (1 a 12)</t>
        </is>
      </c>
      <c r="D163" s="8" t="inlineStr">
        <is>
          <t>grupos[2].pos_chaves_meses</t>
        </is>
      </c>
    </row>
    <row r="164">
      <c r="A164" s="5" t="inlineStr">
        <is>
          <t>Grupo 2 — Correção de estoque</t>
        </is>
      </c>
      <c r="B164" s="6" t="n"/>
      <c r="C164" s="7" t="inlineStr">
        <is>
          <t>Sim/Não</t>
        </is>
      </c>
      <c r="D164" s="8" t="inlineStr">
        <is>
          <t>grupos[2].correcao_estoque</t>
        </is>
      </c>
    </row>
    <row r="165">
      <c r="A165" s="5" t="inlineStr">
        <is>
          <t>Grupo 2 — Resíduo sem prazo</t>
        </is>
      </c>
      <c r="B165" s="6" t="n"/>
      <c r="C165" s="7" t="inlineStr">
        <is>
          <t>lista: imediato | concentrado</t>
        </is>
      </c>
      <c r="D165" s="8" t="inlineStr">
        <is>
          <t>grupos[2].residuo_sem_prazo</t>
        </is>
      </c>
    </row>
    <row r="166">
      <c r="A166" s="16" t="inlineStr">
        <is>
          <t>Grupo de venda 3</t>
        </is>
      </c>
    </row>
    <row r="167">
      <c r="A167" s="5" t="inlineStr">
        <is>
          <t>Grupo 3 — Nome</t>
        </is>
      </c>
      <c r="B167" s="6" t="n"/>
      <c r="C167" s="7" t="inlineStr">
        <is>
          <t>texto</t>
        </is>
      </c>
      <c r="D167" s="8" t="inlineStr">
        <is>
          <t>grupos[3].nome</t>
        </is>
      </c>
    </row>
    <row r="168">
      <c r="A168" s="5" t="inlineStr">
        <is>
          <t>Grupo 3 — Absorção no Pré-lançamento (só com pré)</t>
        </is>
      </c>
      <c r="B168" s="12" t="n"/>
      <c r="C168" s="7" t="inlineStr">
        <is>
          <t>% das unidades</t>
        </is>
      </c>
      <c r="D168" s="8" t="inlineStr">
        <is>
          <t>grupos[3].pre_lancamento_pct</t>
        </is>
      </c>
    </row>
    <row r="169">
      <c r="A169" s="5" t="inlineStr">
        <is>
          <t>Grupo 3 — Absorção no Lançamento</t>
        </is>
      </c>
      <c r="B169" s="12" t="n"/>
      <c r="C169" s="7" t="inlineStr">
        <is>
          <t>% das unidades</t>
        </is>
      </c>
      <c r="D169" s="8" t="inlineStr">
        <is>
          <t>grupos[3].lancamento_pct</t>
        </is>
      </c>
    </row>
    <row r="170">
      <c r="A170" s="5" t="inlineStr">
        <is>
          <t>Grupo 3 — Absorção Durante a obra</t>
        </is>
      </c>
      <c r="B170" s="12" t="n"/>
      <c r="C170" s="7" t="inlineStr">
        <is>
          <t>% das unidades</t>
        </is>
      </c>
      <c r="D170" s="8" t="inlineStr">
        <is>
          <t>grupos[3].obra_pct</t>
        </is>
      </c>
    </row>
    <row r="171">
      <c r="A171" s="5" t="inlineStr">
        <is>
          <t>Grupo 3 — Janela pós-chaves</t>
        </is>
      </c>
      <c r="B171" s="15" t="n"/>
      <c r="C171" s="7" t="inlineStr">
        <is>
          <t>meses (1 a 12)</t>
        </is>
      </c>
      <c r="D171" s="8" t="inlineStr">
        <is>
          <t>grupos[3].pos_chaves_meses</t>
        </is>
      </c>
    </row>
    <row r="172">
      <c r="A172" s="5" t="inlineStr">
        <is>
          <t>Grupo 3 — Correção de estoque</t>
        </is>
      </c>
      <c r="B172" s="6" t="n"/>
      <c r="C172" s="7" t="inlineStr">
        <is>
          <t>Sim/Não</t>
        </is>
      </c>
      <c r="D172" s="8" t="inlineStr">
        <is>
          <t>grupos[3].correcao_estoque</t>
        </is>
      </c>
    </row>
    <row r="173">
      <c r="A173" s="5" t="inlineStr">
        <is>
          <t>Grupo 3 — Resíduo sem prazo</t>
        </is>
      </c>
      <c r="B173" s="6" t="n"/>
      <c r="C173" s="7" t="inlineStr">
        <is>
          <t>lista: imediato | concentrado</t>
        </is>
      </c>
      <c r="D173" s="8" t="inlineStr">
        <is>
          <t>grupos[3].residuo_sem_prazo</t>
        </is>
      </c>
    </row>
    <row r="174">
      <c r="A174" s="16" t="inlineStr">
        <is>
          <t>Grupo de venda 4</t>
        </is>
      </c>
    </row>
    <row r="175">
      <c r="A175" s="5" t="inlineStr">
        <is>
          <t>Grupo 4 — Nome</t>
        </is>
      </c>
      <c r="B175" s="6" t="n"/>
      <c r="C175" s="7" t="inlineStr">
        <is>
          <t>texto</t>
        </is>
      </c>
      <c r="D175" s="8" t="inlineStr">
        <is>
          <t>grupos[4].nome</t>
        </is>
      </c>
    </row>
    <row r="176">
      <c r="A176" s="5" t="inlineStr">
        <is>
          <t>Grupo 4 — Absorção no Pré-lançamento (só com pré)</t>
        </is>
      </c>
      <c r="B176" s="12" t="n"/>
      <c r="C176" s="7" t="inlineStr">
        <is>
          <t>% das unidades</t>
        </is>
      </c>
      <c r="D176" s="8" t="inlineStr">
        <is>
          <t>grupos[4].pre_lancamento_pct</t>
        </is>
      </c>
    </row>
    <row r="177">
      <c r="A177" s="5" t="inlineStr">
        <is>
          <t>Grupo 4 — Absorção no Lançamento</t>
        </is>
      </c>
      <c r="B177" s="12" t="n"/>
      <c r="C177" s="7" t="inlineStr">
        <is>
          <t>% das unidades</t>
        </is>
      </c>
      <c r="D177" s="8" t="inlineStr">
        <is>
          <t>grupos[4].lancamento_pct</t>
        </is>
      </c>
    </row>
    <row r="178">
      <c r="A178" s="5" t="inlineStr">
        <is>
          <t>Grupo 4 — Absorção Durante a obra</t>
        </is>
      </c>
      <c r="B178" s="12" t="n"/>
      <c r="C178" s="7" t="inlineStr">
        <is>
          <t>% das unidades</t>
        </is>
      </c>
      <c r="D178" s="8" t="inlineStr">
        <is>
          <t>grupos[4].obra_pct</t>
        </is>
      </c>
    </row>
    <row r="179">
      <c r="A179" s="5" t="inlineStr">
        <is>
          <t>Grupo 4 — Janela pós-chaves</t>
        </is>
      </c>
      <c r="B179" s="15" t="n"/>
      <c r="C179" s="7" t="inlineStr">
        <is>
          <t>meses (1 a 12)</t>
        </is>
      </c>
      <c r="D179" s="8" t="inlineStr">
        <is>
          <t>grupos[4].pos_chaves_meses</t>
        </is>
      </c>
    </row>
    <row r="180">
      <c r="A180" s="5" t="inlineStr">
        <is>
          <t>Grupo 4 — Correção de estoque</t>
        </is>
      </c>
      <c r="B180" s="6" t="n"/>
      <c r="C180" s="7" t="inlineStr">
        <is>
          <t>Sim/Não</t>
        </is>
      </c>
      <c r="D180" s="8" t="inlineStr">
        <is>
          <t>grupos[4].correcao_estoque</t>
        </is>
      </c>
    </row>
    <row r="181">
      <c r="A181" s="5" t="inlineStr">
        <is>
          <t>Grupo 4 — Resíduo sem prazo</t>
        </is>
      </c>
      <c r="B181" s="6" t="n"/>
      <c r="C181" s="7" t="inlineStr">
        <is>
          <t>lista: imediato | concentrado</t>
        </is>
      </c>
      <c r="D181" s="8" t="inlineStr">
        <is>
          <t>grupos[4].residuo_sem_prazo</t>
        </is>
      </c>
    </row>
    <row r="182">
      <c r="A182" s="16" t="inlineStr">
        <is>
          <t>Grupo de venda 5</t>
        </is>
      </c>
    </row>
    <row r="183">
      <c r="A183" s="5" t="inlineStr">
        <is>
          <t>Grupo 5 — Nome</t>
        </is>
      </c>
      <c r="B183" s="6" t="n"/>
      <c r="C183" s="7" t="inlineStr">
        <is>
          <t>texto</t>
        </is>
      </c>
      <c r="D183" s="8" t="inlineStr">
        <is>
          <t>grupos[5].nome</t>
        </is>
      </c>
    </row>
    <row r="184">
      <c r="A184" s="5" t="inlineStr">
        <is>
          <t>Grupo 5 — Absorção no Pré-lançamento (só com pré)</t>
        </is>
      </c>
      <c r="B184" s="12" t="n"/>
      <c r="C184" s="7" t="inlineStr">
        <is>
          <t>% das unidades</t>
        </is>
      </c>
      <c r="D184" s="8" t="inlineStr">
        <is>
          <t>grupos[5].pre_lancamento_pct</t>
        </is>
      </c>
    </row>
    <row r="185">
      <c r="A185" s="5" t="inlineStr">
        <is>
          <t>Grupo 5 — Absorção no Lançamento</t>
        </is>
      </c>
      <c r="B185" s="12" t="n"/>
      <c r="C185" s="7" t="inlineStr">
        <is>
          <t>% das unidades</t>
        </is>
      </c>
      <c r="D185" s="8" t="inlineStr">
        <is>
          <t>grupos[5].lancamento_pct</t>
        </is>
      </c>
    </row>
    <row r="186">
      <c r="A186" s="5" t="inlineStr">
        <is>
          <t>Grupo 5 — Absorção Durante a obra</t>
        </is>
      </c>
      <c r="B186" s="12" t="n"/>
      <c r="C186" s="7" t="inlineStr">
        <is>
          <t>% das unidades</t>
        </is>
      </c>
      <c r="D186" s="8" t="inlineStr">
        <is>
          <t>grupos[5].obra_pct</t>
        </is>
      </c>
    </row>
    <row r="187">
      <c r="A187" s="5" t="inlineStr">
        <is>
          <t>Grupo 5 — Janela pós-chaves</t>
        </is>
      </c>
      <c r="B187" s="15" t="n"/>
      <c r="C187" s="7" t="inlineStr">
        <is>
          <t>meses (1 a 12)</t>
        </is>
      </c>
      <c r="D187" s="8" t="inlineStr">
        <is>
          <t>grupos[5].pos_chaves_meses</t>
        </is>
      </c>
    </row>
    <row r="188">
      <c r="A188" s="5" t="inlineStr">
        <is>
          <t>Grupo 5 — Correção de estoque</t>
        </is>
      </c>
      <c r="B188" s="6" t="n"/>
      <c r="C188" s="7" t="inlineStr">
        <is>
          <t>Sim/Não</t>
        </is>
      </c>
      <c r="D188" s="8" t="inlineStr">
        <is>
          <t>grupos[5].correcao_estoque</t>
        </is>
      </c>
    </row>
    <row r="189">
      <c r="A189" s="5" t="inlineStr">
        <is>
          <t>Grupo 5 — Resíduo sem prazo</t>
        </is>
      </c>
      <c r="B189" s="6" t="n"/>
      <c r="C189" s="7" t="inlineStr">
        <is>
          <t>lista: imediato | concentrado</t>
        </is>
      </c>
      <c r="D189" s="8" t="inlineStr">
        <is>
          <t>grupos[5].residuo_sem_prazo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n"/>
      <c r="C193" s="7" t="inlineStr">
        <is>
          <t>nome do grupo (seção 6)</t>
        </is>
      </c>
      <c r="D193" s="8" t="inlineStr">
        <is>
          <t>pagamento[1].grupo</t>
        </is>
      </c>
    </row>
    <row r="194">
      <c r="A194" s="5" t="inlineStr">
        <is>
          <t>Condição 1 — Linha</t>
        </is>
      </c>
      <c r="B194" s="6" t="n"/>
      <c r="C194" s="7" t="inlineStr">
        <is>
          <t>lista: Entrada | Parcelamento</t>
        </is>
      </c>
      <c r="D194" s="8" t="inlineStr">
        <is>
          <t>pagamento[1].linha</t>
        </is>
      </c>
    </row>
    <row r="195">
      <c r="A195" s="5" t="inlineStr">
        <is>
          <t>Condição 1 — % do total</t>
        </is>
      </c>
      <c r="B195" s="12" t="n"/>
      <c r="C195" s="7" t="inlineStr">
        <is>
          <t>% do preço</t>
        </is>
      </c>
      <c r="D195" s="8" t="inlineStr">
        <is>
          <t>pagamento[1].pct</t>
        </is>
      </c>
    </row>
    <row r="196">
      <c r="A196" s="5" t="inlineStr">
        <is>
          <t>Condição 1 — Nº de parcelas</t>
        </is>
      </c>
      <c r="B196" s="15" t="n"/>
      <c r="C196" s="7" t="inlineStr">
        <is>
          <t>inteiro (vazio se ao longo da obra)</t>
        </is>
      </c>
      <c r="D196" s="8" t="inlineStr">
        <is>
          <t>pagamento[1].parcelas</t>
        </is>
      </c>
    </row>
    <row r="197">
      <c r="A197" s="5" t="inlineStr">
        <is>
          <t>Condição 1 — Desconto (só Entrada)</t>
        </is>
      </c>
      <c r="B197" s="12" t="n"/>
      <c r="C197" s="7" t="inlineStr">
        <is>
          <t>% sobre a entrada</t>
        </is>
      </c>
      <c r="D197" s="8" t="inlineStr">
        <is>
          <t>pagamento[1].desconto_pct</t>
        </is>
      </c>
    </row>
    <row r="198">
      <c r="A198" s="5" t="inlineStr">
        <is>
          <t>Condição 1 — Sinal (só Parcelamento)</t>
        </is>
      </c>
      <c r="B198" s="12" t="n"/>
      <c r="C198" s="7" t="inlineStr">
        <is>
          <t>% do parcelamento</t>
        </is>
      </c>
      <c r="D198" s="8" t="inlineStr">
        <is>
          <t>pagamento[1].sinal_pct</t>
        </is>
      </c>
    </row>
    <row r="199">
      <c r="A199" s="5" t="inlineStr">
        <is>
          <t>Condição 1 — Ao longo da obra (só Parcelamento)</t>
        </is>
      </c>
      <c r="B199" s="6" t="n"/>
      <c r="C199" s="7" t="inlineStr">
        <is>
          <t>Sim/Não</t>
        </is>
      </c>
      <c r="D199" s="8" t="inlineStr">
        <is>
          <t>pagamento[1].ao_longo_obra</t>
        </is>
      </c>
    </row>
    <row r="200">
      <c r="A200" s="16" t="inlineStr">
        <is>
          <t>Condição de pagamento 2</t>
        </is>
      </c>
    </row>
    <row r="201">
      <c r="A201" s="5" t="inlineStr">
        <is>
          <t>Condição 2 — Grupo</t>
        </is>
      </c>
      <c r="B201" s="6" t="n"/>
      <c r="C201" s="7" t="inlineStr">
        <is>
          <t>nome do grupo (seção 6)</t>
        </is>
      </c>
      <c r="D201" s="8" t="inlineStr">
        <is>
          <t>pagamento[2].grupo</t>
        </is>
      </c>
    </row>
    <row r="202">
      <c r="A202" s="5" t="inlineStr">
        <is>
          <t>Condição 2 — Linha</t>
        </is>
      </c>
      <c r="B202" s="6" t="n"/>
      <c r="C202" s="7" t="inlineStr">
        <is>
          <t>lista: Entrada | Parcelamento</t>
        </is>
      </c>
      <c r="D202" s="8" t="inlineStr">
        <is>
          <t>pagamento[2].linha</t>
        </is>
      </c>
    </row>
    <row r="203">
      <c r="A203" s="5" t="inlineStr">
        <is>
          <t>Condição 2 — % do total</t>
        </is>
      </c>
      <c r="B203" s="12" t="n"/>
      <c r="C203" s="7" t="inlineStr">
        <is>
          <t>% do preço</t>
        </is>
      </c>
      <c r="D203" s="8" t="inlineStr">
        <is>
          <t>pagamento[2].pct</t>
        </is>
      </c>
    </row>
    <row r="204">
      <c r="A204" s="5" t="inlineStr">
        <is>
          <t>Condição 2 — Nº de parcelas</t>
        </is>
      </c>
      <c r="B204" s="15" t="n"/>
      <c r="C204" s="7" t="inlineStr">
        <is>
          <t>inteiro (vazio se ao longo da obra)</t>
        </is>
      </c>
      <c r="D204" s="8" t="inlineStr">
        <is>
          <t>pagamento[2].parcelas</t>
        </is>
      </c>
    </row>
    <row r="205">
      <c r="A205" s="5" t="inlineStr">
        <is>
          <t>Condição 2 — Desconto (só Entrada)</t>
        </is>
      </c>
      <c r="B205" s="12" t="n"/>
      <c r="C205" s="7" t="inlineStr">
        <is>
          <t>% sobre a entrada</t>
        </is>
      </c>
      <c r="D205" s="8" t="inlineStr">
        <is>
          <t>pagamento[2].desconto_pct</t>
        </is>
      </c>
    </row>
    <row r="206">
      <c r="A206" s="5" t="inlineStr">
        <is>
          <t>Condição 2 — Sinal (só Parcelamento)</t>
        </is>
      </c>
      <c r="B206" s="12" t="n"/>
      <c r="C206" s="7" t="inlineStr">
        <is>
          <t>% do parcelamento</t>
        </is>
      </c>
      <c r="D206" s="8" t="inlineStr">
        <is>
          <t>pagamento[2].sinal_pct</t>
        </is>
      </c>
    </row>
    <row r="207">
      <c r="A207" s="5" t="inlineStr">
        <is>
          <t>Condição 2 — Ao longo da obra (só Parcelamento)</t>
        </is>
      </c>
      <c r="B207" s="6" t="n"/>
      <c r="C207" s="7" t="inlineStr">
        <is>
          <t>Sim/Não</t>
        </is>
      </c>
      <c r="D207" s="8" t="inlineStr">
        <is>
          <t>pagamento[2].ao_longo_obra</t>
        </is>
      </c>
    </row>
    <row r="208">
      <c r="A208" s="16" t="inlineStr">
        <is>
          <t>Condição de pagamento 3</t>
        </is>
      </c>
    </row>
    <row r="209">
      <c r="A209" s="5" t="inlineStr">
        <is>
          <t>Condição 3 — Grupo</t>
        </is>
      </c>
      <c r="B209" s="6" t="n"/>
      <c r="C209" s="7" t="inlineStr">
        <is>
          <t>nome do grupo (seção 6)</t>
        </is>
      </c>
      <c r="D209" s="8" t="inlineStr">
        <is>
          <t>pagamento[3].grupo</t>
        </is>
      </c>
    </row>
    <row r="210">
      <c r="A210" s="5" t="inlineStr">
        <is>
          <t>Condição 3 — Linha</t>
        </is>
      </c>
      <c r="B210" s="6" t="n"/>
      <c r="C210" s="7" t="inlineStr">
        <is>
          <t>lista: Entrada | Parcelamento</t>
        </is>
      </c>
      <c r="D210" s="8" t="inlineStr">
        <is>
          <t>pagamento[3].linha</t>
        </is>
      </c>
    </row>
    <row r="211">
      <c r="A211" s="5" t="inlineStr">
        <is>
          <t>Condição 3 — % do total</t>
        </is>
      </c>
      <c r="B211" s="12" t="n"/>
      <c r="C211" s="7" t="inlineStr">
        <is>
          <t>% do preço</t>
        </is>
      </c>
      <c r="D211" s="8" t="inlineStr">
        <is>
          <t>pagamento[3].pct</t>
        </is>
      </c>
    </row>
    <row r="212">
      <c r="A212" s="5" t="inlineStr">
        <is>
          <t>Condição 3 — Nº de parcelas</t>
        </is>
      </c>
      <c r="B212" s="15" t="n"/>
      <c r="C212" s="7" t="inlineStr">
        <is>
          <t>inteiro (vazio se ao longo da obra)</t>
        </is>
      </c>
      <c r="D212" s="8" t="inlineStr">
        <is>
          <t>pagamento[3].parcelas</t>
        </is>
      </c>
    </row>
    <row r="213">
      <c r="A213" s="5" t="inlineStr">
        <is>
          <t>Condição 3 — Desconto (só Entrada)</t>
        </is>
      </c>
      <c r="B213" s="12" t="n"/>
      <c r="C213" s="7" t="inlineStr">
        <is>
          <t>% sobre a entrada</t>
        </is>
      </c>
      <c r="D213" s="8" t="inlineStr">
        <is>
          <t>pagamento[3].desconto_pct</t>
        </is>
      </c>
    </row>
    <row r="214">
      <c r="A214" s="5" t="inlineStr">
        <is>
          <t>Condição 3 — Sinal (só Parcelamento)</t>
        </is>
      </c>
      <c r="B214" s="12" t="n"/>
      <c r="C214" s="7" t="inlineStr">
        <is>
          <t>% do parcelamento</t>
        </is>
      </c>
      <c r="D214" s="8" t="inlineStr">
        <is>
          <t>pagamento[3].sinal_pct</t>
        </is>
      </c>
    </row>
    <row r="215">
      <c r="A215" s="5" t="inlineStr">
        <is>
          <t>Condição 3 — Ao longo da obra (só Parcelamento)</t>
        </is>
      </c>
      <c r="B215" s="6" t="n"/>
      <c r="C215" s="7" t="inlineStr">
        <is>
          <t>Sim/Não</t>
        </is>
      </c>
      <c r="D215" s="8" t="inlineStr">
        <is>
          <t>pagamento[3].ao_longo_obra</t>
        </is>
      </c>
    </row>
    <row r="216">
      <c r="A216" s="16" t="inlineStr">
        <is>
          <t>Condição de pagamento 4</t>
        </is>
      </c>
    </row>
    <row r="217">
      <c r="A217" s="5" t="inlineStr">
        <is>
          <t>Condição 4 — Grupo</t>
        </is>
      </c>
      <c r="B217" s="6" t="n"/>
      <c r="C217" s="7" t="inlineStr">
        <is>
          <t>nome do grupo (seção 6)</t>
        </is>
      </c>
      <c r="D217" s="8" t="inlineStr">
        <is>
          <t>pagamento[4].grupo</t>
        </is>
      </c>
    </row>
    <row r="218">
      <c r="A218" s="5" t="inlineStr">
        <is>
          <t>Condição 4 — Linha</t>
        </is>
      </c>
      <c r="B218" s="6" t="n"/>
      <c r="C218" s="7" t="inlineStr">
        <is>
          <t>lista: Entrada | Parcelamento</t>
        </is>
      </c>
      <c r="D218" s="8" t="inlineStr">
        <is>
          <t>pagamento[4].linha</t>
        </is>
      </c>
    </row>
    <row r="219">
      <c r="A219" s="5" t="inlineStr">
        <is>
          <t>Condição 4 — % do total</t>
        </is>
      </c>
      <c r="B219" s="12" t="n"/>
      <c r="C219" s="7" t="inlineStr">
        <is>
          <t>% do preço</t>
        </is>
      </c>
      <c r="D219" s="8" t="inlineStr">
        <is>
          <t>pagamento[4].pct</t>
        </is>
      </c>
    </row>
    <row r="220">
      <c r="A220" s="5" t="inlineStr">
        <is>
          <t>Condição 4 — Nº de parcelas</t>
        </is>
      </c>
      <c r="B220" s="15" t="n"/>
      <c r="C220" s="7" t="inlineStr">
        <is>
          <t>inteiro (vazio se ao longo da obra)</t>
        </is>
      </c>
      <c r="D220" s="8" t="inlineStr">
        <is>
          <t>pagamento[4].parcelas</t>
        </is>
      </c>
    </row>
    <row r="221">
      <c r="A221" s="5" t="inlineStr">
        <is>
          <t>Condição 4 — Desconto (só Entrada)</t>
        </is>
      </c>
      <c r="B221" s="12" t="n"/>
      <c r="C221" s="7" t="inlineStr">
        <is>
          <t>% sobre a entrada</t>
        </is>
      </c>
      <c r="D221" s="8" t="inlineStr">
        <is>
          <t>pagamento[4].desconto_pct</t>
        </is>
      </c>
    </row>
    <row r="222">
      <c r="A222" s="5" t="inlineStr">
        <is>
          <t>Condição 4 — Sinal (só Parcelamento)</t>
        </is>
      </c>
      <c r="B222" s="12" t="n"/>
      <c r="C222" s="7" t="inlineStr">
        <is>
          <t>% do parcelamento</t>
        </is>
      </c>
      <c r="D222" s="8" t="inlineStr">
        <is>
          <t>pagamento[4].sinal_pct</t>
        </is>
      </c>
    </row>
    <row r="223">
      <c r="A223" s="5" t="inlineStr">
        <is>
          <t>Condição 4 — Ao longo da obra (só Parcelamento)</t>
        </is>
      </c>
      <c r="B223" s="6" t="n"/>
      <c r="C223" s="7" t="inlineStr">
        <is>
          <t>Sim/Não</t>
        </is>
      </c>
      <c r="D223" s="8" t="inlineStr">
        <is>
          <t>pagamento[4].ao_longo_obra</t>
        </is>
      </c>
    </row>
    <row r="224">
      <c r="A224" s="16" t="inlineStr">
        <is>
          <t>Condição de pagamento 5</t>
        </is>
      </c>
    </row>
    <row r="225">
      <c r="A225" s="5" t="inlineStr">
        <is>
          <t>Condição 5 — Grupo</t>
        </is>
      </c>
      <c r="B225" s="6" t="n"/>
      <c r="C225" s="7" t="inlineStr">
        <is>
          <t>nome do grupo (seção 6)</t>
        </is>
      </c>
      <c r="D225" s="8" t="inlineStr">
        <is>
          <t>pagamento[5].grupo</t>
        </is>
      </c>
    </row>
    <row r="226">
      <c r="A226" s="5" t="inlineStr">
        <is>
          <t>Condição 5 — Linha</t>
        </is>
      </c>
      <c r="B226" s="6" t="n"/>
      <c r="C226" s="7" t="inlineStr">
        <is>
          <t>lista: Entrada | Parcelamento</t>
        </is>
      </c>
      <c r="D226" s="8" t="inlineStr">
        <is>
          <t>pagamento[5].linha</t>
        </is>
      </c>
    </row>
    <row r="227">
      <c r="A227" s="5" t="inlineStr">
        <is>
          <t>Condição 5 — % do total</t>
        </is>
      </c>
      <c r="B227" s="12" t="n"/>
      <c r="C227" s="7" t="inlineStr">
        <is>
          <t>% do preço</t>
        </is>
      </c>
      <c r="D227" s="8" t="inlineStr">
        <is>
          <t>pagamento[5].pct</t>
        </is>
      </c>
    </row>
    <row r="228">
      <c r="A228" s="5" t="inlineStr">
        <is>
          <t>Condição 5 — Nº de parcelas</t>
        </is>
      </c>
      <c r="B228" s="15" t="n"/>
      <c r="C228" s="7" t="inlineStr">
        <is>
          <t>inteiro (vazio se ao longo da obra)</t>
        </is>
      </c>
      <c r="D228" s="8" t="inlineStr">
        <is>
          <t>pagamento[5].parcelas</t>
        </is>
      </c>
    </row>
    <row r="229">
      <c r="A229" s="5" t="inlineStr">
        <is>
          <t>Condição 5 — Desconto (só Entrada)</t>
        </is>
      </c>
      <c r="B229" s="12" t="n"/>
      <c r="C229" s="7" t="inlineStr">
        <is>
          <t>% sobre a entrada</t>
        </is>
      </c>
      <c r="D229" s="8" t="inlineStr">
        <is>
          <t>pagamento[5].desconto_pct</t>
        </is>
      </c>
    </row>
    <row r="230">
      <c r="A230" s="5" t="inlineStr">
        <is>
          <t>Condição 5 — Sinal (só Parcelamento)</t>
        </is>
      </c>
      <c r="B230" s="12" t="n"/>
      <c r="C230" s="7" t="inlineStr">
        <is>
          <t>% do parcelamento</t>
        </is>
      </c>
      <c r="D230" s="8" t="inlineStr">
        <is>
          <t>pagamento[5].sinal_pct</t>
        </is>
      </c>
    </row>
    <row r="231">
      <c r="A231" s="5" t="inlineStr">
        <is>
          <t>Condição 5 — Ao longo da obra (só Parcelamento)</t>
        </is>
      </c>
      <c r="B231" s="6" t="n"/>
      <c r="C231" s="7" t="inlineStr">
        <is>
          <t>Sim/Não</t>
        </is>
      </c>
      <c r="D231" s="8" t="inlineStr">
        <is>
          <t>pagamento[5].ao_longo_obra</t>
        </is>
      </c>
    </row>
    <row r="232">
      <c r="A232" s="16" t="inlineStr">
        <is>
          <t>Condição de pagamento 6</t>
        </is>
      </c>
    </row>
    <row r="233">
      <c r="A233" s="5" t="inlineStr">
        <is>
          <t>Condição 6 — Grupo</t>
        </is>
      </c>
      <c r="B233" s="6" t="n"/>
      <c r="C233" s="7" t="inlineStr">
        <is>
          <t>nome do grupo (seção 6)</t>
        </is>
      </c>
      <c r="D233" s="8" t="inlineStr">
        <is>
          <t>pagamento[6].grupo</t>
        </is>
      </c>
    </row>
    <row r="234">
      <c r="A234" s="5" t="inlineStr">
        <is>
          <t>Condição 6 — Linha</t>
        </is>
      </c>
      <c r="B234" s="6" t="n"/>
      <c r="C234" s="7" t="inlineStr">
        <is>
          <t>lista: Entrada | Parcelamento</t>
        </is>
      </c>
      <c r="D234" s="8" t="inlineStr">
        <is>
          <t>pagamento[6].linha</t>
        </is>
      </c>
    </row>
    <row r="235">
      <c r="A235" s="5" t="inlineStr">
        <is>
          <t>Condição 6 — % do total</t>
        </is>
      </c>
      <c r="B235" s="12" t="n"/>
      <c r="C235" s="7" t="inlineStr">
        <is>
          <t>% do preço</t>
        </is>
      </c>
      <c r="D235" s="8" t="inlineStr">
        <is>
          <t>pagamento[6].pct</t>
        </is>
      </c>
    </row>
    <row r="236">
      <c r="A236" s="5" t="inlineStr">
        <is>
          <t>Condição 6 — Nº de parcelas</t>
        </is>
      </c>
      <c r="B236" s="15" t="n"/>
      <c r="C236" s="7" t="inlineStr">
        <is>
          <t>inteiro (vazio se ao longo da obra)</t>
        </is>
      </c>
      <c r="D236" s="8" t="inlineStr">
        <is>
          <t>pagamento[6].parcelas</t>
        </is>
      </c>
    </row>
    <row r="237">
      <c r="A237" s="5" t="inlineStr">
        <is>
          <t>Condição 6 — Desconto (só Entrada)</t>
        </is>
      </c>
      <c r="B237" s="12" t="n"/>
      <c r="C237" s="7" t="inlineStr">
        <is>
          <t>% sobre a entrada</t>
        </is>
      </c>
      <c r="D237" s="8" t="inlineStr">
        <is>
          <t>pagamento[6].desconto_pct</t>
        </is>
      </c>
    </row>
    <row r="238">
      <c r="A238" s="5" t="inlineStr">
        <is>
          <t>Condição 6 — Sinal (só Parcelamento)</t>
        </is>
      </c>
      <c r="B238" s="12" t="n"/>
      <c r="C238" s="7" t="inlineStr">
        <is>
          <t>% do parcelamento</t>
        </is>
      </c>
      <c r="D238" s="8" t="inlineStr">
        <is>
          <t>pagamento[6].sinal_pct</t>
        </is>
      </c>
    </row>
    <row r="239">
      <c r="A239" s="5" t="inlineStr">
        <is>
          <t>Condição 6 — Ao longo da obra (só Parcelamento)</t>
        </is>
      </c>
      <c r="B239" s="6" t="n"/>
      <c r="C239" s="7" t="inlineStr">
        <is>
          <t>Sim/Não</t>
        </is>
      </c>
      <c r="D239" s="8" t="inlineStr">
        <is>
          <t>pagamento[6].ao_longo_obra</t>
        </is>
      </c>
    </row>
    <row r="240">
      <c r="A240" s="16" t="inlineStr">
        <is>
          <t>Condição de pagamento 7</t>
        </is>
      </c>
    </row>
    <row r="241">
      <c r="A241" s="5" t="inlineStr">
        <is>
          <t>Condição 7 — Grupo</t>
        </is>
      </c>
      <c r="B241" s="6" t="n"/>
      <c r="C241" s="7" t="inlineStr">
        <is>
          <t>nome do grupo (seção 6)</t>
        </is>
      </c>
      <c r="D241" s="8" t="inlineStr">
        <is>
          <t>pagamento[7].grupo</t>
        </is>
      </c>
    </row>
    <row r="242">
      <c r="A242" s="5" t="inlineStr">
        <is>
          <t>Condição 7 — Linha</t>
        </is>
      </c>
      <c r="B242" s="6" t="n"/>
      <c r="C242" s="7" t="inlineStr">
        <is>
          <t>lista: Entrada | Parcelamento</t>
        </is>
      </c>
      <c r="D242" s="8" t="inlineStr">
        <is>
          <t>pagamento[7].linha</t>
        </is>
      </c>
    </row>
    <row r="243">
      <c r="A243" s="5" t="inlineStr">
        <is>
          <t>Condição 7 — % do total</t>
        </is>
      </c>
      <c r="B243" s="12" t="n"/>
      <c r="C243" s="7" t="inlineStr">
        <is>
          <t>% do preço</t>
        </is>
      </c>
      <c r="D243" s="8" t="inlineStr">
        <is>
          <t>pagamento[7].pct</t>
        </is>
      </c>
    </row>
    <row r="244">
      <c r="A244" s="5" t="inlineStr">
        <is>
          <t>Condição 7 — Nº de parcelas</t>
        </is>
      </c>
      <c r="B244" s="15" t="n"/>
      <c r="C244" s="7" t="inlineStr">
        <is>
          <t>inteiro (vazio se ao longo da obra)</t>
        </is>
      </c>
      <c r="D244" s="8" t="inlineStr">
        <is>
          <t>pagamento[7].parcelas</t>
        </is>
      </c>
    </row>
    <row r="245">
      <c r="A245" s="5" t="inlineStr">
        <is>
          <t>Condição 7 — Desconto (só Entrada)</t>
        </is>
      </c>
      <c r="B245" s="12" t="n"/>
      <c r="C245" s="7" t="inlineStr">
        <is>
          <t>% sobre a entrada</t>
        </is>
      </c>
      <c r="D245" s="8" t="inlineStr">
        <is>
          <t>pagamento[7].desconto_pct</t>
        </is>
      </c>
    </row>
    <row r="246">
      <c r="A246" s="5" t="inlineStr">
        <is>
          <t>Condição 7 — Sinal (só Parcelamento)</t>
        </is>
      </c>
      <c r="B246" s="12" t="n"/>
      <c r="C246" s="7" t="inlineStr">
        <is>
          <t>% do parcelamento</t>
        </is>
      </c>
      <c r="D246" s="8" t="inlineStr">
        <is>
          <t>pagamento[7].sinal_pct</t>
        </is>
      </c>
    </row>
    <row r="247">
      <c r="A247" s="5" t="inlineStr">
        <is>
          <t>Condição 7 — Ao longo da obra (só Parcelamento)</t>
        </is>
      </c>
      <c r="B247" s="6" t="n"/>
      <c r="C247" s="7" t="inlineStr">
        <is>
          <t>Sim/Não</t>
        </is>
      </c>
      <c r="D247" s="8" t="inlineStr">
        <is>
          <t>pagamento[7].ao_longo_obra</t>
        </is>
      </c>
    </row>
    <row r="248">
      <c r="A248" s="16" t="inlineStr">
        <is>
          <t>Condição de pagamento 8</t>
        </is>
      </c>
    </row>
    <row r="249">
      <c r="A249" s="5" t="inlineStr">
        <is>
          <t>Condição 8 — Grupo</t>
        </is>
      </c>
      <c r="B249" s="6" t="n"/>
      <c r="C249" s="7" t="inlineStr">
        <is>
          <t>nome do grupo (seção 6)</t>
        </is>
      </c>
      <c r="D249" s="8" t="inlineStr">
        <is>
          <t>pagamento[8].grupo</t>
        </is>
      </c>
    </row>
    <row r="250">
      <c r="A250" s="5" t="inlineStr">
        <is>
          <t>Condição 8 — Linha</t>
        </is>
      </c>
      <c r="B250" s="6" t="n"/>
      <c r="C250" s="7" t="inlineStr">
        <is>
          <t>lista: Entrada | Parcelamento</t>
        </is>
      </c>
      <c r="D250" s="8" t="inlineStr">
        <is>
          <t>pagamento[8].linha</t>
        </is>
      </c>
    </row>
    <row r="251">
      <c r="A251" s="5" t="inlineStr">
        <is>
          <t>Condição 8 — % do total</t>
        </is>
      </c>
      <c r="B251" s="12" t="n"/>
      <c r="C251" s="7" t="inlineStr">
        <is>
          <t>% do preço</t>
        </is>
      </c>
      <c r="D251" s="8" t="inlineStr">
        <is>
          <t>pagamento[8].pct</t>
        </is>
      </c>
    </row>
    <row r="252">
      <c r="A252" s="5" t="inlineStr">
        <is>
          <t>Condição 8 — Nº de parcelas</t>
        </is>
      </c>
      <c r="B252" s="15" t="n"/>
      <c r="C252" s="7" t="inlineStr">
        <is>
          <t>inteiro (vazio se ao longo da obra)</t>
        </is>
      </c>
      <c r="D252" s="8" t="inlineStr">
        <is>
          <t>pagamento[8].parcelas</t>
        </is>
      </c>
    </row>
    <row r="253">
      <c r="A253" s="5" t="inlineStr">
        <is>
          <t>Condição 8 — Desconto (só Entrada)</t>
        </is>
      </c>
      <c r="B253" s="12" t="n"/>
      <c r="C253" s="7" t="inlineStr">
        <is>
          <t>% sobre a entrada</t>
        </is>
      </c>
      <c r="D253" s="8" t="inlineStr">
        <is>
          <t>pagamento[8].desconto_pct</t>
        </is>
      </c>
    </row>
    <row r="254">
      <c r="A254" s="5" t="inlineStr">
        <is>
          <t>Condição 8 — Sinal (só Parcelamento)</t>
        </is>
      </c>
      <c r="B254" s="12" t="n"/>
      <c r="C254" s="7" t="inlineStr">
        <is>
          <t>% do parcelamento</t>
        </is>
      </c>
      <c r="D254" s="8" t="inlineStr">
        <is>
          <t>pagamento[8].sinal_pct</t>
        </is>
      </c>
    </row>
    <row r="255">
      <c r="A255" s="5" t="inlineStr">
        <is>
          <t>Condição 8 — Ao longo da obra (só Parcelamento)</t>
        </is>
      </c>
      <c r="B255" s="6" t="n"/>
      <c r="C255" s="7" t="inlineStr">
        <is>
          <t>Sim/Não</t>
        </is>
      </c>
      <c r="D255" s="8" t="inlineStr">
        <is>
          <t>pagamento[8].ao_longo_obra</t>
        </is>
      </c>
    </row>
    <row r="256">
      <c r="A256" s="16" t="inlineStr">
        <is>
          <t>Condição de pagamento 9</t>
        </is>
      </c>
    </row>
    <row r="257">
      <c r="A257" s="5" t="inlineStr">
        <is>
          <t>Condição 9 — Grupo</t>
        </is>
      </c>
      <c r="B257" s="6" t="n"/>
      <c r="C257" s="7" t="inlineStr">
        <is>
          <t>nome do grupo (seção 6)</t>
        </is>
      </c>
      <c r="D257" s="8" t="inlineStr">
        <is>
          <t>pagamento[9].grupo</t>
        </is>
      </c>
    </row>
    <row r="258">
      <c r="A258" s="5" t="inlineStr">
        <is>
          <t>Condição 9 — Linha</t>
        </is>
      </c>
      <c r="B258" s="6" t="n"/>
      <c r="C258" s="7" t="inlineStr">
        <is>
          <t>lista: Entrada | Parcelamento</t>
        </is>
      </c>
      <c r="D258" s="8" t="inlineStr">
        <is>
          <t>pagamento[9].linha</t>
        </is>
      </c>
    </row>
    <row r="259">
      <c r="A259" s="5" t="inlineStr">
        <is>
          <t>Condição 9 — % do total</t>
        </is>
      </c>
      <c r="B259" s="12" t="n"/>
      <c r="C259" s="7" t="inlineStr">
        <is>
          <t>% do preço</t>
        </is>
      </c>
      <c r="D259" s="8" t="inlineStr">
        <is>
          <t>pagamento[9].pct</t>
        </is>
      </c>
    </row>
    <row r="260">
      <c r="A260" s="5" t="inlineStr">
        <is>
          <t>Condição 9 — Nº de parcelas</t>
        </is>
      </c>
      <c r="B260" s="15" t="n"/>
      <c r="C260" s="7" t="inlineStr">
        <is>
          <t>inteiro (vazio se ao longo da obra)</t>
        </is>
      </c>
      <c r="D260" s="8" t="inlineStr">
        <is>
          <t>pagamento[9].parcelas</t>
        </is>
      </c>
    </row>
    <row r="261">
      <c r="A261" s="5" t="inlineStr">
        <is>
          <t>Condição 9 — Desconto (só Entrada)</t>
        </is>
      </c>
      <c r="B261" s="12" t="n"/>
      <c r="C261" s="7" t="inlineStr">
        <is>
          <t>% sobre a entrada</t>
        </is>
      </c>
      <c r="D261" s="8" t="inlineStr">
        <is>
          <t>pagamento[9].desconto_pct</t>
        </is>
      </c>
    </row>
    <row r="262">
      <c r="A262" s="5" t="inlineStr">
        <is>
          <t>Condição 9 — Sinal (só Parcelamento)</t>
        </is>
      </c>
      <c r="B262" s="12" t="n"/>
      <c r="C262" s="7" t="inlineStr">
        <is>
          <t>% do parcelamento</t>
        </is>
      </c>
      <c r="D262" s="8" t="inlineStr">
        <is>
          <t>pagamento[9].sinal_pct</t>
        </is>
      </c>
    </row>
    <row r="263">
      <c r="A263" s="5" t="inlineStr">
        <is>
          <t>Condição 9 — Ao longo da obra (só Parcelamento)</t>
        </is>
      </c>
      <c r="B263" s="6" t="n"/>
      <c r="C263" s="7" t="inlineStr">
        <is>
          <t>Sim/Não</t>
        </is>
      </c>
      <c r="D263" s="8" t="inlineStr">
        <is>
          <t>pagamento[9].ao_longo_obra</t>
        </is>
      </c>
    </row>
    <row r="264">
      <c r="A264" s="16" t="inlineStr">
        <is>
          <t>Condição de pagamento 10</t>
        </is>
      </c>
    </row>
    <row r="265">
      <c r="A265" s="5" t="inlineStr">
        <is>
          <t>Condição 10 — Grupo</t>
        </is>
      </c>
      <c r="B265" s="6" t="n"/>
      <c r="C265" s="7" t="inlineStr">
        <is>
          <t>nome do grupo (seção 6)</t>
        </is>
      </c>
      <c r="D265" s="8" t="inlineStr">
        <is>
          <t>pagamento[10].grupo</t>
        </is>
      </c>
    </row>
    <row r="266">
      <c r="A266" s="5" t="inlineStr">
        <is>
          <t>Condição 10 — Linha</t>
        </is>
      </c>
      <c r="B266" s="6" t="n"/>
      <c r="C266" s="7" t="inlineStr">
        <is>
          <t>lista: Entrada | Parcelamento</t>
        </is>
      </c>
      <c r="D266" s="8" t="inlineStr">
        <is>
          <t>pagamento[10].linha</t>
        </is>
      </c>
    </row>
    <row r="267">
      <c r="A267" s="5" t="inlineStr">
        <is>
          <t>Condição 10 — % do total</t>
        </is>
      </c>
      <c r="B267" s="12" t="n"/>
      <c r="C267" s="7" t="inlineStr">
        <is>
          <t>% do preço</t>
        </is>
      </c>
      <c r="D267" s="8" t="inlineStr">
        <is>
          <t>pagamento[10].pct</t>
        </is>
      </c>
    </row>
    <row r="268">
      <c r="A268" s="5" t="inlineStr">
        <is>
          <t>Condição 10 — Nº de parcelas</t>
        </is>
      </c>
      <c r="B268" s="15" t="n"/>
      <c r="C268" s="7" t="inlineStr">
        <is>
          <t>inteiro (vazio se ao longo da obra)</t>
        </is>
      </c>
      <c r="D268" s="8" t="inlineStr">
        <is>
          <t>pagamento[10].parcelas</t>
        </is>
      </c>
    </row>
    <row r="269">
      <c r="A269" s="5" t="inlineStr">
        <is>
          <t>Condição 10 — Desconto (só Entrada)</t>
        </is>
      </c>
      <c r="B269" s="12" t="n"/>
      <c r="C269" s="7" t="inlineStr">
        <is>
          <t>% sobre a entrada</t>
        </is>
      </c>
      <c r="D269" s="8" t="inlineStr">
        <is>
          <t>pagamento[10].desconto_pct</t>
        </is>
      </c>
    </row>
    <row r="270">
      <c r="A270" s="5" t="inlineStr">
        <is>
          <t>Condição 10 — Sinal (só Parcelamento)</t>
        </is>
      </c>
      <c r="B270" s="12" t="n"/>
      <c r="C270" s="7" t="inlineStr">
        <is>
          <t>% do parcelamento</t>
        </is>
      </c>
      <c r="D270" s="8" t="inlineStr">
        <is>
          <t>pagamento[10].sinal_pct</t>
        </is>
      </c>
    </row>
    <row r="271">
      <c r="A271" s="5" t="inlineStr">
        <is>
          <t>Condição 10 — Ao longo da obra (só Parcelamento)</t>
        </is>
      </c>
      <c r="B271" s="6" t="n"/>
      <c r="C271" s="7" t="inlineStr">
        <is>
          <t>Sim/Não</t>
        </is>
      </c>
      <c r="D271" s="8" t="inlineStr">
        <is>
          <t>pagamento[10].ao_longo_obra</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n"/>
      <c r="C274" s="7" t="inlineStr">
        <is>
          <t>nome do grupo (seção 6)</t>
        </is>
      </c>
      <c r="D274" s="8" t="inlineStr">
        <is>
          <t>alocacoes[1].grupo</t>
        </is>
      </c>
    </row>
    <row r="275">
      <c r="A275" s="5" t="inlineStr">
        <is>
          <t>Alocação 1 — Tipologia</t>
        </is>
      </c>
      <c r="B275" s="6" t="n"/>
      <c r="C275" s="7" t="inlineStr">
        <is>
          <t>nome do tipologia (seção 5)</t>
        </is>
      </c>
      <c r="D275" s="8" t="inlineStr">
        <is>
          <t>alocacoes[1].tipologia</t>
        </is>
      </c>
    </row>
    <row r="276">
      <c r="A276" s="5" t="inlineStr">
        <is>
          <t>Alocação 1 — Unidades</t>
        </is>
      </c>
      <c r="B276" s="15" t="n"/>
      <c r="C276" s="7" t="inlineStr">
        <is>
          <t>unidades (inteiro)</t>
        </is>
      </c>
      <c r="D276" s="8" t="inlineStr">
        <is>
          <t>alocacoes[1].unidades</t>
        </is>
      </c>
    </row>
    <row r="277">
      <c r="A277" s="5" t="inlineStr">
        <is>
          <t>Alocação 1 — Preço</t>
        </is>
      </c>
      <c r="B277" s="17" t="n"/>
      <c r="C277" s="7" t="inlineStr">
        <is>
          <t>R$/m² (sobre privativa + aberta)</t>
        </is>
      </c>
      <c r="D277" s="8" t="inlineStr">
        <is>
          <t>alocacoes[1].preco_m2</t>
        </is>
      </c>
    </row>
    <row r="278">
      <c r="A278" s="16" t="inlineStr">
        <is>
          <t>Alocação 2</t>
        </is>
      </c>
    </row>
    <row r="279">
      <c r="A279" s="5" t="inlineStr">
        <is>
          <t>Alocação 2 — Grupo</t>
        </is>
      </c>
      <c r="B279" s="6" t="n"/>
      <c r="C279" s="7" t="inlineStr">
        <is>
          <t>nome do grupo (seção 6)</t>
        </is>
      </c>
      <c r="D279" s="8" t="inlineStr">
        <is>
          <t>alocacoes[2].grupo</t>
        </is>
      </c>
    </row>
    <row r="280">
      <c r="A280" s="5" t="inlineStr">
        <is>
          <t>Alocação 2 — Tipologia</t>
        </is>
      </c>
      <c r="B280" s="6" t="n"/>
      <c r="C280" s="7" t="inlineStr">
        <is>
          <t>nome do tipologia (seção 5)</t>
        </is>
      </c>
      <c r="D280" s="8" t="inlineStr">
        <is>
          <t>alocacoes[2].tipologia</t>
        </is>
      </c>
    </row>
    <row r="281">
      <c r="A281" s="5" t="inlineStr">
        <is>
          <t>Alocação 2 — Unidades</t>
        </is>
      </c>
      <c r="B281" s="15" t="n"/>
      <c r="C281" s="7" t="inlineStr">
        <is>
          <t>unidades (inteiro)</t>
        </is>
      </c>
      <c r="D281" s="8" t="inlineStr">
        <is>
          <t>alocacoes[2].unidades</t>
        </is>
      </c>
    </row>
    <row r="282">
      <c r="A282" s="5" t="inlineStr">
        <is>
          <t>Alocação 2 — Preço</t>
        </is>
      </c>
      <c r="B282" s="17" t="n"/>
      <c r="C282" s="7" t="inlineStr">
        <is>
          <t>R$/m² (sobre privativa + aberta)</t>
        </is>
      </c>
      <c r="D282" s="8" t="inlineStr">
        <is>
          <t>alocacoes[2].preco_m2</t>
        </is>
      </c>
    </row>
    <row r="283">
      <c r="A283" s="16" t="inlineStr">
        <is>
          <t>Alocação 3</t>
        </is>
      </c>
    </row>
    <row r="284">
      <c r="A284" s="5" t="inlineStr">
        <is>
          <t>Alocação 3 — Grupo</t>
        </is>
      </c>
      <c r="B284" s="6" t="n"/>
      <c r="C284" s="7" t="inlineStr">
        <is>
          <t>nome do grupo (seção 6)</t>
        </is>
      </c>
      <c r="D284" s="8" t="inlineStr">
        <is>
          <t>alocacoes[3].grupo</t>
        </is>
      </c>
    </row>
    <row r="285">
      <c r="A285" s="5" t="inlineStr">
        <is>
          <t>Alocação 3 — Tipologia</t>
        </is>
      </c>
      <c r="B285" s="6" t="n"/>
      <c r="C285" s="7" t="inlineStr">
        <is>
          <t>nome do tipologia (seção 5)</t>
        </is>
      </c>
      <c r="D285" s="8" t="inlineStr">
        <is>
          <t>alocacoes[3].tipologia</t>
        </is>
      </c>
    </row>
    <row r="286">
      <c r="A286" s="5" t="inlineStr">
        <is>
          <t>Alocação 3 — Unidades</t>
        </is>
      </c>
      <c r="B286" s="15" t="n"/>
      <c r="C286" s="7" t="inlineStr">
        <is>
          <t>unidades (inteiro)</t>
        </is>
      </c>
      <c r="D286" s="8" t="inlineStr">
        <is>
          <t>alocacoes[3].unidades</t>
        </is>
      </c>
    </row>
    <row r="287">
      <c r="A287" s="5" t="inlineStr">
        <is>
          <t>Alocação 3 — Preço</t>
        </is>
      </c>
      <c r="B287" s="17" t="n"/>
      <c r="C287" s="7" t="inlineStr">
        <is>
          <t>R$/m² (sobre privativa + aberta)</t>
        </is>
      </c>
      <c r="D287" s="8" t="inlineStr">
        <is>
          <t>alocacoes[3].preco_m2</t>
        </is>
      </c>
    </row>
    <row r="288">
      <c r="A288" s="16" t="inlineStr">
        <is>
          <t>Alocação 4</t>
        </is>
      </c>
    </row>
    <row r="289">
      <c r="A289" s="5" t="inlineStr">
        <is>
          <t>Alocação 4 — Grupo</t>
        </is>
      </c>
      <c r="B289" s="6" t="n"/>
      <c r="C289" s="7" t="inlineStr">
        <is>
          <t>nome do grupo (seção 6)</t>
        </is>
      </c>
      <c r="D289" s="8" t="inlineStr">
        <is>
          <t>alocacoes[4].grupo</t>
        </is>
      </c>
    </row>
    <row r="290">
      <c r="A290" s="5" t="inlineStr">
        <is>
          <t>Alocação 4 — Tipologia</t>
        </is>
      </c>
      <c r="B290" s="6" t="n"/>
      <c r="C290" s="7" t="inlineStr">
        <is>
          <t>nome do tipologia (seção 5)</t>
        </is>
      </c>
      <c r="D290" s="8" t="inlineStr">
        <is>
          <t>alocacoes[4].tipologia</t>
        </is>
      </c>
    </row>
    <row r="291">
      <c r="A291" s="5" t="inlineStr">
        <is>
          <t>Alocação 4 — Unidades</t>
        </is>
      </c>
      <c r="B291" s="15" t="n"/>
      <c r="C291" s="7" t="inlineStr">
        <is>
          <t>unidades (inteiro)</t>
        </is>
      </c>
      <c r="D291" s="8" t="inlineStr">
        <is>
          <t>alocacoes[4].unidades</t>
        </is>
      </c>
    </row>
    <row r="292">
      <c r="A292" s="5" t="inlineStr">
        <is>
          <t>Alocação 4 — Preço</t>
        </is>
      </c>
      <c r="B292" s="17" t="n"/>
      <c r="C292" s="7" t="inlineStr">
        <is>
          <t>R$/m² (sobre privativa + aberta)</t>
        </is>
      </c>
      <c r="D292" s="8" t="inlineStr">
        <is>
          <t>alocacoes[4].preco_m2</t>
        </is>
      </c>
    </row>
    <row r="293">
      <c r="A293" s="16" t="inlineStr">
        <is>
          <t>Alocação 5</t>
        </is>
      </c>
    </row>
    <row r="294">
      <c r="A294" s="5" t="inlineStr">
        <is>
          <t>Alocação 5 — Grupo</t>
        </is>
      </c>
      <c r="B294" s="6" t="n"/>
      <c r="C294" s="7" t="inlineStr">
        <is>
          <t>nome do grupo (seção 6)</t>
        </is>
      </c>
      <c r="D294" s="8" t="inlineStr">
        <is>
          <t>alocacoes[5].grupo</t>
        </is>
      </c>
    </row>
    <row r="295">
      <c r="A295" s="5" t="inlineStr">
        <is>
          <t>Alocação 5 — Tipologia</t>
        </is>
      </c>
      <c r="B295" s="6" t="n"/>
      <c r="C295" s="7" t="inlineStr">
        <is>
          <t>nome do tipologia (seção 5)</t>
        </is>
      </c>
      <c r="D295" s="8" t="inlineStr">
        <is>
          <t>alocacoes[5].tipologia</t>
        </is>
      </c>
    </row>
    <row r="296">
      <c r="A296" s="5" t="inlineStr">
        <is>
          <t>Alocação 5 — Unidades</t>
        </is>
      </c>
      <c r="B296" s="15" t="n"/>
      <c r="C296" s="7" t="inlineStr">
        <is>
          <t>unidades (inteiro)</t>
        </is>
      </c>
      <c r="D296" s="8" t="inlineStr">
        <is>
          <t>alocacoes[5].unidades</t>
        </is>
      </c>
    </row>
    <row r="297">
      <c r="A297" s="5" t="inlineStr">
        <is>
          <t>Alocação 5 — Preço</t>
        </is>
      </c>
      <c r="B297" s="17" t="n"/>
      <c r="C297" s="7" t="inlineStr">
        <is>
          <t>R$/m² (sobre privativa + aberta)</t>
        </is>
      </c>
      <c r="D297" s="8" t="inlineStr">
        <is>
          <t>alocacoes[5].preco_m2</t>
        </is>
      </c>
    </row>
    <row r="298">
      <c r="A298" s="16" t="inlineStr">
        <is>
          <t>Alocação 6</t>
        </is>
      </c>
    </row>
    <row r="299">
      <c r="A299" s="5" t="inlineStr">
        <is>
          <t>Alocação 6 — Grupo</t>
        </is>
      </c>
      <c r="B299" s="6" t="n"/>
      <c r="C299" s="7" t="inlineStr">
        <is>
          <t>nome do grupo (seção 6)</t>
        </is>
      </c>
      <c r="D299" s="8" t="inlineStr">
        <is>
          <t>alocacoes[6].grupo</t>
        </is>
      </c>
    </row>
    <row r="300">
      <c r="A300" s="5" t="inlineStr">
        <is>
          <t>Alocação 6 — Tipologia</t>
        </is>
      </c>
      <c r="B300" s="6" t="n"/>
      <c r="C300" s="7" t="inlineStr">
        <is>
          <t>nome do tipologia (seção 5)</t>
        </is>
      </c>
      <c r="D300" s="8" t="inlineStr">
        <is>
          <t>alocacoes[6].tipologia</t>
        </is>
      </c>
    </row>
    <row r="301">
      <c r="A301" s="5" t="inlineStr">
        <is>
          <t>Alocação 6 — Unidades</t>
        </is>
      </c>
      <c r="B301" s="15" t="n"/>
      <c r="C301" s="7" t="inlineStr">
        <is>
          <t>unidades (inteiro)</t>
        </is>
      </c>
      <c r="D301" s="8" t="inlineStr">
        <is>
          <t>alocacoes[6].unidades</t>
        </is>
      </c>
    </row>
    <row r="302">
      <c r="A302" s="5" t="inlineStr">
        <is>
          <t>Alocação 6 — Preço</t>
        </is>
      </c>
      <c r="B302" s="17" t="n"/>
      <c r="C302" s="7" t="inlineStr">
        <is>
          <t>R$/m² (sobre privativa + aberta)</t>
        </is>
      </c>
      <c r="D302" s="8" t="inlineStr">
        <is>
          <t>alocacoes[6].preco_m2</t>
        </is>
      </c>
    </row>
    <row r="303">
      <c r="A303" s="16" t="inlineStr">
        <is>
          <t>Alocação 7</t>
        </is>
      </c>
    </row>
    <row r="304">
      <c r="A304" s="5" t="inlineStr">
        <is>
          <t>Alocação 7 — Grupo</t>
        </is>
      </c>
      <c r="B304" s="6" t="n"/>
      <c r="C304" s="7" t="inlineStr">
        <is>
          <t>nome do grupo (seção 6)</t>
        </is>
      </c>
      <c r="D304" s="8" t="inlineStr">
        <is>
          <t>alocacoes[7].grupo</t>
        </is>
      </c>
    </row>
    <row r="305">
      <c r="A305" s="5" t="inlineStr">
        <is>
          <t>Alocação 7 — Tipologia</t>
        </is>
      </c>
      <c r="B305" s="6" t="n"/>
      <c r="C305" s="7" t="inlineStr">
        <is>
          <t>nome do tipologia (seção 5)</t>
        </is>
      </c>
      <c r="D305" s="8" t="inlineStr">
        <is>
          <t>alocacoes[7].tipologia</t>
        </is>
      </c>
    </row>
    <row r="306">
      <c r="A306" s="5" t="inlineStr">
        <is>
          <t>Alocação 7 — Unidades</t>
        </is>
      </c>
      <c r="B306" s="15" t="n"/>
      <c r="C306" s="7" t="inlineStr">
        <is>
          <t>unidades (inteiro)</t>
        </is>
      </c>
      <c r="D306" s="8" t="inlineStr">
        <is>
          <t>alocacoes[7].unidades</t>
        </is>
      </c>
    </row>
    <row r="307">
      <c r="A307" s="5" t="inlineStr">
        <is>
          <t>Alocação 7 — Preço</t>
        </is>
      </c>
      <c r="B307" s="17" t="n"/>
      <c r="C307" s="7" t="inlineStr">
        <is>
          <t>R$/m² (sobre privativa + aberta)</t>
        </is>
      </c>
      <c r="D307" s="8" t="inlineStr">
        <is>
          <t>alocacoes[7].preco_m2</t>
        </is>
      </c>
    </row>
    <row r="308">
      <c r="A308" s="16" t="inlineStr">
        <is>
          <t>Alocação 8</t>
        </is>
      </c>
    </row>
    <row r="309">
      <c r="A309" s="5" t="inlineStr">
        <is>
          <t>Alocação 8 — Grupo</t>
        </is>
      </c>
      <c r="B309" s="6" t="n"/>
      <c r="C309" s="7" t="inlineStr">
        <is>
          <t>nome do grupo (seção 6)</t>
        </is>
      </c>
      <c r="D309" s="8" t="inlineStr">
        <is>
          <t>alocacoes[8].grupo</t>
        </is>
      </c>
    </row>
    <row r="310">
      <c r="A310" s="5" t="inlineStr">
        <is>
          <t>Alocação 8 — Tipologia</t>
        </is>
      </c>
      <c r="B310" s="6" t="n"/>
      <c r="C310" s="7" t="inlineStr">
        <is>
          <t>nome do tipologia (seção 5)</t>
        </is>
      </c>
      <c r="D310" s="8" t="inlineStr">
        <is>
          <t>alocacoes[8].tipologia</t>
        </is>
      </c>
    </row>
    <row r="311">
      <c r="A311" s="5" t="inlineStr">
        <is>
          <t>Alocação 8 — Unidades</t>
        </is>
      </c>
      <c r="B311" s="15" t="n"/>
      <c r="C311" s="7" t="inlineStr">
        <is>
          <t>unidades (inteiro)</t>
        </is>
      </c>
      <c r="D311" s="8" t="inlineStr">
        <is>
          <t>alocacoes[8].unidades</t>
        </is>
      </c>
    </row>
    <row r="312">
      <c r="A312" s="5" t="inlineStr">
        <is>
          <t>Alocação 8 — Preço</t>
        </is>
      </c>
      <c r="B312" s="17" t="n"/>
      <c r="C312" s="7" t="inlineStr">
        <is>
          <t>R$/m² (sobre privativa + aberta)</t>
        </is>
      </c>
      <c r="D312" s="8" t="inlineStr">
        <is>
          <t>alocacoes[8].preco_m2</t>
        </is>
      </c>
    </row>
    <row r="313">
      <c r="A313" s="16" t="inlineStr">
        <is>
          <t>Alocação 9</t>
        </is>
      </c>
    </row>
    <row r="314">
      <c r="A314" s="5" t="inlineStr">
        <is>
          <t>Alocação 9 — Grupo</t>
        </is>
      </c>
      <c r="B314" s="6" t="n"/>
      <c r="C314" s="7" t="inlineStr">
        <is>
          <t>nome do grupo (seção 6)</t>
        </is>
      </c>
      <c r="D314" s="8" t="inlineStr">
        <is>
          <t>alocacoes[9].grupo</t>
        </is>
      </c>
    </row>
    <row r="315">
      <c r="A315" s="5" t="inlineStr">
        <is>
          <t>Alocação 9 — Tipologia</t>
        </is>
      </c>
      <c r="B315" s="6" t="n"/>
      <c r="C315" s="7" t="inlineStr">
        <is>
          <t>nome do tipologia (seção 5)</t>
        </is>
      </c>
      <c r="D315" s="8" t="inlineStr">
        <is>
          <t>alocacoes[9].tipologia</t>
        </is>
      </c>
    </row>
    <row r="316">
      <c r="A316" s="5" t="inlineStr">
        <is>
          <t>Alocação 9 — Unidades</t>
        </is>
      </c>
      <c r="B316" s="15" t="n"/>
      <c r="C316" s="7" t="inlineStr">
        <is>
          <t>unidades (inteiro)</t>
        </is>
      </c>
      <c r="D316" s="8" t="inlineStr">
        <is>
          <t>alocacoes[9].unidades</t>
        </is>
      </c>
    </row>
    <row r="317">
      <c r="A317" s="5" t="inlineStr">
        <is>
          <t>Alocação 9 — Preço</t>
        </is>
      </c>
      <c r="B317" s="17" t="n"/>
      <c r="C317" s="7" t="inlineStr">
        <is>
          <t>R$/m² (sobre privativa + aberta)</t>
        </is>
      </c>
      <c r="D317" s="8" t="inlineStr">
        <is>
          <t>alocacoes[9].preco_m2</t>
        </is>
      </c>
    </row>
    <row r="318">
      <c r="A318" s="16" t="inlineStr">
        <is>
          <t>Alocação 10</t>
        </is>
      </c>
    </row>
    <row r="319">
      <c r="A319" s="5" t="inlineStr">
        <is>
          <t>Alocação 10 — Grupo</t>
        </is>
      </c>
      <c r="B319" s="6" t="n"/>
      <c r="C319" s="7" t="inlineStr">
        <is>
          <t>nome do grupo (seção 6)</t>
        </is>
      </c>
      <c r="D319" s="8" t="inlineStr">
        <is>
          <t>alocacoes[10].grupo</t>
        </is>
      </c>
    </row>
    <row r="320">
      <c r="A320" s="5" t="inlineStr">
        <is>
          <t>Alocação 10 — Tipologia</t>
        </is>
      </c>
      <c r="B320" s="6" t="n"/>
      <c r="C320" s="7" t="inlineStr">
        <is>
          <t>nome do tipologia (seção 5)</t>
        </is>
      </c>
      <c r="D320" s="8" t="inlineStr">
        <is>
          <t>alocacoes[10].tipologia</t>
        </is>
      </c>
    </row>
    <row r="321">
      <c r="A321" s="5" t="inlineStr">
        <is>
          <t>Alocação 10 — Unidades</t>
        </is>
      </c>
      <c r="B321" s="15" t="n"/>
      <c r="C321" s="7" t="inlineStr">
        <is>
          <t>unidades (inteiro)</t>
        </is>
      </c>
      <c r="D321" s="8" t="inlineStr">
        <is>
          <t>alocacoes[10].unidades</t>
        </is>
      </c>
    </row>
    <row r="322">
      <c r="A322" s="5" t="inlineStr">
        <is>
          <t>Alocação 10 — Preço</t>
        </is>
      </c>
      <c r="B322" s="17" t="n"/>
      <c r="C322" s="7" t="inlineStr">
        <is>
          <t>R$/m² (sobre privativa + aberta)</t>
        </is>
      </c>
      <c r="D322" s="8" t="inlineStr">
        <is>
          <t>alocacoes[10].preco_m2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custos[1].grupo</t>
        </is>
      </c>
    </row>
    <row r="328">
      <c r="A328" s="5" t="inlineStr">
        <is>
          <t>Custo 1 — Categoria</t>
        </is>
      </c>
      <c r="B328" s="9" t="inlineStr">
        <is>
          <t>Preço</t>
        </is>
      </c>
      <c r="C328" s="7" t="inlineStr">
        <is>
          <t>ver tabela acima</t>
        </is>
      </c>
      <c r="D328" s="8" t="inlineStr">
        <is>
          <t>custos[1].categoria</t>
        </is>
      </c>
    </row>
    <row r="329">
      <c r="A329" s="5" t="inlineStr">
        <is>
          <t>Custo 1 — Subcategoria / descrição</t>
        </is>
      </c>
      <c r="B329" s="6" t="n"/>
      <c r="C329" s="7" t="inlineStr">
        <is>
          <t>Preço: Valor à vista | Parcelado; Outro: texto</t>
        </is>
      </c>
      <c r="D329" s="8" t="inlineStr">
        <is>
          <t>custos[1].subcategoria</t>
        </is>
      </c>
    </row>
    <row r="330">
      <c r="A330" s="5" t="inlineStr">
        <is>
          <t>Custo 1 — Unidade</t>
        </is>
      </c>
      <c r="B330" s="6" t="n"/>
      <c r="C330" s="7" t="inlineStr">
        <is>
          <t>lista: rs | rs_m2_priv | rs_m2_terreno | pct_vgv | pct_obra | pct_recebido | pct_constr</t>
        </is>
      </c>
      <c r="D330" s="8" t="inlineStr">
        <is>
          <t>custos[1].unidade</t>
        </is>
      </c>
    </row>
    <row r="331">
      <c r="A331" s="5" t="inlineStr">
        <is>
          <t>Custo 1 — Valor (R$ ou R$/m²)</t>
        </is>
      </c>
      <c r="B331" s="17" t="n"/>
      <c r="C331" s="7">
        <f>IF($B$330="","escolha a Unidade acima",IF($B$330="rs","R$ (valor cheio)",IF($B$330="rs_m2_priv","R$/m² privativo (fechada+aberta)",IF($B$330="rs_m2_terreno","R$/m² de terreno",IF(LEFT($B$330,3)="pct","— (use a linha de %)","unidade inválida")))))</f>
        <v/>
      </c>
      <c r="D331" s="8" t="inlineStr">
        <is>
          <t>custos[1].valor_rs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custos[1].valor_pct</t>
        </is>
      </c>
    </row>
    <row r="333">
      <c r="A333" s="5" t="inlineStr">
        <is>
          <t>Custo 1 — Distribuição</t>
        </is>
      </c>
      <c r="B333" s="6" t="n"/>
      <c r="C333" s="7" t="inlineStr">
        <is>
          <t>Linear | nome de uma curva do catálogo (ex.: Curva S) | unit_delivery | sales_revenue</t>
        </is>
      </c>
      <c r="D333" s="8" t="inlineStr">
        <is>
          <t>custos[1].distribuicao</t>
        </is>
      </c>
    </row>
    <row r="334">
      <c r="A334" s="5" t="inlineStr">
        <is>
          <t>Custo 1 — Cronograma</t>
        </is>
      </c>
      <c r="B334" s="6" t="n"/>
      <c r="C334" s="7" t="inlineStr">
        <is>
          <t>evento, customizado ou "fase: &lt;nome&gt;"</t>
        </is>
      </c>
      <c r="D334" s="8" t="inlineStr">
        <is>
          <t>custos[1].cronograma</t>
        </is>
      </c>
    </row>
    <row r="335">
      <c r="A335" s="5" t="inlineStr">
        <is>
          <t>Custo 1 — Início (só customizado)</t>
        </is>
      </c>
      <c r="B335" s="15" t="n"/>
      <c r="C335" s="7" t="inlineStr">
        <is>
          <t>mês (inteiro ≥ 0)</t>
        </is>
      </c>
      <c r="D335" s="8" t="inlineStr">
        <is>
          <t>custos[1].inicio_mes</t>
        </is>
      </c>
    </row>
    <row r="336">
      <c r="A336" s="5" t="inlineStr">
        <is>
          <t>Custo 1 — Duração (só customizado)</t>
        </is>
      </c>
      <c r="B336" s="15" t="n"/>
      <c r="C336" s="7" t="inlineStr">
        <is>
          <t>meses (inteiro ≥ 1)</t>
        </is>
      </c>
      <c r="D336" s="8" t="inlineStr">
        <is>
          <t>custos[1].duracao_meses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custos[2].grupo</t>
        </is>
      </c>
    </row>
    <row r="339">
      <c r="A339" s="5" t="inlineStr">
        <is>
          <t>Custo 2 — Categoria</t>
        </is>
      </c>
      <c r="B339" s="9" t="inlineStr">
        <is>
          <t>Construção</t>
        </is>
      </c>
      <c r="C339" s="7" t="inlineStr">
        <is>
          <t>ver tabela acima</t>
        </is>
      </c>
      <c r="D339" s="8" t="inlineStr">
        <is>
          <t>custos[2].categoria</t>
        </is>
      </c>
    </row>
    <row r="340">
      <c r="A340" s="5" t="inlineStr">
        <is>
          <t>Custo 2 — Subcategoria / descrição</t>
        </is>
      </c>
      <c r="B340" s="6" t="n"/>
      <c r="C340" s="7" t="inlineStr">
        <is>
          <t>Preço: Valor à vista | Parcelado; Outro: texto</t>
        </is>
      </c>
      <c r="D340" s="8" t="inlineStr">
        <is>
          <t>custos[2].subcategoria</t>
        </is>
      </c>
    </row>
    <row r="341">
      <c r="A341" s="5" t="inlineStr">
        <is>
          <t>Custo 2 — Unidade</t>
        </is>
      </c>
      <c r="B341" s="6" t="n"/>
      <c r="C341" s="7" t="inlineStr">
        <is>
          <t>lista: rs | rs_m2_priv | rs_m2_terreno | pct_vgv | pct_obra | pct_recebido | pct_constr</t>
        </is>
      </c>
      <c r="D341" s="8" t="inlineStr">
        <is>
          <t>custos[2].unidade</t>
        </is>
      </c>
    </row>
    <row r="342">
      <c r="A342" s="5" t="inlineStr">
        <is>
          <t>Custo 2 — Valor (R$ ou R$/m²)</t>
        </is>
      </c>
      <c r="B342" s="17" t="n"/>
      <c r="C342" s="7">
        <f>IF($B$341="","escolha a Unidade acima",IF($B$341="rs","R$ (valor cheio)",IF($B$341="rs_m2_priv","R$/m² privativo (fechada+aberta)",IF($B$341="rs_m2_terreno","R$/m² de terreno",IF(LEFT($B$341,3)="pct","— (use a linha de %)","unidade inválida")))))</f>
        <v/>
      </c>
      <c r="D342" s="8" t="inlineStr">
        <is>
          <t>custos[2].valor_rs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custos[2].valor_pct</t>
        </is>
      </c>
    </row>
    <row r="344">
      <c r="A344" s="5" t="inlineStr">
        <is>
          <t>Custo 2 — Distribuição</t>
        </is>
      </c>
      <c r="B344" s="6" t="n"/>
      <c r="C344" s="7" t="inlineStr">
        <is>
          <t>Linear | nome de uma curva do catálogo (ex.: Curva S) | unit_delivery | sales_revenue</t>
        </is>
      </c>
      <c r="D344" s="8" t="inlineStr">
        <is>
          <t>custos[2].distribuicao</t>
        </is>
      </c>
    </row>
    <row r="345">
      <c r="A345" s="5" t="inlineStr">
        <is>
          <t>Custo 2 — Cronograma</t>
        </is>
      </c>
      <c r="B345" s="6" t="n"/>
      <c r="C345" s="7" t="inlineStr">
        <is>
          <t>evento, customizado ou "fase: &lt;nome&gt;"</t>
        </is>
      </c>
      <c r="D345" s="8" t="inlineStr">
        <is>
          <t>custos[2].cronograma</t>
        </is>
      </c>
    </row>
    <row r="346">
      <c r="A346" s="5" t="inlineStr">
        <is>
          <t>Custo 2 — Início (só customizado)</t>
        </is>
      </c>
      <c r="B346" s="15" t="n"/>
      <c r="C346" s="7" t="inlineStr">
        <is>
          <t>mês (inteiro ≥ 0)</t>
        </is>
      </c>
      <c r="D346" s="8" t="inlineStr">
        <is>
          <t>custos[2].inicio_mes</t>
        </is>
      </c>
    </row>
    <row r="347">
      <c r="A347" s="5" t="inlineStr">
        <is>
          <t>Custo 2 — Duração (só customizado)</t>
        </is>
      </c>
      <c r="B347" s="15" t="n"/>
      <c r="C347" s="7" t="inlineStr">
        <is>
          <t>meses (inteiro ≥ 1)</t>
        </is>
      </c>
      <c r="D347" s="8" t="inlineStr">
        <is>
          <t>custos[2].duracao_meses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custos[3].grupo</t>
        </is>
      </c>
    </row>
    <row r="350">
      <c r="A350" s="5" t="inlineStr">
        <is>
          <t>Custo 3 — Categoria</t>
        </is>
      </c>
      <c r="B350" s="9" t="inlineStr">
        <is>
          <t>Corretagem de vendas</t>
        </is>
      </c>
      <c r="C350" s="7" t="inlineStr">
        <is>
          <t>ver tabela acima</t>
        </is>
      </c>
      <c r="D350" s="8" t="inlineStr">
        <is>
          <t>custos[3].categoria</t>
        </is>
      </c>
    </row>
    <row r="351">
      <c r="A351" s="5" t="inlineStr">
        <is>
          <t>Custo 3 — Subcategoria / descrição</t>
        </is>
      </c>
      <c r="B351" s="6" t="n"/>
      <c r="C351" s="7" t="inlineStr">
        <is>
          <t>Preço: Valor à vista | Parcelado; Outro: texto</t>
        </is>
      </c>
      <c r="D351" s="8" t="inlineStr">
        <is>
          <t>custos[3].subcategoria</t>
        </is>
      </c>
    </row>
    <row r="352">
      <c r="A352" s="5" t="inlineStr">
        <is>
          <t>Custo 3 — Unidade</t>
        </is>
      </c>
      <c r="B352" s="9" t="inlineStr">
        <is>
          <t>pct_vgv</t>
        </is>
      </c>
      <c r="C352" s="7" t="inlineStr">
        <is>
          <t>lista: rs | rs_m2_priv | rs_m2_terreno | pct_vgv | pct_obra | pct_recebido | pct_constr</t>
        </is>
      </c>
      <c r="D352" s="8" t="inlineStr">
        <is>
          <t>custos[3].unidade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custos[3].valor_rs</t>
        </is>
      </c>
    </row>
    <row r="354">
      <c r="A354" s="5" t="inlineStr">
        <is>
          <t>Custo 3 — Valor (%)</t>
        </is>
      </c>
      <c r="B354" s="12" t="n"/>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custos[3].valor_pct</t>
        </is>
      </c>
    </row>
    <row r="355">
      <c r="A355" s="5" t="inlineStr">
        <is>
          <t>Custo 3 — Distribuição</t>
        </is>
      </c>
      <c r="B355" s="6" t="n"/>
      <c r="C355" s="7" t="inlineStr">
        <is>
          <t>Linear | nome de uma curva do catálogo (ex.: Curva S) | unit_delivery | sales_revenue</t>
        </is>
      </c>
      <c r="D355" s="8" t="inlineStr">
        <is>
          <t>custos[3].distribuicao</t>
        </is>
      </c>
    </row>
    <row r="356">
      <c r="A356" s="5" t="inlineStr">
        <is>
          <t>Custo 3 — Cronograma</t>
        </is>
      </c>
      <c r="B356" s="6" t="n"/>
      <c r="C356" s="7" t="inlineStr">
        <is>
          <t>evento, customizado ou "fase: &lt;nome&gt;"</t>
        </is>
      </c>
      <c r="D356" s="8" t="inlineStr">
        <is>
          <t>custos[3].cronograma</t>
        </is>
      </c>
    </row>
    <row r="357">
      <c r="A357" s="5" t="inlineStr">
        <is>
          <t>Custo 3 — Início (só customizado)</t>
        </is>
      </c>
      <c r="B357" s="15" t="n"/>
      <c r="C357" s="7" t="inlineStr">
        <is>
          <t>mês (inteiro ≥ 0)</t>
        </is>
      </c>
      <c r="D357" s="8" t="inlineStr">
        <is>
          <t>custos[3].inicio_mes</t>
        </is>
      </c>
    </row>
    <row r="358">
      <c r="A358" s="5" t="inlineStr">
        <is>
          <t>Custo 3 — Duração (só customizado)</t>
        </is>
      </c>
      <c r="B358" s="15" t="n"/>
      <c r="C358" s="7" t="inlineStr">
        <is>
          <t>meses (inteiro ≥ 1)</t>
        </is>
      </c>
      <c r="D358" s="8" t="inlineStr">
        <is>
          <t>custos[3].duracao_meses</t>
        </is>
      </c>
    </row>
    <row r="359">
      <c r="A359" s="16" t="inlineStr">
        <is>
          <t>Custo 4</t>
        </is>
      </c>
    </row>
    <row r="360">
      <c r="A360" s="5" t="inlineStr">
        <is>
          <t>Custo 4 — Grupo</t>
        </is>
      </c>
      <c r="B360" s="6" t="n"/>
      <c r="C360" s="7" t="inlineStr">
        <is>
          <t>lista: terreno | obra | diretos | indireto | financeiro</t>
        </is>
      </c>
      <c r="D360" s="8" t="inlineStr">
        <is>
          <t>custos[4].grupo</t>
        </is>
      </c>
    </row>
    <row r="361">
      <c r="A361" s="5" t="inlineStr">
        <is>
          <t>Custo 4 — Categoria</t>
        </is>
      </c>
      <c r="B361" s="6" t="n"/>
      <c r="C361" s="7" t="inlineStr">
        <is>
          <t>ver tabela acima</t>
        </is>
      </c>
      <c r="D361" s="8" t="inlineStr">
        <is>
          <t>custos[4].categoria</t>
        </is>
      </c>
    </row>
    <row r="362">
      <c r="A362" s="5" t="inlineStr">
        <is>
          <t>Custo 4 — Subcategoria / descrição</t>
        </is>
      </c>
      <c r="B362" s="6" t="n"/>
      <c r="C362" s="7" t="inlineStr">
        <is>
          <t>Preço: Valor à vista | Parcelado; Outro: texto</t>
        </is>
      </c>
      <c r="D362" s="8" t="inlineStr">
        <is>
          <t>custos[4].subcategoria</t>
        </is>
      </c>
    </row>
    <row r="363">
      <c r="A363" s="5" t="inlineStr">
        <is>
          <t>Custo 4 — Unidade</t>
        </is>
      </c>
      <c r="B363" s="6" t="n"/>
      <c r="C363" s="7" t="inlineStr">
        <is>
          <t>lista: rs | rs_m2_priv | rs_m2_terreno | pct_vgv | pct_obra | pct_recebido | pct_constr</t>
        </is>
      </c>
      <c r="D363" s="8" t="inlineStr">
        <is>
          <t>custos[4].unidade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custos[4].valor_rs</t>
        </is>
      </c>
    </row>
    <row r="365">
      <c r="A365" s="5" t="inlineStr">
        <is>
          <t>Custo 4 — Valor (%)</t>
        </is>
      </c>
      <c r="B365" s="12" t="n"/>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custos[4].valor_pct</t>
        </is>
      </c>
    </row>
    <row r="366">
      <c r="A366" s="5" t="inlineStr">
        <is>
          <t>Custo 4 — Distribuição</t>
        </is>
      </c>
      <c r="B366" s="6" t="n"/>
      <c r="C366" s="7" t="inlineStr">
        <is>
          <t>Linear | nome de uma curva do catálogo (ex.: Curva S) | unit_delivery | sales_revenue</t>
        </is>
      </c>
      <c r="D366" s="8" t="inlineStr">
        <is>
          <t>custos[4].distribuicao</t>
        </is>
      </c>
    </row>
    <row r="367">
      <c r="A367" s="5" t="inlineStr">
        <is>
          <t>Custo 4 — Cronograma</t>
        </is>
      </c>
      <c r="B367" s="6" t="n"/>
      <c r="C367" s="7" t="inlineStr">
        <is>
          <t>evento, customizado ou "fase: &lt;nome&gt;"</t>
        </is>
      </c>
      <c r="D367" s="8" t="inlineStr">
        <is>
          <t>custos[4].cronograma</t>
        </is>
      </c>
    </row>
    <row r="368">
      <c r="A368" s="5" t="inlineStr">
        <is>
          <t>Custo 4 — Início (só customizado)</t>
        </is>
      </c>
      <c r="B368" s="15" t="n"/>
      <c r="C368" s="7" t="inlineStr">
        <is>
          <t>mês (inteiro ≥ 0)</t>
        </is>
      </c>
      <c r="D368" s="8" t="inlineStr">
        <is>
          <t>custos[4].inicio_mes</t>
        </is>
      </c>
    </row>
    <row r="369">
      <c r="A369" s="5" t="inlineStr">
        <is>
          <t>Custo 4 — Duração (só customizado)</t>
        </is>
      </c>
      <c r="B369" s="15" t="n"/>
      <c r="C369" s="7" t="inlineStr">
        <is>
          <t>meses (inteiro ≥ 1)</t>
        </is>
      </c>
      <c r="D369" s="8" t="inlineStr">
        <is>
          <t>custos[4].duracao_meses</t>
        </is>
      </c>
    </row>
    <row r="370">
      <c r="A370" s="16" t="inlineStr">
        <is>
          <t>Custo 5</t>
        </is>
      </c>
    </row>
    <row r="371">
      <c r="A371" s="5" t="inlineStr">
        <is>
          <t>Custo 5 — Grupo</t>
        </is>
      </c>
      <c r="B371" s="6" t="n"/>
      <c r="C371" s="7" t="inlineStr">
        <is>
          <t>lista: terreno | obra | diretos | indireto | financeiro</t>
        </is>
      </c>
      <c r="D371" s="8" t="inlineStr">
        <is>
          <t>custos[5].grupo</t>
        </is>
      </c>
    </row>
    <row r="372">
      <c r="A372" s="5" t="inlineStr">
        <is>
          <t>Custo 5 — Categoria</t>
        </is>
      </c>
      <c r="B372" s="6" t="n"/>
      <c r="C372" s="7" t="inlineStr">
        <is>
          <t>ver tabela acima</t>
        </is>
      </c>
      <c r="D372" s="8" t="inlineStr">
        <is>
          <t>custos[5].categoria</t>
        </is>
      </c>
    </row>
    <row r="373">
      <c r="A373" s="5" t="inlineStr">
        <is>
          <t>Custo 5 — Subcategoria / descrição</t>
        </is>
      </c>
      <c r="B373" s="6" t="n"/>
      <c r="C373" s="7" t="inlineStr">
        <is>
          <t>Preço: Valor à vista | Parcelado; Outro: texto</t>
        </is>
      </c>
      <c r="D373" s="8" t="inlineStr">
        <is>
          <t>custos[5].subcategoria</t>
        </is>
      </c>
    </row>
    <row r="374">
      <c r="A374" s="5" t="inlineStr">
        <is>
          <t>Custo 5 — Unidade</t>
        </is>
      </c>
      <c r="B374" s="6" t="n"/>
      <c r="C374" s="7" t="inlineStr">
        <is>
          <t>lista: rs | rs_m2_priv | rs_m2_terreno | pct_vgv | pct_obra | pct_recebido | pct_constr</t>
        </is>
      </c>
      <c r="D374" s="8" t="inlineStr">
        <is>
          <t>custos[5].unidade</t>
        </is>
      </c>
    </row>
    <row r="375">
      <c r="A375" s="5" t="inlineStr">
        <is>
          <t>Custo 5 — Valor (R$ ou R$/m²)</t>
        </is>
      </c>
      <c r="B375" s="17" t="n"/>
      <c r="C375" s="7">
        <f>IF($B$374="","escolha a Unidade acima",IF($B$374="rs","R$ (valor cheio)",IF($B$374="rs_m2_priv","R$/m² privativo (fechada+aberta)",IF($B$374="rs_m2_terreno","R$/m² de terreno",IF(LEFT($B$374,3)="pct","— (use a linha de %)","unidade inválida")))))</f>
        <v/>
      </c>
      <c r="D375" s="8" t="inlineStr">
        <is>
          <t>custos[5].valor_rs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custos[5].valor_pct</t>
        </is>
      </c>
    </row>
    <row r="377">
      <c r="A377" s="5" t="inlineStr">
        <is>
          <t>Custo 5 — Distribuição</t>
        </is>
      </c>
      <c r="B377" s="6" t="n"/>
      <c r="C377" s="7" t="inlineStr">
        <is>
          <t>Linear | nome de uma curva do catálogo (ex.: Curva S) | unit_delivery | sales_revenue</t>
        </is>
      </c>
      <c r="D377" s="8" t="inlineStr">
        <is>
          <t>custos[5].distribuicao</t>
        </is>
      </c>
    </row>
    <row r="378">
      <c r="A378" s="5" t="inlineStr">
        <is>
          <t>Custo 5 — Cronograma</t>
        </is>
      </c>
      <c r="B378" s="6" t="n"/>
      <c r="C378" s="7" t="inlineStr">
        <is>
          <t>evento, customizado ou "fase: &lt;nome&gt;"</t>
        </is>
      </c>
      <c r="D378" s="8" t="inlineStr">
        <is>
          <t>custos[5].cronograma</t>
        </is>
      </c>
    </row>
    <row r="379">
      <c r="A379" s="5" t="inlineStr">
        <is>
          <t>Custo 5 — Início (só customizado)</t>
        </is>
      </c>
      <c r="B379" s="15" t="n"/>
      <c r="C379" s="7" t="inlineStr">
        <is>
          <t>mês (inteiro ≥ 0)</t>
        </is>
      </c>
      <c r="D379" s="8" t="inlineStr">
        <is>
          <t>custos[5].inicio_mes</t>
        </is>
      </c>
    </row>
    <row r="380">
      <c r="A380" s="5" t="inlineStr">
        <is>
          <t>Custo 5 — Duração (só customizado)</t>
        </is>
      </c>
      <c r="B380" s="15" t="n"/>
      <c r="C380" s="7" t="inlineStr">
        <is>
          <t>meses (inteiro ≥ 1)</t>
        </is>
      </c>
      <c r="D380" s="8" t="inlineStr">
        <is>
          <t>custos[5].duracao_meses</t>
        </is>
      </c>
    </row>
    <row r="381">
      <c r="A381" s="16" t="inlineStr">
        <is>
          <t>Custo 6</t>
        </is>
      </c>
    </row>
    <row r="382">
      <c r="A382" s="5" t="inlineStr">
        <is>
          <t>Custo 6 — Grupo</t>
        </is>
      </c>
      <c r="B382" s="6" t="n"/>
      <c r="C382" s="7" t="inlineStr">
        <is>
          <t>lista: terreno | obra | diretos | indireto | financeiro</t>
        </is>
      </c>
      <c r="D382" s="8" t="inlineStr">
        <is>
          <t>custos[6].grupo</t>
        </is>
      </c>
    </row>
    <row r="383">
      <c r="A383" s="5" t="inlineStr">
        <is>
          <t>Custo 6 — Categoria</t>
        </is>
      </c>
      <c r="B383" s="6" t="n"/>
      <c r="C383" s="7" t="inlineStr">
        <is>
          <t>ver tabela acima</t>
        </is>
      </c>
      <c r="D383" s="8" t="inlineStr">
        <is>
          <t>custos[6].categoria</t>
        </is>
      </c>
    </row>
    <row r="384">
      <c r="A384" s="5" t="inlineStr">
        <is>
          <t>Custo 6 — Subcategoria / descrição</t>
        </is>
      </c>
      <c r="B384" s="6" t="n"/>
      <c r="C384" s="7" t="inlineStr">
        <is>
          <t>Preço: Valor à vista | Parcelado; Outro: texto</t>
        </is>
      </c>
      <c r="D384" s="8" t="inlineStr">
        <is>
          <t>custos[6].subcategoria</t>
        </is>
      </c>
    </row>
    <row r="385">
      <c r="A385" s="5" t="inlineStr">
        <is>
          <t>Custo 6 — Unidade</t>
        </is>
      </c>
      <c r="B385" s="6" t="n"/>
      <c r="C385" s="7" t="inlineStr">
        <is>
          <t>lista: rs | rs_m2_priv | rs_m2_terreno | pct_vgv | pct_obra | pct_recebido | pct_constr</t>
        </is>
      </c>
      <c r="D385" s="8" t="inlineStr">
        <is>
          <t>custos[6].unidade</t>
        </is>
      </c>
    </row>
    <row r="386">
      <c r="A386" s="5" t="inlineStr">
        <is>
          <t>Custo 6 — Valor (R$ ou R$/m²)</t>
        </is>
      </c>
      <c r="B386" s="17" t="n"/>
      <c r="C386" s="7">
        <f>IF($B$385="","escolha a Unidade acima",IF($B$385="rs","R$ (valor cheio)",IF($B$385="rs_m2_priv","R$/m² privativo (fechada+aberta)",IF($B$385="rs_m2_terreno","R$/m² de terreno",IF(LEFT($B$385,3)="pct","— (use a linha de %)","unidade inválida")))))</f>
        <v/>
      </c>
      <c r="D386" s="8" t="inlineStr">
        <is>
          <t>custos[6].valor_rs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custos[6].valor_pct</t>
        </is>
      </c>
    </row>
    <row r="388">
      <c r="A388" s="5" t="inlineStr">
        <is>
          <t>Custo 6 — Distribuição</t>
        </is>
      </c>
      <c r="B388" s="6" t="n"/>
      <c r="C388" s="7" t="inlineStr">
        <is>
          <t>Linear | nome de uma curva do catálogo (ex.: Curva S) | unit_delivery | sales_revenue</t>
        </is>
      </c>
      <c r="D388" s="8" t="inlineStr">
        <is>
          <t>custos[6].distribuicao</t>
        </is>
      </c>
    </row>
    <row r="389">
      <c r="A389" s="5" t="inlineStr">
        <is>
          <t>Custo 6 — Cronograma</t>
        </is>
      </c>
      <c r="B389" s="6" t="n"/>
      <c r="C389" s="7" t="inlineStr">
        <is>
          <t>evento, customizado ou "fase: &lt;nome&gt;"</t>
        </is>
      </c>
      <c r="D389" s="8" t="inlineStr">
        <is>
          <t>custos[6].cronograma</t>
        </is>
      </c>
    </row>
    <row r="390">
      <c r="A390" s="5" t="inlineStr">
        <is>
          <t>Custo 6 — Início (só customizado)</t>
        </is>
      </c>
      <c r="B390" s="15" t="n"/>
      <c r="C390" s="7" t="inlineStr">
        <is>
          <t>mês (inteiro ≥ 0)</t>
        </is>
      </c>
      <c r="D390" s="8" t="inlineStr">
        <is>
          <t>custos[6].inicio_mes</t>
        </is>
      </c>
    </row>
    <row r="391">
      <c r="A391" s="5" t="inlineStr">
        <is>
          <t>Custo 6 — Duração (só customizado)</t>
        </is>
      </c>
      <c r="B391" s="15" t="n"/>
      <c r="C391" s="7" t="inlineStr">
        <is>
          <t>meses (inteiro ≥ 1)</t>
        </is>
      </c>
      <c r="D391" s="8" t="inlineStr">
        <is>
          <t>custos[6].duracao_meses</t>
        </is>
      </c>
    </row>
    <row r="392">
      <c r="A392" s="16" t="inlineStr">
        <is>
          <t>Custo 7</t>
        </is>
      </c>
    </row>
    <row r="393">
      <c r="A393" s="5" t="inlineStr">
        <is>
          <t>Custo 7 — Grupo</t>
        </is>
      </c>
      <c r="B393" s="6" t="n"/>
      <c r="C393" s="7" t="inlineStr">
        <is>
          <t>lista: terreno | obra | diretos | indireto | financeiro</t>
        </is>
      </c>
      <c r="D393" s="8" t="inlineStr">
        <is>
          <t>custos[7].grupo</t>
        </is>
      </c>
    </row>
    <row r="394">
      <c r="A394" s="5" t="inlineStr">
        <is>
          <t>Custo 7 — Categoria</t>
        </is>
      </c>
      <c r="B394" s="6" t="n"/>
      <c r="C394" s="7" t="inlineStr">
        <is>
          <t>ver tabela acima</t>
        </is>
      </c>
      <c r="D394" s="8" t="inlineStr">
        <is>
          <t>custos[7].categoria</t>
        </is>
      </c>
    </row>
    <row r="395">
      <c r="A395" s="5" t="inlineStr">
        <is>
          <t>Custo 7 — Subcategoria / descrição</t>
        </is>
      </c>
      <c r="B395" s="6" t="n"/>
      <c r="C395" s="7" t="inlineStr">
        <is>
          <t>Preço: Valor à vista | Parcelado; Outro: texto</t>
        </is>
      </c>
      <c r="D395" s="8" t="inlineStr">
        <is>
          <t>custos[7].subcategoria</t>
        </is>
      </c>
    </row>
    <row r="396">
      <c r="A396" s="5" t="inlineStr">
        <is>
          <t>Custo 7 — Unidade</t>
        </is>
      </c>
      <c r="B396" s="6" t="n"/>
      <c r="C396" s="7" t="inlineStr">
        <is>
          <t>lista: rs | rs_m2_priv | rs_m2_terreno | pct_vgv | pct_obra | pct_recebido | pct_constr</t>
        </is>
      </c>
      <c r="D396" s="8" t="inlineStr">
        <is>
          <t>custos[7].unidade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custos[7].valor_rs</t>
        </is>
      </c>
    </row>
    <row r="398">
      <c r="A398" s="5" t="inlineStr">
        <is>
          <t>Custo 7 — Valor (%)</t>
        </is>
      </c>
      <c r="B398" s="12" t="n"/>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custos[7].valor_pct</t>
        </is>
      </c>
    </row>
    <row r="399">
      <c r="A399" s="5" t="inlineStr">
        <is>
          <t>Custo 7 — Distribuição</t>
        </is>
      </c>
      <c r="B399" s="6" t="n"/>
      <c r="C399" s="7" t="inlineStr">
        <is>
          <t>Linear | nome de uma curva do catálogo (ex.: Curva S) | unit_delivery | sales_revenue</t>
        </is>
      </c>
      <c r="D399" s="8" t="inlineStr">
        <is>
          <t>custos[7].distribuicao</t>
        </is>
      </c>
    </row>
    <row r="400">
      <c r="A400" s="5" t="inlineStr">
        <is>
          <t>Custo 7 — Cronograma</t>
        </is>
      </c>
      <c r="B400" s="6" t="n"/>
      <c r="C400" s="7" t="inlineStr">
        <is>
          <t>evento, customizado ou "fase: &lt;nome&gt;"</t>
        </is>
      </c>
      <c r="D400" s="8" t="inlineStr">
        <is>
          <t>custos[7].cronograma</t>
        </is>
      </c>
    </row>
    <row r="401">
      <c r="A401" s="5" t="inlineStr">
        <is>
          <t>Custo 7 — Início (só customizado)</t>
        </is>
      </c>
      <c r="B401" s="15" t="n"/>
      <c r="C401" s="7" t="inlineStr">
        <is>
          <t>mês (inteiro ≥ 0)</t>
        </is>
      </c>
      <c r="D401" s="8" t="inlineStr">
        <is>
          <t>custos[7].inicio_mes</t>
        </is>
      </c>
    </row>
    <row r="402">
      <c r="A402" s="5" t="inlineStr">
        <is>
          <t>Custo 7 — Duração (só customizado)</t>
        </is>
      </c>
      <c r="B402" s="15" t="n"/>
      <c r="C402" s="7" t="inlineStr">
        <is>
          <t>meses (inteiro ≥ 1)</t>
        </is>
      </c>
      <c r="D402" s="8" t="inlineStr">
        <is>
          <t>custos[7].duracao_meses</t>
        </is>
      </c>
    </row>
    <row r="403">
      <c r="A403" s="16" t="inlineStr">
        <is>
          <t>Custo 8</t>
        </is>
      </c>
    </row>
    <row r="404">
      <c r="A404" s="5" t="inlineStr">
        <is>
          <t>Custo 8 — Grupo</t>
        </is>
      </c>
      <c r="B404" s="6" t="n"/>
      <c r="C404" s="7" t="inlineStr">
        <is>
          <t>lista: terreno | obra | diretos | indireto | financeiro</t>
        </is>
      </c>
      <c r="D404" s="8" t="inlineStr">
        <is>
          <t>custos[8].grupo</t>
        </is>
      </c>
    </row>
    <row r="405">
      <c r="A405" s="5" t="inlineStr">
        <is>
          <t>Custo 8 — Categoria</t>
        </is>
      </c>
      <c r="B405" s="6" t="n"/>
      <c r="C405" s="7" t="inlineStr">
        <is>
          <t>ver tabela acima</t>
        </is>
      </c>
      <c r="D405" s="8" t="inlineStr">
        <is>
          <t>custos[8].categoria</t>
        </is>
      </c>
    </row>
    <row r="406">
      <c r="A406" s="5" t="inlineStr">
        <is>
          <t>Custo 8 — Subcategoria / descrição</t>
        </is>
      </c>
      <c r="B406" s="6" t="n"/>
      <c r="C406" s="7" t="inlineStr">
        <is>
          <t>Preço: Valor à vista | Parcelado; Outro: texto</t>
        </is>
      </c>
      <c r="D406" s="8" t="inlineStr">
        <is>
          <t>custos[8].subcategoria</t>
        </is>
      </c>
    </row>
    <row r="407">
      <c r="A407" s="5" t="inlineStr">
        <is>
          <t>Custo 8 — Unidade</t>
        </is>
      </c>
      <c r="B407" s="6" t="n"/>
      <c r="C407" s="7" t="inlineStr">
        <is>
          <t>lista: rs | rs_m2_priv | rs_m2_terreno | pct_vgv | pct_obra | pct_recebido | pct_constr</t>
        </is>
      </c>
      <c r="D407" s="8" t="inlineStr">
        <is>
          <t>custos[8].unidade</t>
        </is>
      </c>
    </row>
    <row r="408">
      <c r="A408" s="5" t="inlineStr">
        <is>
          <t>Custo 8 — Valor (R$ ou R$/m²)</t>
        </is>
      </c>
      <c r="B408" s="17" t="n"/>
      <c r="C408" s="7">
        <f>IF($B$407="","escolha a Unidade acima",IF($B$407="rs","R$ (valor cheio)",IF($B$407="rs_m2_priv","R$/m² privativo (fechada+aberta)",IF($B$407="rs_m2_terreno","R$/m² de terreno",IF(LEFT($B$407,3)="pct","— (use a linha de %)","unidade inválida")))))</f>
        <v/>
      </c>
      <c r="D408" s="8" t="inlineStr">
        <is>
          <t>custos[8].valor_rs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custos[8].valor_pct</t>
        </is>
      </c>
    </row>
    <row r="410">
      <c r="A410" s="5" t="inlineStr">
        <is>
          <t>Custo 8 — Distribuição</t>
        </is>
      </c>
      <c r="B410" s="6" t="n"/>
      <c r="C410" s="7" t="inlineStr">
        <is>
          <t>Linear | nome de uma curva do catálogo (ex.: Curva S) | unit_delivery | sales_revenue</t>
        </is>
      </c>
      <c r="D410" s="8" t="inlineStr">
        <is>
          <t>custos[8].distribuicao</t>
        </is>
      </c>
    </row>
    <row r="411">
      <c r="A411" s="5" t="inlineStr">
        <is>
          <t>Custo 8 — Cronograma</t>
        </is>
      </c>
      <c r="B411" s="6" t="n"/>
      <c r="C411" s="7" t="inlineStr">
        <is>
          <t>evento, customizado ou "fase: &lt;nome&gt;"</t>
        </is>
      </c>
      <c r="D411" s="8" t="inlineStr">
        <is>
          <t>custos[8].cronograma</t>
        </is>
      </c>
    </row>
    <row r="412">
      <c r="A412" s="5" t="inlineStr">
        <is>
          <t>Custo 8 — Início (só customizado)</t>
        </is>
      </c>
      <c r="B412" s="15" t="n"/>
      <c r="C412" s="7" t="inlineStr">
        <is>
          <t>mês (inteiro ≥ 0)</t>
        </is>
      </c>
      <c r="D412" s="8" t="inlineStr">
        <is>
          <t>custos[8].inicio_mes</t>
        </is>
      </c>
    </row>
    <row r="413">
      <c r="A413" s="5" t="inlineStr">
        <is>
          <t>Custo 8 — Duração (só customizado)</t>
        </is>
      </c>
      <c r="B413" s="15" t="n"/>
      <c r="C413" s="7" t="inlineStr">
        <is>
          <t>meses (inteiro ≥ 1)</t>
        </is>
      </c>
      <c r="D413" s="8" t="inlineStr">
        <is>
          <t>custos[8].duracao_meses</t>
        </is>
      </c>
    </row>
    <row r="414">
      <c r="A414" s="16" t="inlineStr">
        <is>
          <t>Custo 9</t>
        </is>
      </c>
    </row>
    <row r="415">
      <c r="A415" s="5" t="inlineStr">
        <is>
          <t>Custo 9 — Grupo</t>
        </is>
      </c>
      <c r="B415" s="6" t="n"/>
      <c r="C415" s="7" t="inlineStr">
        <is>
          <t>lista: terreno | obra | diretos | indireto | financeiro</t>
        </is>
      </c>
      <c r="D415" s="8" t="inlineStr">
        <is>
          <t>custos[9].grupo</t>
        </is>
      </c>
    </row>
    <row r="416">
      <c r="A416" s="5" t="inlineStr">
        <is>
          <t>Custo 9 — Categoria</t>
        </is>
      </c>
      <c r="B416" s="6" t="n"/>
      <c r="C416" s="7" t="inlineStr">
        <is>
          <t>ver tabela acima</t>
        </is>
      </c>
      <c r="D416" s="8" t="inlineStr">
        <is>
          <t>custos[9].categoria</t>
        </is>
      </c>
    </row>
    <row r="417">
      <c r="A417" s="5" t="inlineStr">
        <is>
          <t>Custo 9 — Subcategoria / descrição</t>
        </is>
      </c>
      <c r="B417" s="6" t="n"/>
      <c r="C417" s="7" t="inlineStr">
        <is>
          <t>Preço: Valor à vista | Parcelado; Outro: texto</t>
        </is>
      </c>
      <c r="D417" s="8" t="inlineStr">
        <is>
          <t>custos[9].subcategoria</t>
        </is>
      </c>
    </row>
    <row r="418">
      <c r="A418" s="5" t="inlineStr">
        <is>
          <t>Custo 9 — Unidade</t>
        </is>
      </c>
      <c r="B418" s="6" t="n"/>
      <c r="C418" s="7" t="inlineStr">
        <is>
          <t>lista: rs | rs_m2_priv | rs_m2_terreno | pct_vgv | pct_obra | pct_recebido | pct_constr</t>
        </is>
      </c>
      <c r="D418" s="8" t="inlineStr">
        <is>
          <t>custos[9].unidade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custos[9].valor_rs</t>
        </is>
      </c>
    </row>
    <row r="420">
      <c r="A420" s="5" t="inlineStr">
        <is>
          <t>Custo 9 — Valor (%)</t>
        </is>
      </c>
      <c r="B420" s="12" t="n"/>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custos[9].valor_pct</t>
        </is>
      </c>
    </row>
    <row r="421">
      <c r="A421" s="5" t="inlineStr">
        <is>
          <t>Custo 9 — Distribuição</t>
        </is>
      </c>
      <c r="B421" s="6" t="n"/>
      <c r="C421" s="7" t="inlineStr">
        <is>
          <t>Linear | nome de uma curva do catálogo (ex.: Curva S) | unit_delivery | sales_revenue</t>
        </is>
      </c>
      <c r="D421" s="8" t="inlineStr">
        <is>
          <t>custos[9].distribuicao</t>
        </is>
      </c>
    </row>
    <row r="422">
      <c r="A422" s="5" t="inlineStr">
        <is>
          <t>Custo 9 — Cronograma</t>
        </is>
      </c>
      <c r="B422" s="6" t="n"/>
      <c r="C422" s="7" t="inlineStr">
        <is>
          <t>evento, customizado ou "fase: &lt;nome&gt;"</t>
        </is>
      </c>
      <c r="D422" s="8" t="inlineStr">
        <is>
          <t>custos[9].cronograma</t>
        </is>
      </c>
    </row>
    <row r="423">
      <c r="A423" s="5" t="inlineStr">
        <is>
          <t>Custo 9 — Início (só customizado)</t>
        </is>
      </c>
      <c r="B423" s="15" t="n"/>
      <c r="C423" s="7" t="inlineStr">
        <is>
          <t>mês (inteiro ≥ 0)</t>
        </is>
      </c>
      <c r="D423" s="8" t="inlineStr">
        <is>
          <t>custos[9].inicio_mes</t>
        </is>
      </c>
    </row>
    <row r="424">
      <c r="A424" s="5" t="inlineStr">
        <is>
          <t>Custo 9 — Duração (só customizado)</t>
        </is>
      </c>
      <c r="B424" s="15" t="n"/>
      <c r="C424" s="7" t="inlineStr">
        <is>
          <t>meses (inteiro ≥ 1)</t>
        </is>
      </c>
      <c r="D424" s="8" t="inlineStr">
        <is>
          <t>custos[9].duracao_meses</t>
        </is>
      </c>
    </row>
    <row r="425">
      <c r="A425" s="16" t="inlineStr">
        <is>
          <t>Custo 10</t>
        </is>
      </c>
    </row>
    <row r="426">
      <c r="A426" s="5" t="inlineStr">
        <is>
          <t>Custo 10 — Grupo</t>
        </is>
      </c>
      <c r="B426" s="6" t="n"/>
      <c r="C426" s="7" t="inlineStr">
        <is>
          <t>lista: terreno | obra | diretos | indireto | financeiro</t>
        </is>
      </c>
      <c r="D426" s="8" t="inlineStr">
        <is>
          <t>custos[10].grupo</t>
        </is>
      </c>
    </row>
    <row r="427">
      <c r="A427" s="5" t="inlineStr">
        <is>
          <t>Custo 10 — Categoria</t>
        </is>
      </c>
      <c r="B427" s="6" t="n"/>
      <c r="C427" s="7" t="inlineStr">
        <is>
          <t>ver tabela acima</t>
        </is>
      </c>
      <c r="D427" s="8" t="inlineStr">
        <is>
          <t>custos[10].categoria</t>
        </is>
      </c>
    </row>
    <row r="428">
      <c r="A428" s="5" t="inlineStr">
        <is>
          <t>Custo 10 — Subcategoria / descrição</t>
        </is>
      </c>
      <c r="B428" s="6" t="n"/>
      <c r="C428" s="7" t="inlineStr">
        <is>
          <t>Preço: Valor à vista | Parcelado; Outro: texto</t>
        </is>
      </c>
      <c r="D428" s="8" t="inlineStr">
        <is>
          <t>custos[10].subcategoria</t>
        </is>
      </c>
    </row>
    <row r="429">
      <c r="A429" s="5" t="inlineStr">
        <is>
          <t>Custo 10 — Unidade</t>
        </is>
      </c>
      <c r="B429" s="6" t="n"/>
      <c r="C429" s="7" t="inlineStr">
        <is>
          <t>lista: rs | rs_m2_priv | rs_m2_terreno | pct_vgv | pct_obra | pct_recebido | pct_constr</t>
        </is>
      </c>
      <c r="D429" s="8" t="inlineStr">
        <is>
          <t>custos[10].unidade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custos[10].valor_rs</t>
        </is>
      </c>
    </row>
    <row r="431">
      <c r="A431" s="5" t="inlineStr">
        <is>
          <t>Custo 10 — Valor (%)</t>
        </is>
      </c>
      <c r="B431" s="12" t="n"/>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custos[10].valor_pct</t>
        </is>
      </c>
    </row>
    <row r="432">
      <c r="A432" s="5" t="inlineStr">
        <is>
          <t>Custo 10 — Distribuição</t>
        </is>
      </c>
      <c r="B432" s="6" t="n"/>
      <c r="C432" s="7" t="inlineStr">
        <is>
          <t>Linear | nome de uma curva do catálogo (ex.: Curva S) | unit_delivery | sales_revenue</t>
        </is>
      </c>
      <c r="D432" s="8" t="inlineStr">
        <is>
          <t>custos[10].distribuicao</t>
        </is>
      </c>
    </row>
    <row r="433">
      <c r="A433" s="5" t="inlineStr">
        <is>
          <t>Custo 10 — Cronograma</t>
        </is>
      </c>
      <c r="B433" s="6" t="n"/>
      <c r="C433" s="7" t="inlineStr">
        <is>
          <t>evento, customizado ou "fase: &lt;nome&gt;"</t>
        </is>
      </c>
      <c r="D433" s="8" t="inlineStr">
        <is>
          <t>custos[10].cronograma</t>
        </is>
      </c>
    </row>
    <row r="434">
      <c r="A434" s="5" t="inlineStr">
        <is>
          <t>Custo 10 — Início (só customizado)</t>
        </is>
      </c>
      <c r="B434" s="15" t="n"/>
      <c r="C434" s="7" t="inlineStr">
        <is>
          <t>mês (inteiro ≥ 0)</t>
        </is>
      </c>
      <c r="D434" s="8" t="inlineStr">
        <is>
          <t>custos[10].inicio_mes</t>
        </is>
      </c>
    </row>
    <row r="435">
      <c r="A435" s="5" t="inlineStr">
        <is>
          <t>Custo 10 — Duração (só customizado)</t>
        </is>
      </c>
      <c r="B435" s="15" t="n"/>
      <c r="C435" s="7" t="inlineStr">
        <is>
          <t>meses (inteiro ≥ 1)</t>
        </is>
      </c>
      <c r="D435" s="8" t="inlineStr">
        <is>
          <t>custos[10].duracao_meses</t>
        </is>
      </c>
    </row>
    <row r="436">
      <c r="A436" s="16" t="inlineStr">
        <is>
          <t>Custo 11</t>
        </is>
      </c>
    </row>
    <row r="437">
      <c r="A437" s="5" t="inlineStr">
        <is>
          <t>Custo 11 — Grupo</t>
        </is>
      </c>
      <c r="B437" s="6" t="n"/>
      <c r="C437" s="7" t="inlineStr">
        <is>
          <t>lista: terreno | obra | diretos | indireto | financeiro</t>
        </is>
      </c>
      <c r="D437" s="8" t="inlineStr">
        <is>
          <t>custos[11].grupo</t>
        </is>
      </c>
    </row>
    <row r="438">
      <c r="A438" s="5" t="inlineStr">
        <is>
          <t>Custo 11 — Categoria</t>
        </is>
      </c>
      <c r="B438" s="6" t="n"/>
      <c r="C438" s="7" t="inlineStr">
        <is>
          <t>ver tabela acima</t>
        </is>
      </c>
      <c r="D438" s="8" t="inlineStr">
        <is>
          <t>custos[11].categoria</t>
        </is>
      </c>
    </row>
    <row r="439">
      <c r="A439" s="5" t="inlineStr">
        <is>
          <t>Custo 11 — Subcategoria / descrição</t>
        </is>
      </c>
      <c r="B439" s="6" t="n"/>
      <c r="C439" s="7" t="inlineStr">
        <is>
          <t>Preço: Valor à vista | Parcelado; Outro: texto</t>
        </is>
      </c>
      <c r="D439" s="8" t="inlineStr">
        <is>
          <t>custos[11].subcategoria</t>
        </is>
      </c>
    </row>
    <row r="440">
      <c r="A440" s="5" t="inlineStr">
        <is>
          <t>Custo 11 — Unidade</t>
        </is>
      </c>
      <c r="B440" s="6" t="n"/>
      <c r="C440" s="7" t="inlineStr">
        <is>
          <t>lista: rs | rs_m2_priv | rs_m2_terreno | pct_vgv | pct_obra | pct_recebido | pct_constr</t>
        </is>
      </c>
      <c r="D440" s="8" t="inlineStr">
        <is>
          <t>custos[11].unidade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custos[11].valor_rs</t>
        </is>
      </c>
    </row>
    <row r="442">
      <c r="A442" s="5" t="inlineStr">
        <is>
          <t>Custo 11 — Valor (%)</t>
        </is>
      </c>
      <c r="B442" s="12" t="n"/>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custos[11].valor_pct</t>
        </is>
      </c>
    </row>
    <row r="443">
      <c r="A443" s="5" t="inlineStr">
        <is>
          <t>Custo 11 — Distribuição</t>
        </is>
      </c>
      <c r="B443" s="6" t="n"/>
      <c r="C443" s="7" t="inlineStr">
        <is>
          <t>Linear | nome de uma curva do catálogo (ex.: Curva S) | unit_delivery | sales_revenue</t>
        </is>
      </c>
      <c r="D443" s="8" t="inlineStr">
        <is>
          <t>custos[11].distribuicao</t>
        </is>
      </c>
    </row>
    <row r="444">
      <c r="A444" s="5" t="inlineStr">
        <is>
          <t>Custo 11 — Cronograma</t>
        </is>
      </c>
      <c r="B444" s="6" t="n"/>
      <c r="C444" s="7" t="inlineStr">
        <is>
          <t>evento, customizado ou "fase: &lt;nome&gt;"</t>
        </is>
      </c>
      <c r="D444" s="8" t="inlineStr">
        <is>
          <t>custos[11].cronograma</t>
        </is>
      </c>
    </row>
    <row r="445">
      <c r="A445" s="5" t="inlineStr">
        <is>
          <t>Custo 11 — Início (só customizado)</t>
        </is>
      </c>
      <c r="B445" s="15" t="n"/>
      <c r="C445" s="7" t="inlineStr">
        <is>
          <t>mês (inteiro ≥ 0)</t>
        </is>
      </c>
      <c r="D445" s="8" t="inlineStr">
        <is>
          <t>custos[11].inicio_mes</t>
        </is>
      </c>
    </row>
    <row r="446">
      <c r="A446" s="5" t="inlineStr">
        <is>
          <t>Custo 11 — Duração (só customizado)</t>
        </is>
      </c>
      <c r="B446" s="15" t="n"/>
      <c r="C446" s="7" t="inlineStr">
        <is>
          <t>meses (inteiro ≥ 1)</t>
        </is>
      </c>
      <c r="D446" s="8" t="inlineStr">
        <is>
          <t>custos[11].duracao_meses</t>
        </is>
      </c>
    </row>
    <row r="447">
      <c r="A447" s="16" t="inlineStr">
        <is>
          <t>Custo 12</t>
        </is>
      </c>
    </row>
    <row r="448">
      <c r="A448" s="5" t="inlineStr">
        <is>
          <t>Custo 12 — Grupo</t>
        </is>
      </c>
      <c r="B448" s="6" t="n"/>
      <c r="C448" s="7" t="inlineStr">
        <is>
          <t>lista: terreno | obra | diretos | indireto | financeiro</t>
        </is>
      </c>
      <c r="D448" s="8" t="inlineStr">
        <is>
          <t>custos[12].grupo</t>
        </is>
      </c>
    </row>
    <row r="449">
      <c r="A449" s="5" t="inlineStr">
        <is>
          <t>Custo 12 — Categoria</t>
        </is>
      </c>
      <c r="B449" s="6" t="n"/>
      <c r="C449" s="7" t="inlineStr">
        <is>
          <t>ver tabela acima</t>
        </is>
      </c>
      <c r="D449" s="8" t="inlineStr">
        <is>
          <t>custos[12].categoria</t>
        </is>
      </c>
    </row>
    <row r="450">
      <c r="A450" s="5" t="inlineStr">
        <is>
          <t>Custo 12 — Subcategoria / descrição</t>
        </is>
      </c>
      <c r="B450" s="6" t="n"/>
      <c r="C450" s="7" t="inlineStr">
        <is>
          <t>Preço: Valor à vista | Parcelado; Outro: texto</t>
        </is>
      </c>
      <c r="D450" s="8" t="inlineStr">
        <is>
          <t>custos[12].subcategoria</t>
        </is>
      </c>
    </row>
    <row r="451">
      <c r="A451" s="5" t="inlineStr">
        <is>
          <t>Custo 12 — Unidade</t>
        </is>
      </c>
      <c r="B451" s="6" t="n"/>
      <c r="C451" s="7" t="inlineStr">
        <is>
          <t>lista: rs | rs_m2_priv | rs_m2_terreno | pct_vgv | pct_obra | pct_recebido | pct_constr</t>
        </is>
      </c>
      <c r="D451" s="8" t="inlineStr">
        <is>
          <t>custos[12].unidade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custos[12].valor_rs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custos[12].valor_pct</t>
        </is>
      </c>
    </row>
    <row r="454">
      <c r="A454" s="5" t="inlineStr">
        <is>
          <t>Custo 12 — Distribuição</t>
        </is>
      </c>
      <c r="B454" s="6" t="n"/>
      <c r="C454" s="7" t="inlineStr">
        <is>
          <t>Linear | nome de uma curva do catálogo (ex.: Curva S) | unit_delivery | sales_revenue</t>
        </is>
      </c>
      <c r="D454" s="8" t="inlineStr">
        <is>
          <t>custos[12].distribuicao</t>
        </is>
      </c>
    </row>
    <row r="455">
      <c r="A455" s="5" t="inlineStr">
        <is>
          <t>Custo 12 — Cronograma</t>
        </is>
      </c>
      <c r="B455" s="6" t="n"/>
      <c r="C455" s="7" t="inlineStr">
        <is>
          <t>evento, customizado ou "fase: &lt;nome&gt;"</t>
        </is>
      </c>
      <c r="D455" s="8" t="inlineStr">
        <is>
          <t>custos[12].cronograma</t>
        </is>
      </c>
    </row>
    <row r="456">
      <c r="A456" s="5" t="inlineStr">
        <is>
          <t>Custo 12 — Início (só customizado)</t>
        </is>
      </c>
      <c r="B456" s="15" t="n"/>
      <c r="C456" s="7" t="inlineStr">
        <is>
          <t>mês (inteiro ≥ 0)</t>
        </is>
      </c>
      <c r="D456" s="8" t="inlineStr">
        <is>
          <t>custos[12].inicio_mes</t>
        </is>
      </c>
    </row>
    <row r="457">
      <c r="A457" s="5" t="inlineStr">
        <is>
          <t>Custo 12 — Duração (só customizado)</t>
        </is>
      </c>
      <c r="B457" s="15" t="n"/>
      <c r="C457" s="7" t="inlineStr">
        <is>
          <t>meses (inteiro ≥ 1)</t>
        </is>
      </c>
      <c r="D457" s="8" t="inlineStr">
        <is>
          <t>custos[12].duracao_meses</t>
        </is>
      </c>
    </row>
    <row r="458">
      <c r="A458" s="16" t="inlineStr">
        <is>
          <t>Custo 13</t>
        </is>
      </c>
    </row>
    <row r="459">
      <c r="A459" s="5" t="inlineStr">
        <is>
          <t>Custo 13 — Grupo</t>
        </is>
      </c>
      <c r="B459" s="6" t="n"/>
      <c r="C459" s="7" t="inlineStr">
        <is>
          <t>lista: terreno | obra | diretos | indireto | financeiro</t>
        </is>
      </c>
      <c r="D459" s="8" t="inlineStr">
        <is>
          <t>custos[13].grupo</t>
        </is>
      </c>
    </row>
    <row r="460">
      <c r="A460" s="5" t="inlineStr">
        <is>
          <t>Custo 13 — Categoria</t>
        </is>
      </c>
      <c r="B460" s="6" t="n"/>
      <c r="C460" s="7" t="inlineStr">
        <is>
          <t>ver tabela acima</t>
        </is>
      </c>
      <c r="D460" s="8" t="inlineStr">
        <is>
          <t>custos[13].categoria</t>
        </is>
      </c>
    </row>
    <row r="461">
      <c r="A461" s="5" t="inlineStr">
        <is>
          <t>Custo 13 — Subcategoria / descrição</t>
        </is>
      </c>
      <c r="B461" s="6" t="n"/>
      <c r="C461" s="7" t="inlineStr">
        <is>
          <t>Preço: Valor à vista | Parcelado; Outro: texto</t>
        </is>
      </c>
      <c r="D461" s="8" t="inlineStr">
        <is>
          <t>custos[13].subcategoria</t>
        </is>
      </c>
    </row>
    <row r="462">
      <c r="A462" s="5" t="inlineStr">
        <is>
          <t>Custo 13 — Unidade</t>
        </is>
      </c>
      <c r="B462" s="6" t="n"/>
      <c r="C462" s="7" t="inlineStr">
        <is>
          <t>lista: rs | rs_m2_priv | rs_m2_terreno | pct_vgv | pct_obra | pct_recebido | pct_constr</t>
        </is>
      </c>
      <c r="D462" s="8" t="inlineStr">
        <is>
          <t>custos[13].unidade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custos[13].valor_rs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custos[13].valor_pct</t>
        </is>
      </c>
    </row>
    <row r="465">
      <c r="A465" s="5" t="inlineStr">
        <is>
          <t>Custo 13 — Distribuição</t>
        </is>
      </c>
      <c r="B465" s="6" t="n"/>
      <c r="C465" s="7" t="inlineStr">
        <is>
          <t>Linear | nome de uma curva do catálogo (ex.: Curva S) | unit_delivery | sales_revenue</t>
        </is>
      </c>
      <c r="D465" s="8" t="inlineStr">
        <is>
          <t>custos[13].distribuicao</t>
        </is>
      </c>
    </row>
    <row r="466">
      <c r="A466" s="5" t="inlineStr">
        <is>
          <t>Custo 13 — Cronograma</t>
        </is>
      </c>
      <c r="B466" s="6" t="n"/>
      <c r="C466" s="7" t="inlineStr">
        <is>
          <t>evento, customizado ou "fase: &lt;nome&gt;"</t>
        </is>
      </c>
      <c r="D466" s="8" t="inlineStr">
        <is>
          <t>custos[13].cronograma</t>
        </is>
      </c>
    </row>
    <row r="467">
      <c r="A467" s="5" t="inlineStr">
        <is>
          <t>Custo 13 — Início (só customizado)</t>
        </is>
      </c>
      <c r="B467" s="15" t="n"/>
      <c r="C467" s="7" t="inlineStr">
        <is>
          <t>mês (inteiro ≥ 0)</t>
        </is>
      </c>
      <c r="D467" s="8" t="inlineStr">
        <is>
          <t>custos[13].inicio_mes</t>
        </is>
      </c>
    </row>
    <row r="468">
      <c r="A468" s="5" t="inlineStr">
        <is>
          <t>Custo 13 — Duração (só customizado)</t>
        </is>
      </c>
      <c r="B468" s="15" t="n"/>
      <c r="C468" s="7" t="inlineStr">
        <is>
          <t>meses (inteiro ≥ 1)</t>
        </is>
      </c>
      <c r="D468" s="8" t="inlineStr">
        <is>
          <t>custos[13].duracao_meses</t>
        </is>
      </c>
    </row>
    <row r="469">
      <c r="A469" s="16" t="inlineStr">
        <is>
          <t>Custo 14</t>
        </is>
      </c>
    </row>
    <row r="470">
      <c r="A470" s="5" t="inlineStr">
        <is>
          <t>Custo 14 — Grupo</t>
        </is>
      </c>
      <c r="B470" s="6" t="n"/>
      <c r="C470" s="7" t="inlineStr">
        <is>
          <t>lista: terreno | obra | diretos | indireto | financeiro</t>
        </is>
      </c>
      <c r="D470" s="8" t="inlineStr">
        <is>
          <t>custos[14].grupo</t>
        </is>
      </c>
    </row>
    <row r="471">
      <c r="A471" s="5" t="inlineStr">
        <is>
          <t>Custo 14 — Categoria</t>
        </is>
      </c>
      <c r="B471" s="6" t="n"/>
      <c r="C471" s="7" t="inlineStr">
        <is>
          <t>ver tabela acima</t>
        </is>
      </c>
      <c r="D471" s="8" t="inlineStr">
        <is>
          <t>custos[14].categoria</t>
        </is>
      </c>
    </row>
    <row r="472">
      <c r="A472" s="5" t="inlineStr">
        <is>
          <t>Custo 14 — Subcategoria / descrição</t>
        </is>
      </c>
      <c r="B472" s="6" t="n"/>
      <c r="C472" s="7" t="inlineStr">
        <is>
          <t>Preço: Valor à vista | Parcelado; Outro: texto</t>
        </is>
      </c>
      <c r="D472" s="8" t="inlineStr">
        <is>
          <t>custos[14].subcategoria</t>
        </is>
      </c>
    </row>
    <row r="473">
      <c r="A473" s="5" t="inlineStr">
        <is>
          <t>Custo 14 — Unidade</t>
        </is>
      </c>
      <c r="B473" s="6" t="n"/>
      <c r="C473" s="7" t="inlineStr">
        <is>
          <t>lista: rs | rs_m2_priv | rs_m2_terreno | pct_vgv | pct_obra | pct_recebido | pct_constr</t>
        </is>
      </c>
      <c r="D473" s="8" t="inlineStr">
        <is>
          <t>custos[14].unidade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custos[14].valor_rs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custos[14].valor_pct</t>
        </is>
      </c>
    </row>
    <row r="476">
      <c r="A476" s="5" t="inlineStr">
        <is>
          <t>Custo 14 — Distribuição</t>
        </is>
      </c>
      <c r="B476" s="6" t="n"/>
      <c r="C476" s="7" t="inlineStr">
        <is>
          <t>Linear | nome de uma curva do catálogo (ex.: Curva S) | unit_delivery | sales_revenue</t>
        </is>
      </c>
      <c r="D476" s="8" t="inlineStr">
        <is>
          <t>custos[14].distribuicao</t>
        </is>
      </c>
    </row>
    <row r="477">
      <c r="A477" s="5" t="inlineStr">
        <is>
          <t>Custo 14 — Cronograma</t>
        </is>
      </c>
      <c r="B477" s="6" t="n"/>
      <c r="C477" s="7" t="inlineStr">
        <is>
          <t>evento, customizado ou "fase: &lt;nome&gt;"</t>
        </is>
      </c>
      <c r="D477" s="8" t="inlineStr">
        <is>
          <t>custos[14].cronograma</t>
        </is>
      </c>
    </row>
    <row r="478">
      <c r="A478" s="5" t="inlineStr">
        <is>
          <t>Custo 14 — Início (só customizado)</t>
        </is>
      </c>
      <c r="B478" s="15" t="n"/>
      <c r="C478" s="7" t="inlineStr">
        <is>
          <t>mês (inteiro ≥ 0)</t>
        </is>
      </c>
      <c r="D478" s="8" t="inlineStr">
        <is>
          <t>custos[14].inicio_mes</t>
        </is>
      </c>
    </row>
    <row r="479">
      <c r="A479" s="5" t="inlineStr">
        <is>
          <t>Custo 14 — Duração (só customizado)</t>
        </is>
      </c>
      <c r="B479" s="15" t="n"/>
      <c r="C479" s="7" t="inlineStr">
        <is>
          <t>meses (inteiro ≥ 1)</t>
        </is>
      </c>
      <c r="D479" s="8" t="inlineStr">
        <is>
          <t>custos[14].duracao_meses</t>
        </is>
      </c>
    </row>
    <row r="480">
      <c r="A480" s="16" t="inlineStr">
        <is>
          <t>Custo 15</t>
        </is>
      </c>
    </row>
    <row r="481">
      <c r="A481" s="5" t="inlineStr">
        <is>
          <t>Custo 15 — Grupo</t>
        </is>
      </c>
      <c r="B481" s="6" t="n"/>
      <c r="C481" s="7" t="inlineStr">
        <is>
          <t>lista: terreno | obra | diretos | indireto | financeiro</t>
        </is>
      </c>
      <c r="D481" s="8" t="inlineStr">
        <is>
          <t>custos[15].grupo</t>
        </is>
      </c>
    </row>
    <row r="482">
      <c r="A482" s="5" t="inlineStr">
        <is>
          <t>Custo 15 — Categoria</t>
        </is>
      </c>
      <c r="B482" s="6" t="n"/>
      <c r="C482" s="7" t="inlineStr">
        <is>
          <t>ver tabela acima</t>
        </is>
      </c>
      <c r="D482" s="8" t="inlineStr">
        <is>
          <t>custos[15].categoria</t>
        </is>
      </c>
    </row>
    <row r="483">
      <c r="A483" s="5" t="inlineStr">
        <is>
          <t>Custo 15 — Subcategoria / descrição</t>
        </is>
      </c>
      <c r="B483" s="6" t="n"/>
      <c r="C483" s="7" t="inlineStr">
        <is>
          <t>Preço: Valor à vista | Parcelado; Outro: texto</t>
        </is>
      </c>
      <c r="D483" s="8" t="inlineStr">
        <is>
          <t>custos[15].subcategoria</t>
        </is>
      </c>
    </row>
    <row r="484">
      <c r="A484" s="5" t="inlineStr">
        <is>
          <t>Custo 15 — Unidade</t>
        </is>
      </c>
      <c r="B484" s="6" t="n"/>
      <c r="C484" s="7" t="inlineStr">
        <is>
          <t>lista: rs | rs_m2_priv | rs_m2_terreno | pct_vgv | pct_obra | pct_recebido | pct_constr</t>
        </is>
      </c>
      <c r="D484" s="8" t="inlineStr">
        <is>
          <t>custos[15].unidade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custos[15].valor_rs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custos[15].valor_pct</t>
        </is>
      </c>
    </row>
    <row r="487">
      <c r="A487" s="5" t="inlineStr">
        <is>
          <t>Custo 15 — Distribuição</t>
        </is>
      </c>
      <c r="B487" s="6" t="n"/>
      <c r="C487" s="7" t="inlineStr">
        <is>
          <t>Linear | nome de uma curva do catálogo (ex.: Curva S) | unit_delivery | sales_revenue</t>
        </is>
      </c>
      <c r="D487" s="8" t="inlineStr">
        <is>
          <t>custos[15].distribuicao</t>
        </is>
      </c>
    </row>
    <row r="488">
      <c r="A488" s="5" t="inlineStr">
        <is>
          <t>Custo 15 — Cronograma</t>
        </is>
      </c>
      <c r="B488" s="6" t="n"/>
      <c r="C488" s="7" t="inlineStr">
        <is>
          <t>evento, customizado ou "fase: &lt;nome&gt;"</t>
        </is>
      </c>
      <c r="D488" s="8" t="inlineStr">
        <is>
          <t>custos[15].cronograma</t>
        </is>
      </c>
    </row>
    <row r="489">
      <c r="A489" s="5" t="inlineStr">
        <is>
          <t>Custo 15 — Início (só customizado)</t>
        </is>
      </c>
      <c r="B489" s="15" t="n"/>
      <c r="C489" s="7" t="inlineStr">
        <is>
          <t>mês (inteiro ≥ 0)</t>
        </is>
      </c>
      <c r="D489" s="8" t="inlineStr">
        <is>
          <t>custos[15].inicio_mes</t>
        </is>
      </c>
    </row>
    <row r="490">
      <c r="A490" s="5" t="inlineStr">
        <is>
          <t>Custo 15 — Duração (só customizado)</t>
        </is>
      </c>
      <c r="B490" s="15" t="n"/>
      <c r="C490" s="7" t="inlineStr">
        <is>
          <t>meses (inteiro ≥ 1)</t>
        </is>
      </c>
      <c r="D490" s="8" t="inlineStr">
        <is>
          <t>custos[15].duracao_meses</t>
        </is>
      </c>
    </row>
    <row r="491">
      <c r="A491" s="16" t="inlineStr">
        <is>
          <t>Custo 16</t>
        </is>
      </c>
    </row>
    <row r="492">
      <c r="A492" s="5" t="inlineStr">
        <is>
          <t>Custo 16 — Grupo</t>
        </is>
      </c>
      <c r="B492" s="6" t="n"/>
      <c r="C492" s="7" t="inlineStr">
        <is>
          <t>lista: terreno | obra | diretos | indireto | financeiro</t>
        </is>
      </c>
      <c r="D492" s="8" t="inlineStr">
        <is>
          <t>custos[16].grupo</t>
        </is>
      </c>
    </row>
    <row r="493">
      <c r="A493" s="5" t="inlineStr">
        <is>
          <t>Custo 16 — Categoria</t>
        </is>
      </c>
      <c r="B493" s="6" t="n"/>
      <c r="C493" s="7" t="inlineStr">
        <is>
          <t>ver tabela acima</t>
        </is>
      </c>
      <c r="D493" s="8" t="inlineStr">
        <is>
          <t>custos[16].categoria</t>
        </is>
      </c>
    </row>
    <row r="494">
      <c r="A494" s="5" t="inlineStr">
        <is>
          <t>Custo 16 — Subcategoria / descrição</t>
        </is>
      </c>
      <c r="B494" s="6" t="n"/>
      <c r="C494" s="7" t="inlineStr">
        <is>
          <t>Preço: Valor à vista | Parcelado; Outro: texto</t>
        </is>
      </c>
      <c r="D494" s="8" t="inlineStr">
        <is>
          <t>custos[16].subcategoria</t>
        </is>
      </c>
    </row>
    <row r="495">
      <c r="A495" s="5" t="inlineStr">
        <is>
          <t>Custo 16 — Unidade</t>
        </is>
      </c>
      <c r="B495" s="6" t="n"/>
      <c r="C495" s="7" t="inlineStr">
        <is>
          <t>lista: rs | rs_m2_priv | rs_m2_terreno | pct_vgv | pct_obra | pct_recebido | pct_constr</t>
        </is>
      </c>
      <c r="D495" s="8" t="inlineStr">
        <is>
          <t>custos[16].unidade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custos[16].valor_rs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custos[16].valor_pct</t>
        </is>
      </c>
    </row>
    <row r="498">
      <c r="A498" s="5" t="inlineStr">
        <is>
          <t>Custo 16 — Distribuição</t>
        </is>
      </c>
      <c r="B498" s="6" t="n"/>
      <c r="C498" s="7" t="inlineStr">
        <is>
          <t>Linear | nome de uma curva do catálogo (ex.: Curva S) | unit_delivery | sales_revenue</t>
        </is>
      </c>
      <c r="D498" s="8" t="inlineStr">
        <is>
          <t>custos[16].distribuicao</t>
        </is>
      </c>
    </row>
    <row r="499">
      <c r="A499" s="5" t="inlineStr">
        <is>
          <t>Custo 16 — Cronograma</t>
        </is>
      </c>
      <c r="B499" s="6" t="n"/>
      <c r="C499" s="7" t="inlineStr">
        <is>
          <t>evento, customizado ou "fase: &lt;nome&gt;"</t>
        </is>
      </c>
      <c r="D499" s="8" t="inlineStr">
        <is>
          <t>custos[16].cronograma</t>
        </is>
      </c>
    </row>
    <row r="500">
      <c r="A500" s="5" t="inlineStr">
        <is>
          <t>Custo 16 — Início (só customizado)</t>
        </is>
      </c>
      <c r="B500" s="15" t="n"/>
      <c r="C500" s="7" t="inlineStr">
        <is>
          <t>mês (inteiro ≥ 0)</t>
        </is>
      </c>
      <c r="D500" s="8" t="inlineStr">
        <is>
          <t>custos[16].inicio_mes</t>
        </is>
      </c>
    </row>
    <row r="501">
      <c r="A501" s="5" t="inlineStr">
        <is>
          <t>Custo 16 — Duração (só customizado)</t>
        </is>
      </c>
      <c r="B501" s="15" t="n"/>
      <c r="C501" s="7" t="inlineStr">
        <is>
          <t>meses (inteiro ≥ 1)</t>
        </is>
      </c>
      <c r="D501" s="8" t="inlineStr">
        <is>
          <t>custos[16].duracao_meses</t>
        </is>
      </c>
    </row>
    <row r="502">
      <c r="A502" s="16" t="inlineStr">
        <is>
          <t>Custo 17</t>
        </is>
      </c>
    </row>
    <row r="503">
      <c r="A503" s="5" t="inlineStr">
        <is>
          <t>Custo 17 — Grupo</t>
        </is>
      </c>
      <c r="B503" s="6" t="n"/>
      <c r="C503" s="7" t="inlineStr">
        <is>
          <t>lista: terreno | obra | diretos | indireto | financeiro</t>
        </is>
      </c>
      <c r="D503" s="8" t="inlineStr">
        <is>
          <t>custos[17].grupo</t>
        </is>
      </c>
    </row>
    <row r="504">
      <c r="A504" s="5" t="inlineStr">
        <is>
          <t>Custo 17 — Categoria</t>
        </is>
      </c>
      <c r="B504" s="6" t="n"/>
      <c r="C504" s="7" t="inlineStr">
        <is>
          <t>ver tabela acima</t>
        </is>
      </c>
      <c r="D504" s="8" t="inlineStr">
        <is>
          <t>custos[17].categoria</t>
        </is>
      </c>
    </row>
    <row r="505">
      <c r="A505" s="5" t="inlineStr">
        <is>
          <t>Custo 17 — Subcategoria / descrição</t>
        </is>
      </c>
      <c r="B505" s="6" t="n"/>
      <c r="C505" s="7" t="inlineStr">
        <is>
          <t>Preço: Valor à vista | Parcelado; Outro: texto</t>
        </is>
      </c>
      <c r="D505" s="8" t="inlineStr">
        <is>
          <t>custos[17].subcategoria</t>
        </is>
      </c>
    </row>
    <row r="506">
      <c r="A506" s="5" t="inlineStr">
        <is>
          <t>Custo 17 — Unidade</t>
        </is>
      </c>
      <c r="B506" s="6" t="n"/>
      <c r="C506" s="7" t="inlineStr">
        <is>
          <t>lista: rs | rs_m2_priv | rs_m2_terreno | pct_vgv | pct_obra | pct_recebido | pct_constr</t>
        </is>
      </c>
      <c r="D506" s="8" t="inlineStr">
        <is>
          <t>custos[17].unidade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custos[17].valor_rs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custos[17].valor_pct</t>
        </is>
      </c>
    </row>
    <row r="509">
      <c r="A509" s="5" t="inlineStr">
        <is>
          <t>Custo 17 — Distribuição</t>
        </is>
      </c>
      <c r="B509" s="6" t="n"/>
      <c r="C509" s="7" t="inlineStr">
        <is>
          <t>Linear | nome de uma curva do catálogo (ex.: Curva S) | unit_delivery | sales_revenue</t>
        </is>
      </c>
      <c r="D509" s="8" t="inlineStr">
        <is>
          <t>custos[17].distribuicao</t>
        </is>
      </c>
    </row>
    <row r="510">
      <c r="A510" s="5" t="inlineStr">
        <is>
          <t>Custo 17 — Cronograma</t>
        </is>
      </c>
      <c r="B510" s="6" t="n"/>
      <c r="C510" s="7" t="inlineStr">
        <is>
          <t>evento, customizado ou "fase: &lt;nome&gt;"</t>
        </is>
      </c>
      <c r="D510" s="8" t="inlineStr">
        <is>
          <t>custos[17].cronograma</t>
        </is>
      </c>
    </row>
    <row r="511">
      <c r="A511" s="5" t="inlineStr">
        <is>
          <t>Custo 17 — Início (só customizado)</t>
        </is>
      </c>
      <c r="B511" s="15" t="n"/>
      <c r="C511" s="7" t="inlineStr">
        <is>
          <t>mês (inteiro ≥ 0)</t>
        </is>
      </c>
      <c r="D511" s="8" t="inlineStr">
        <is>
          <t>custos[17].inicio_mes</t>
        </is>
      </c>
    </row>
    <row r="512">
      <c r="A512" s="5" t="inlineStr">
        <is>
          <t>Custo 17 — Duração (só customizado)</t>
        </is>
      </c>
      <c r="B512" s="15" t="n"/>
      <c r="C512" s="7" t="inlineStr">
        <is>
          <t>meses (inteiro ≥ 1)</t>
        </is>
      </c>
      <c r="D512" s="8" t="inlineStr">
        <is>
          <t>custos[17].duracao_meses</t>
        </is>
      </c>
    </row>
    <row r="513">
      <c r="A513" s="16" t="inlineStr">
        <is>
          <t>Custo 18</t>
        </is>
      </c>
    </row>
    <row r="514">
      <c r="A514" s="5" t="inlineStr">
        <is>
          <t>Custo 18 — Grupo</t>
        </is>
      </c>
      <c r="B514" s="6" t="n"/>
      <c r="C514" s="7" t="inlineStr">
        <is>
          <t>lista: terreno | obra | diretos | indireto | financeiro</t>
        </is>
      </c>
      <c r="D514" s="8" t="inlineStr">
        <is>
          <t>custos[18].grupo</t>
        </is>
      </c>
    </row>
    <row r="515">
      <c r="A515" s="5" t="inlineStr">
        <is>
          <t>Custo 18 — Categoria</t>
        </is>
      </c>
      <c r="B515" s="6" t="n"/>
      <c r="C515" s="7" t="inlineStr">
        <is>
          <t>ver tabela acima</t>
        </is>
      </c>
      <c r="D515" s="8" t="inlineStr">
        <is>
          <t>custos[18].categoria</t>
        </is>
      </c>
    </row>
    <row r="516">
      <c r="A516" s="5" t="inlineStr">
        <is>
          <t>Custo 18 — Subcategoria / descrição</t>
        </is>
      </c>
      <c r="B516" s="6" t="n"/>
      <c r="C516" s="7" t="inlineStr">
        <is>
          <t>Preço: Valor à vista | Parcelado; Outro: texto</t>
        </is>
      </c>
      <c r="D516" s="8" t="inlineStr">
        <is>
          <t>custos[18].subcategoria</t>
        </is>
      </c>
    </row>
    <row r="517">
      <c r="A517" s="5" t="inlineStr">
        <is>
          <t>Custo 18 — Unidade</t>
        </is>
      </c>
      <c r="B517" s="6" t="n"/>
      <c r="C517" s="7" t="inlineStr">
        <is>
          <t>lista: rs | rs_m2_priv | rs_m2_terreno | pct_vgv | pct_obra | pct_recebido | pct_constr</t>
        </is>
      </c>
      <c r="D517" s="8" t="inlineStr">
        <is>
          <t>custos[18].unidade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custos[18].valor_rs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custos[18].valor_pct</t>
        </is>
      </c>
    </row>
    <row r="520">
      <c r="A520" s="5" t="inlineStr">
        <is>
          <t>Custo 18 — Distribuição</t>
        </is>
      </c>
      <c r="B520" s="6" t="n"/>
      <c r="C520" s="7" t="inlineStr">
        <is>
          <t>Linear | nome de uma curva do catálogo (ex.: Curva S) | unit_delivery | sales_revenue</t>
        </is>
      </c>
      <c r="D520" s="8" t="inlineStr">
        <is>
          <t>custos[18].distribuicao</t>
        </is>
      </c>
    </row>
    <row r="521">
      <c r="A521" s="5" t="inlineStr">
        <is>
          <t>Custo 18 — Cronograma</t>
        </is>
      </c>
      <c r="B521" s="6" t="n"/>
      <c r="C521" s="7" t="inlineStr">
        <is>
          <t>evento, customizado ou "fase: &lt;nome&gt;"</t>
        </is>
      </c>
      <c r="D521" s="8" t="inlineStr">
        <is>
          <t>custos[18].cronograma</t>
        </is>
      </c>
    </row>
    <row r="522">
      <c r="A522" s="5" t="inlineStr">
        <is>
          <t>Custo 18 — Início (só customizado)</t>
        </is>
      </c>
      <c r="B522" s="15" t="n"/>
      <c r="C522" s="7" t="inlineStr">
        <is>
          <t>mês (inteiro ≥ 0)</t>
        </is>
      </c>
      <c r="D522" s="8" t="inlineStr">
        <is>
          <t>custos[18].inicio_mes</t>
        </is>
      </c>
    </row>
    <row r="523">
      <c r="A523" s="5" t="inlineStr">
        <is>
          <t>Custo 18 — Duração (só customizado)</t>
        </is>
      </c>
      <c r="B523" s="15" t="n"/>
      <c r="C523" s="7" t="inlineStr">
        <is>
          <t>meses (inteiro ≥ 1)</t>
        </is>
      </c>
      <c r="D523" s="8" t="inlineStr">
        <is>
          <t>custos[18].duracao_meses</t>
        </is>
      </c>
    </row>
    <row r="524">
      <c r="A524" s="16" t="inlineStr">
        <is>
          <t>Custo 19</t>
        </is>
      </c>
    </row>
    <row r="525">
      <c r="A525" s="5" t="inlineStr">
        <is>
          <t>Custo 19 — Grupo</t>
        </is>
      </c>
      <c r="B525" s="6" t="n"/>
      <c r="C525" s="7" t="inlineStr">
        <is>
          <t>lista: terreno | obra | diretos | indireto | financeiro</t>
        </is>
      </c>
      <c r="D525" s="8" t="inlineStr">
        <is>
          <t>custos[19].grupo</t>
        </is>
      </c>
    </row>
    <row r="526">
      <c r="A526" s="5" t="inlineStr">
        <is>
          <t>Custo 19 — Categoria</t>
        </is>
      </c>
      <c r="B526" s="6" t="n"/>
      <c r="C526" s="7" t="inlineStr">
        <is>
          <t>ver tabela acima</t>
        </is>
      </c>
      <c r="D526" s="8" t="inlineStr">
        <is>
          <t>custos[19].categoria</t>
        </is>
      </c>
    </row>
    <row r="527">
      <c r="A527" s="5" t="inlineStr">
        <is>
          <t>Custo 19 — Subcategoria / descrição</t>
        </is>
      </c>
      <c r="B527" s="6" t="n"/>
      <c r="C527" s="7" t="inlineStr">
        <is>
          <t>Preço: Valor à vista | Parcelado; Outro: texto</t>
        </is>
      </c>
      <c r="D527" s="8" t="inlineStr">
        <is>
          <t>custos[19].subcategoria</t>
        </is>
      </c>
    </row>
    <row r="528">
      <c r="A528" s="5" t="inlineStr">
        <is>
          <t>Custo 19 — Unidade</t>
        </is>
      </c>
      <c r="B528" s="6" t="n"/>
      <c r="C528" s="7" t="inlineStr">
        <is>
          <t>lista: rs | rs_m2_priv | rs_m2_terreno | pct_vgv | pct_obra | pct_recebido | pct_constr</t>
        </is>
      </c>
      <c r="D528" s="8" t="inlineStr">
        <is>
          <t>custos[19].unidade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custos[19].valor_rs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custos[19].valor_pct</t>
        </is>
      </c>
    </row>
    <row r="531">
      <c r="A531" s="5" t="inlineStr">
        <is>
          <t>Custo 19 — Distribuição</t>
        </is>
      </c>
      <c r="B531" s="6" t="n"/>
      <c r="C531" s="7" t="inlineStr">
        <is>
          <t>Linear | nome de uma curva do catálogo (ex.: Curva S) | unit_delivery | sales_revenue</t>
        </is>
      </c>
      <c r="D531" s="8" t="inlineStr">
        <is>
          <t>custos[19].distribuicao</t>
        </is>
      </c>
    </row>
    <row r="532">
      <c r="A532" s="5" t="inlineStr">
        <is>
          <t>Custo 19 — Cronograma</t>
        </is>
      </c>
      <c r="B532" s="6" t="n"/>
      <c r="C532" s="7" t="inlineStr">
        <is>
          <t>evento, customizado ou "fase: &lt;nome&gt;"</t>
        </is>
      </c>
      <c r="D532" s="8" t="inlineStr">
        <is>
          <t>custos[19].cronograma</t>
        </is>
      </c>
    </row>
    <row r="533">
      <c r="A533" s="5" t="inlineStr">
        <is>
          <t>Custo 19 — Início (só customizado)</t>
        </is>
      </c>
      <c r="B533" s="15" t="n"/>
      <c r="C533" s="7" t="inlineStr">
        <is>
          <t>mês (inteiro ≥ 0)</t>
        </is>
      </c>
      <c r="D533" s="8" t="inlineStr">
        <is>
          <t>custos[19].inicio_mes</t>
        </is>
      </c>
    </row>
    <row r="534">
      <c r="A534" s="5" t="inlineStr">
        <is>
          <t>Custo 19 — Duração (só customizado)</t>
        </is>
      </c>
      <c r="B534" s="15" t="n"/>
      <c r="C534" s="7" t="inlineStr">
        <is>
          <t>meses (inteiro ≥ 1)</t>
        </is>
      </c>
      <c r="D534" s="8" t="inlineStr">
        <is>
          <t>custos[19].duracao_meses</t>
        </is>
      </c>
    </row>
    <row r="535">
      <c r="A535" s="16" t="inlineStr">
        <is>
          <t>Custo 20</t>
        </is>
      </c>
    </row>
    <row r="536">
      <c r="A536" s="5" t="inlineStr">
        <is>
          <t>Custo 20 — Grupo</t>
        </is>
      </c>
      <c r="B536" s="6" t="n"/>
      <c r="C536" s="7" t="inlineStr">
        <is>
          <t>lista: terreno | obra | diretos | indireto | financeiro</t>
        </is>
      </c>
      <c r="D536" s="8" t="inlineStr">
        <is>
          <t>custos[20].grupo</t>
        </is>
      </c>
    </row>
    <row r="537">
      <c r="A537" s="5" t="inlineStr">
        <is>
          <t>Custo 20 — Categoria</t>
        </is>
      </c>
      <c r="B537" s="6" t="n"/>
      <c r="C537" s="7" t="inlineStr">
        <is>
          <t>ver tabela acima</t>
        </is>
      </c>
      <c r="D537" s="8" t="inlineStr">
        <is>
          <t>custos[20].categoria</t>
        </is>
      </c>
    </row>
    <row r="538">
      <c r="A538" s="5" t="inlineStr">
        <is>
          <t>Custo 20 — Subcategoria / descrição</t>
        </is>
      </c>
      <c r="B538" s="6" t="n"/>
      <c r="C538" s="7" t="inlineStr">
        <is>
          <t>Preço: Valor à vista | Parcelado; Outro: texto</t>
        </is>
      </c>
      <c r="D538" s="8" t="inlineStr">
        <is>
          <t>custos[20].subcategoria</t>
        </is>
      </c>
    </row>
    <row r="539">
      <c r="A539" s="5" t="inlineStr">
        <is>
          <t>Custo 20 — Unidade</t>
        </is>
      </c>
      <c r="B539" s="6" t="n"/>
      <c r="C539" s="7" t="inlineStr">
        <is>
          <t>lista: rs | rs_m2_priv | rs_m2_terreno | pct_vgv | pct_obra | pct_recebido | pct_constr</t>
        </is>
      </c>
      <c r="D539" s="8" t="inlineStr">
        <is>
          <t>custos[20].unidade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custos[20].valor_rs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custos[20].valor_pct</t>
        </is>
      </c>
    </row>
    <row r="542">
      <c r="A542" s="5" t="inlineStr">
        <is>
          <t>Custo 20 — Distribuição</t>
        </is>
      </c>
      <c r="B542" s="6" t="n"/>
      <c r="C542" s="7" t="inlineStr">
        <is>
          <t>Linear | nome de uma curva do catálogo (ex.: Curva S) | unit_delivery | sales_revenue</t>
        </is>
      </c>
      <c r="D542" s="8" t="inlineStr">
        <is>
          <t>custos[20].distribuicao</t>
        </is>
      </c>
    </row>
    <row r="543">
      <c r="A543" s="5" t="inlineStr">
        <is>
          <t>Custo 20 — Cronograma</t>
        </is>
      </c>
      <c r="B543" s="6" t="n"/>
      <c r="C543" s="7" t="inlineStr">
        <is>
          <t>evento, customizado ou "fase: &lt;nome&gt;"</t>
        </is>
      </c>
      <c r="D543" s="8" t="inlineStr">
        <is>
          <t>custos[20].cronograma</t>
        </is>
      </c>
    </row>
    <row r="544">
      <c r="A544" s="5" t="inlineStr">
        <is>
          <t>Custo 20 — Início (só customizado)</t>
        </is>
      </c>
      <c r="B544" s="15" t="n"/>
      <c r="C544" s="7" t="inlineStr">
        <is>
          <t>mês (inteiro ≥ 0)</t>
        </is>
      </c>
      <c r="D544" s="8" t="inlineStr">
        <is>
          <t>custos[20].inicio_mes</t>
        </is>
      </c>
    </row>
    <row r="545">
      <c r="A545" s="5" t="inlineStr">
        <is>
          <t>Custo 20 — Duração (só customizado)</t>
        </is>
      </c>
      <c r="B545" s="15" t="n"/>
      <c r="C545" s="7" t="inlineStr">
        <is>
          <t>meses (inteiro ≥ 1)</t>
        </is>
      </c>
      <c r="D545" s="8" t="inlineStr">
        <is>
          <t>custos[20].duracao_meses</t>
        </is>
      </c>
    </row>
    <row r="546">
      <c r="A546" s="16" t="inlineStr">
        <is>
          <t>Custo 21</t>
        </is>
      </c>
    </row>
    <row r="547">
      <c r="A547" s="5" t="inlineStr">
        <is>
          <t>Custo 21 — Grupo</t>
        </is>
      </c>
      <c r="B547" s="6" t="n"/>
      <c r="C547" s="7" t="inlineStr">
        <is>
          <t>lista: terreno | obra | diretos | indireto | financeiro</t>
        </is>
      </c>
      <c r="D547" s="8" t="inlineStr">
        <is>
          <t>custos[21].grupo</t>
        </is>
      </c>
    </row>
    <row r="548">
      <c r="A548" s="5" t="inlineStr">
        <is>
          <t>Custo 21 — Categoria</t>
        </is>
      </c>
      <c r="B548" s="6" t="n"/>
      <c r="C548" s="7" t="inlineStr">
        <is>
          <t>ver tabela acima</t>
        </is>
      </c>
      <c r="D548" s="8" t="inlineStr">
        <is>
          <t>custos[21].categoria</t>
        </is>
      </c>
    </row>
    <row r="549">
      <c r="A549" s="5" t="inlineStr">
        <is>
          <t>Custo 21 — Subcategoria / descrição</t>
        </is>
      </c>
      <c r="B549" s="6" t="n"/>
      <c r="C549" s="7" t="inlineStr">
        <is>
          <t>Preço: Valor à vista | Parcelado; Outro: texto</t>
        </is>
      </c>
      <c r="D549" s="8" t="inlineStr">
        <is>
          <t>custos[21].subcategoria</t>
        </is>
      </c>
    </row>
    <row r="550">
      <c r="A550" s="5" t="inlineStr">
        <is>
          <t>Custo 21 — Unidade</t>
        </is>
      </c>
      <c r="B550" s="6" t="n"/>
      <c r="C550" s="7" t="inlineStr">
        <is>
          <t>lista: rs | rs_m2_priv | rs_m2_terreno | pct_vgv | pct_obra | pct_recebido | pct_constr</t>
        </is>
      </c>
      <c r="D550" s="8" t="inlineStr">
        <is>
          <t>custos[21].unidade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custos[21].valor_rs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custos[21].valor_pct</t>
        </is>
      </c>
    </row>
    <row r="553">
      <c r="A553" s="5" t="inlineStr">
        <is>
          <t>Custo 21 — Distribuição</t>
        </is>
      </c>
      <c r="B553" s="6" t="n"/>
      <c r="C553" s="7" t="inlineStr">
        <is>
          <t>Linear | nome de uma curva do catálogo (ex.: Curva S) | unit_delivery | sales_revenue</t>
        </is>
      </c>
      <c r="D553" s="8" t="inlineStr">
        <is>
          <t>custos[21].distribuicao</t>
        </is>
      </c>
    </row>
    <row r="554">
      <c r="A554" s="5" t="inlineStr">
        <is>
          <t>Custo 21 — Cronograma</t>
        </is>
      </c>
      <c r="B554" s="6" t="n"/>
      <c r="C554" s="7" t="inlineStr">
        <is>
          <t>evento, customizado ou "fase: &lt;nome&gt;"</t>
        </is>
      </c>
      <c r="D554" s="8" t="inlineStr">
        <is>
          <t>custos[21].cronograma</t>
        </is>
      </c>
    </row>
    <row r="555">
      <c r="A555" s="5" t="inlineStr">
        <is>
          <t>Custo 21 — Início (só customizado)</t>
        </is>
      </c>
      <c r="B555" s="15" t="n"/>
      <c r="C555" s="7" t="inlineStr">
        <is>
          <t>mês (inteiro ≥ 0)</t>
        </is>
      </c>
      <c r="D555" s="8" t="inlineStr">
        <is>
          <t>custos[21].inicio_mes</t>
        </is>
      </c>
    </row>
    <row r="556">
      <c r="A556" s="5" t="inlineStr">
        <is>
          <t>Custo 21 — Duração (só customizado)</t>
        </is>
      </c>
      <c r="B556" s="15" t="n"/>
      <c r="C556" s="7" t="inlineStr">
        <is>
          <t>meses (inteiro ≥ 1)</t>
        </is>
      </c>
      <c r="D556" s="8" t="inlineStr">
        <is>
          <t>custos[21].duracao_meses</t>
        </is>
      </c>
    </row>
    <row r="557">
      <c r="A557" s="16" t="inlineStr">
        <is>
          <t>Custo 22</t>
        </is>
      </c>
    </row>
    <row r="558">
      <c r="A558" s="5" t="inlineStr">
        <is>
          <t>Custo 22 — Grupo</t>
        </is>
      </c>
      <c r="B558" s="6" t="n"/>
      <c r="C558" s="7" t="inlineStr">
        <is>
          <t>lista: terreno | obra | diretos | indireto | financeiro</t>
        </is>
      </c>
      <c r="D558" s="8" t="inlineStr">
        <is>
          <t>custos[22].grupo</t>
        </is>
      </c>
    </row>
    <row r="559">
      <c r="A559" s="5" t="inlineStr">
        <is>
          <t>Custo 22 — Categoria</t>
        </is>
      </c>
      <c r="B559" s="6" t="n"/>
      <c r="C559" s="7" t="inlineStr">
        <is>
          <t>ver tabela acima</t>
        </is>
      </c>
      <c r="D559" s="8" t="inlineStr">
        <is>
          <t>custos[22].categoria</t>
        </is>
      </c>
    </row>
    <row r="560">
      <c r="A560" s="5" t="inlineStr">
        <is>
          <t>Custo 22 — Subcategoria / descrição</t>
        </is>
      </c>
      <c r="B560" s="6" t="n"/>
      <c r="C560" s="7" t="inlineStr">
        <is>
          <t>Preço: Valor à vista | Parcelado; Outro: texto</t>
        </is>
      </c>
      <c r="D560" s="8" t="inlineStr">
        <is>
          <t>custos[22].subcategoria</t>
        </is>
      </c>
    </row>
    <row r="561">
      <c r="A561" s="5" t="inlineStr">
        <is>
          <t>Custo 22 — Unidade</t>
        </is>
      </c>
      <c r="B561" s="6" t="n"/>
      <c r="C561" s="7" t="inlineStr">
        <is>
          <t>lista: rs | rs_m2_priv | rs_m2_terreno | pct_vgv | pct_obra | pct_recebido | pct_constr</t>
        </is>
      </c>
      <c r="D561" s="8" t="inlineStr">
        <is>
          <t>custos[22].unidade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custos[22].valor_rs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custos[22].valor_pct</t>
        </is>
      </c>
    </row>
    <row r="564">
      <c r="A564" s="5" t="inlineStr">
        <is>
          <t>Custo 22 — Distribuição</t>
        </is>
      </c>
      <c r="B564" s="6" t="n"/>
      <c r="C564" s="7" t="inlineStr">
        <is>
          <t>Linear | nome de uma curva do catálogo (ex.: Curva S) | unit_delivery | sales_revenue</t>
        </is>
      </c>
      <c r="D564" s="8" t="inlineStr">
        <is>
          <t>custos[22].distribuicao</t>
        </is>
      </c>
    </row>
    <row r="565">
      <c r="A565" s="5" t="inlineStr">
        <is>
          <t>Custo 22 — Cronograma</t>
        </is>
      </c>
      <c r="B565" s="6" t="n"/>
      <c r="C565" s="7" t="inlineStr">
        <is>
          <t>evento, customizado ou "fase: &lt;nome&gt;"</t>
        </is>
      </c>
      <c r="D565" s="8" t="inlineStr">
        <is>
          <t>custos[22].cronograma</t>
        </is>
      </c>
    </row>
    <row r="566">
      <c r="A566" s="5" t="inlineStr">
        <is>
          <t>Custo 22 — Início (só customizado)</t>
        </is>
      </c>
      <c r="B566" s="15" t="n"/>
      <c r="C566" s="7" t="inlineStr">
        <is>
          <t>mês (inteiro ≥ 0)</t>
        </is>
      </c>
      <c r="D566" s="8" t="inlineStr">
        <is>
          <t>custos[22].inicio_mes</t>
        </is>
      </c>
    </row>
    <row r="567">
      <c r="A567" s="5" t="inlineStr">
        <is>
          <t>Custo 22 — Duração (só customizado)</t>
        </is>
      </c>
      <c r="B567" s="15" t="n"/>
      <c r="C567" s="7" t="inlineStr">
        <is>
          <t>meses (inteiro ≥ 1)</t>
        </is>
      </c>
      <c r="D567" s="8" t="inlineStr">
        <is>
          <t>custos[22].duracao_meses</t>
        </is>
      </c>
    </row>
    <row r="568">
      <c r="A568" s="16" t="inlineStr">
        <is>
          <t>Custo 23</t>
        </is>
      </c>
    </row>
    <row r="569">
      <c r="A569" s="5" t="inlineStr">
        <is>
          <t>Custo 23 — Grupo</t>
        </is>
      </c>
      <c r="B569" s="6" t="n"/>
      <c r="C569" s="7" t="inlineStr">
        <is>
          <t>lista: terreno | obra | diretos | indireto | financeiro</t>
        </is>
      </c>
      <c r="D569" s="8" t="inlineStr">
        <is>
          <t>custos[23].grupo</t>
        </is>
      </c>
    </row>
    <row r="570">
      <c r="A570" s="5" t="inlineStr">
        <is>
          <t>Custo 23 — Categoria</t>
        </is>
      </c>
      <c r="B570" s="6" t="n"/>
      <c r="C570" s="7" t="inlineStr">
        <is>
          <t>ver tabela acima</t>
        </is>
      </c>
      <c r="D570" s="8" t="inlineStr">
        <is>
          <t>custos[23].categoria</t>
        </is>
      </c>
    </row>
    <row r="571">
      <c r="A571" s="5" t="inlineStr">
        <is>
          <t>Custo 23 — Subcategoria / descrição</t>
        </is>
      </c>
      <c r="B571" s="6" t="n"/>
      <c r="C571" s="7" t="inlineStr">
        <is>
          <t>Preço: Valor à vista | Parcelado; Outro: texto</t>
        </is>
      </c>
      <c r="D571" s="8" t="inlineStr">
        <is>
          <t>custos[23].subcategoria</t>
        </is>
      </c>
    </row>
    <row r="572">
      <c r="A572" s="5" t="inlineStr">
        <is>
          <t>Custo 23 — Unidade</t>
        </is>
      </c>
      <c r="B572" s="6" t="n"/>
      <c r="C572" s="7" t="inlineStr">
        <is>
          <t>lista: rs | rs_m2_priv | rs_m2_terreno | pct_vgv | pct_obra | pct_recebido | pct_constr</t>
        </is>
      </c>
      <c r="D572" s="8" t="inlineStr">
        <is>
          <t>custos[23].unidade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custos[23].valor_rs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custos[23].valor_pct</t>
        </is>
      </c>
    </row>
    <row r="575">
      <c r="A575" s="5" t="inlineStr">
        <is>
          <t>Custo 23 — Distribuição</t>
        </is>
      </c>
      <c r="B575" s="6" t="n"/>
      <c r="C575" s="7" t="inlineStr">
        <is>
          <t>Linear | nome de uma curva do catálogo (ex.: Curva S) | unit_delivery | sales_revenue</t>
        </is>
      </c>
      <c r="D575" s="8" t="inlineStr">
        <is>
          <t>custos[23].distribuicao</t>
        </is>
      </c>
    </row>
    <row r="576">
      <c r="A576" s="5" t="inlineStr">
        <is>
          <t>Custo 23 — Cronograma</t>
        </is>
      </c>
      <c r="B576" s="6" t="n"/>
      <c r="C576" s="7" t="inlineStr">
        <is>
          <t>evento, customizado ou "fase: &lt;nome&gt;"</t>
        </is>
      </c>
      <c r="D576" s="8" t="inlineStr">
        <is>
          <t>custos[23].cronograma</t>
        </is>
      </c>
    </row>
    <row r="577">
      <c r="A577" s="5" t="inlineStr">
        <is>
          <t>Custo 23 — Início (só customizado)</t>
        </is>
      </c>
      <c r="B577" s="15" t="n"/>
      <c r="C577" s="7" t="inlineStr">
        <is>
          <t>mês (inteiro ≥ 0)</t>
        </is>
      </c>
      <c r="D577" s="8" t="inlineStr">
        <is>
          <t>custos[23].inicio_mes</t>
        </is>
      </c>
    </row>
    <row r="578">
      <c r="A578" s="5" t="inlineStr">
        <is>
          <t>Custo 23 — Duração (só customizado)</t>
        </is>
      </c>
      <c r="B578" s="15" t="n"/>
      <c r="C578" s="7" t="inlineStr">
        <is>
          <t>meses (inteiro ≥ 1)</t>
        </is>
      </c>
      <c r="D578" s="8" t="inlineStr">
        <is>
          <t>custos[23].duracao_meses</t>
        </is>
      </c>
    </row>
    <row r="579">
      <c r="A579" s="16" t="inlineStr">
        <is>
          <t>Custo 24</t>
        </is>
      </c>
    </row>
    <row r="580">
      <c r="A580" s="5" t="inlineStr">
        <is>
          <t>Custo 24 — Grupo</t>
        </is>
      </c>
      <c r="B580" s="6" t="n"/>
      <c r="C580" s="7" t="inlineStr">
        <is>
          <t>lista: terreno | obra | diretos | indireto | financeiro</t>
        </is>
      </c>
      <c r="D580" s="8" t="inlineStr">
        <is>
          <t>custos[24].grupo</t>
        </is>
      </c>
    </row>
    <row r="581">
      <c r="A581" s="5" t="inlineStr">
        <is>
          <t>Custo 24 — Categoria</t>
        </is>
      </c>
      <c r="B581" s="6" t="n"/>
      <c r="C581" s="7" t="inlineStr">
        <is>
          <t>ver tabela acima</t>
        </is>
      </c>
      <c r="D581" s="8" t="inlineStr">
        <is>
          <t>custos[24].categoria</t>
        </is>
      </c>
    </row>
    <row r="582">
      <c r="A582" s="5" t="inlineStr">
        <is>
          <t>Custo 24 — Subcategoria / descrição</t>
        </is>
      </c>
      <c r="B582" s="6" t="n"/>
      <c r="C582" s="7" t="inlineStr">
        <is>
          <t>Preço: Valor à vista | Parcelado; Outro: texto</t>
        </is>
      </c>
      <c r="D582" s="8" t="inlineStr">
        <is>
          <t>custos[24].subcategoria</t>
        </is>
      </c>
    </row>
    <row r="583">
      <c r="A583" s="5" t="inlineStr">
        <is>
          <t>Custo 24 — Unidade</t>
        </is>
      </c>
      <c r="B583" s="6" t="n"/>
      <c r="C583" s="7" t="inlineStr">
        <is>
          <t>lista: rs | rs_m2_priv | rs_m2_terreno | pct_vgv | pct_obra | pct_recebido | pct_constr</t>
        </is>
      </c>
      <c r="D583" s="8" t="inlineStr">
        <is>
          <t>custos[24].unidade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custos[24].valor_rs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custos[24].valor_pct</t>
        </is>
      </c>
    </row>
    <row r="586">
      <c r="A586" s="5" t="inlineStr">
        <is>
          <t>Custo 24 — Distribuição</t>
        </is>
      </c>
      <c r="B586" s="6" t="n"/>
      <c r="C586" s="7" t="inlineStr">
        <is>
          <t>Linear | nome de uma curva do catálogo (ex.: Curva S) | unit_delivery | sales_revenue</t>
        </is>
      </c>
      <c r="D586" s="8" t="inlineStr">
        <is>
          <t>custos[24].distribuicao</t>
        </is>
      </c>
    </row>
    <row r="587">
      <c r="A587" s="5" t="inlineStr">
        <is>
          <t>Custo 24 — Cronograma</t>
        </is>
      </c>
      <c r="B587" s="6" t="n"/>
      <c r="C587" s="7" t="inlineStr">
        <is>
          <t>evento, customizado ou "fase: &lt;nome&gt;"</t>
        </is>
      </c>
      <c r="D587" s="8" t="inlineStr">
        <is>
          <t>custos[24].cronograma</t>
        </is>
      </c>
    </row>
    <row r="588">
      <c r="A588" s="5" t="inlineStr">
        <is>
          <t>Custo 24 — Início (só customizado)</t>
        </is>
      </c>
      <c r="B588" s="15" t="n"/>
      <c r="C588" s="7" t="inlineStr">
        <is>
          <t>mês (inteiro ≥ 0)</t>
        </is>
      </c>
      <c r="D588" s="8" t="inlineStr">
        <is>
          <t>custos[24].inicio_mes</t>
        </is>
      </c>
    </row>
    <row r="589">
      <c r="A589" s="5" t="inlineStr">
        <is>
          <t>Custo 24 — Duração (só customizado)</t>
        </is>
      </c>
      <c r="B589" s="15" t="n"/>
      <c r="C589" s="7" t="inlineStr">
        <is>
          <t>meses (inteiro ≥ 1)</t>
        </is>
      </c>
      <c r="D589" s="8" t="inlineStr">
        <is>
          <t>custos[24].duracao_meses</t>
        </is>
      </c>
    </row>
    <row r="590">
      <c r="A590" s="16" t="inlineStr">
        <is>
          <t>Custo 25</t>
        </is>
      </c>
    </row>
    <row r="591">
      <c r="A591" s="5" t="inlineStr">
        <is>
          <t>Custo 25 — Grupo</t>
        </is>
      </c>
      <c r="B591" s="6" t="n"/>
      <c r="C591" s="7" t="inlineStr">
        <is>
          <t>lista: terreno | obra | diretos | indireto | financeiro</t>
        </is>
      </c>
      <c r="D591" s="8" t="inlineStr">
        <is>
          <t>custos[25].grupo</t>
        </is>
      </c>
    </row>
    <row r="592">
      <c r="A592" s="5" t="inlineStr">
        <is>
          <t>Custo 25 — Categoria</t>
        </is>
      </c>
      <c r="B592" s="6" t="n"/>
      <c r="C592" s="7" t="inlineStr">
        <is>
          <t>ver tabela acima</t>
        </is>
      </c>
      <c r="D592" s="8" t="inlineStr">
        <is>
          <t>custos[25].categoria</t>
        </is>
      </c>
    </row>
    <row r="593">
      <c r="A593" s="5" t="inlineStr">
        <is>
          <t>Custo 25 — Subcategoria / descrição</t>
        </is>
      </c>
      <c r="B593" s="6" t="n"/>
      <c r="C593" s="7" t="inlineStr">
        <is>
          <t>Preço: Valor à vista | Parcelado; Outro: texto</t>
        </is>
      </c>
      <c r="D593" s="8" t="inlineStr">
        <is>
          <t>custos[25].subcategoria</t>
        </is>
      </c>
    </row>
    <row r="594">
      <c r="A594" s="5" t="inlineStr">
        <is>
          <t>Custo 25 — Unidade</t>
        </is>
      </c>
      <c r="B594" s="6" t="n"/>
      <c r="C594" s="7" t="inlineStr">
        <is>
          <t>lista: rs | rs_m2_priv | rs_m2_terreno | pct_vgv | pct_obra | pct_recebido | pct_constr</t>
        </is>
      </c>
      <c r="D594" s="8" t="inlineStr">
        <is>
          <t>custos[25].unidade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custos[25].valor_rs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custos[25].valor_pct</t>
        </is>
      </c>
    </row>
    <row r="597">
      <c r="A597" s="5" t="inlineStr">
        <is>
          <t>Custo 25 — Distribuição</t>
        </is>
      </c>
      <c r="B597" s="6" t="n"/>
      <c r="C597" s="7" t="inlineStr">
        <is>
          <t>Linear | nome de uma curva do catálogo (ex.: Curva S) | unit_delivery | sales_revenue</t>
        </is>
      </c>
      <c r="D597" s="8" t="inlineStr">
        <is>
          <t>custos[25].distribuicao</t>
        </is>
      </c>
    </row>
    <row r="598">
      <c r="A598" s="5" t="inlineStr">
        <is>
          <t>Custo 25 — Cronograma</t>
        </is>
      </c>
      <c r="B598" s="6" t="n"/>
      <c r="C598" s="7" t="inlineStr">
        <is>
          <t>evento, customizado ou "fase: &lt;nome&gt;"</t>
        </is>
      </c>
      <c r="D598" s="8" t="inlineStr">
        <is>
          <t>custos[25].cronograma</t>
        </is>
      </c>
    </row>
    <row r="599">
      <c r="A599" s="5" t="inlineStr">
        <is>
          <t>Custo 25 — Início (só customizado)</t>
        </is>
      </c>
      <c r="B599" s="15" t="n"/>
      <c r="C599" s="7" t="inlineStr">
        <is>
          <t>mês (inteiro ≥ 0)</t>
        </is>
      </c>
      <c r="D599" s="8" t="inlineStr">
        <is>
          <t>custos[25].inicio_mes</t>
        </is>
      </c>
    </row>
    <row r="600">
      <c r="A600" s="5" t="inlineStr">
        <is>
          <t>Custo 25 — Duração (só customizado)</t>
        </is>
      </c>
      <c r="B600" s="15" t="n"/>
      <c r="C600" s="7" t="inlineStr">
        <is>
          <t>meses (inteiro ≥ 1)</t>
        </is>
      </c>
      <c r="D600" s="8" t="inlineStr">
        <is>
          <t>custos[25].duracao_meses</t>
        </is>
      </c>
    </row>
    <row r="601">
      <c r="A601" s="16" t="inlineStr">
        <is>
          <t>Custo 26</t>
        </is>
      </c>
    </row>
    <row r="602">
      <c r="A602" s="5" t="inlineStr">
        <is>
          <t>Custo 26 — Grupo</t>
        </is>
      </c>
      <c r="B602" s="6" t="n"/>
      <c r="C602" s="7" t="inlineStr">
        <is>
          <t>lista: terreno | obra | diretos | indireto | financeiro</t>
        </is>
      </c>
      <c r="D602" s="8" t="inlineStr">
        <is>
          <t>custos[26].grupo</t>
        </is>
      </c>
    </row>
    <row r="603">
      <c r="A603" s="5" t="inlineStr">
        <is>
          <t>Custo 26 — Categoria</t>
        </is>
      </c>
      <c r="B603" s="6" t="n"/>
      <c r="C603" s="7" t="inlineStr">
        <is>
          <t>ver tabela acima</t>
        </is>
      </c>
      <c r="D603" s="8" t="inlineStr">
        <is>
          <t>custos[26].categoria</t>
        </is>
      </c>
    </row>
    <row r="604">
      <c r="A604" s="5" t="inlineStr">
        <is>
          <t>Custo 26 — Subcategoria / descrição</t>
        </is>
      </c>
      <c r="B604" s="6" t="n"/>
      <c r="C604" s="7" t="inlineStr">
        <is>
          <t>Preço: Valor à vista | Parcelado; Outro: texto</t>
        </is>
      </c>
      <c r="D604" s="8" t="inlineStr">
        <is>
          <t>custos[26].subcategoria</t>
        </is>
      </c>
    </row>
    <row r="605">
      <c r="A605" s="5" t="inlineStr">
        <is>
          <t>Custo 26 — Unidade</t>
        </is>
      </c>
      <c r="B605" s="6" t="n"/>
      <c r="C605" s="7" t="inlineStr">
        <is>
          <t>lista: rs | rs_m2_priv | rs_m2_terreno | pct_vgv | pct_obra | pct_recebido | pct_constr</t>
        </is>
      </c>
      <c r="D605" s="8" t="inlineStr">
        <is>
          <t>custos[26].unidade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custos[26].valor_rs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custos[26].valor_pct</t>
        </is>
      </c>
    </row>
    <row r="608">
      <c r="A608" s="5" t="inlineStr">
        <is>
          <t>Custo 26 — Distribuição</t>
        </is>
      </c>
      <c r="B608" s="6" t="n"/>
      <c r="C608" s="7" t="inlineStr">
        <is>
          <t>Linear | nome de uma curva do catálogo (ex.: Curva S) | unit_delivery | sales_revenue</t>
        </is>
      </c>
      <c r="D608" s="8" t="inlineStr">
        <is>
          <t>custos[26].distribuicao</t>
        </is>
      </c>
    </row>
    <row r="609">
      <c r="A609" s="5" t="inlineStr">
        <is>
          <t>Custo 26 — Cronograma</t>
        </is>
      </c>
      <c r="B609" s="6" t="n"/>
      <c r="C609" s="7" t="inlineStr">
        <is>
          <t>evento, customizado ou "fase: &lt;nome&gt;"</t>
        </is>
      </c>
      <c r="D609" s="8" t="inlineStr">
        <is>
          <t>custos[26].cronograma</t>
        </is>
      </c>
    </row>
    <row r="610">
      <c r="A610" s="5" t="inlineStr">
        <is>
          <t>Custo 26 — Início (só customizado)</t>
        </is>
      </c>
      <c r="B610" s="15" t="n"/>
      <c r="C610" s="7" t="inlineStr">
        <is>
          <t>mês (inteiro ≥ 0)</t>
        </is>
      </c>
      <c r="D610" s="8" t="inlineStr">
        <is>
          <t>custos[26].inicio_mes</t>
        </is>
      </c>
    </row>
    <row r="611">
      <c r="A611" s="5" t="inlineStr">
        <is>
          <t>Custo 26 — Duração (só customizado)</t>
        </is>
      </c>
      <c r="B611" s="15" t="n"/>
      <c r="C611" s="7" t="inlineStr">
        <is>
          <t>meses (inteiro ≥ 1)</t>
        </is>
      </c>
      <c r="D611" s="8" t="inlineStr">
        <is>
          <t>custos[26].duracao_meses</t>
        </is>
      </c>
    </row>
    <row r="612">
      <c r="A612" s="16" t="inlineStr">
        <is>
          <t>Custo 27</t>
        </is>
      </c>
    </row>
    <row r="613">
      <c r="A613" s="5" t="inlineStr">
        <is>
          <t>Custo 27 — Grupo</t>
        </is>
      </c>
      <c r="B613" s="6" t="n"/>
      <c r="C613" s="7" t="inlineStr">
        <is>
          <t>lista: terreno | obra | diretos | indireto | financeiro</t>
        </is>
      </c>
      <c r="D613" s="8" t="inlineStr">
        <is>
          <t>custos[27].grupo</t>
        </is>
      </c>
    </row>
    <row r="614">
      <c r="A614" s="5" t="inlineStr">
        <is>
          <t>Custo 27 — Categoria</t>
        </is>
      </c>
      <c r="B614" s="6" t="n"/>
      <c r="C614" s="7" t="inlineStr">
        <is>
          <t>ver tabela acima</t>
        </is>
      </c>
      <c r="D614" s="8" t="inlineStr">
        <is>
          <t>custos[27].categoria</t>
        </is>
      </c>
    </row>
    <row r="615">
      <c r="A615" s="5" t="inlineStr">
        <is>
          <t>Custo 27 — Subcategoria / descrição</t>
        </is>
      </c>
      <c r="B615" s="6" t="n"/>
      <c r="C615" s="7" t="inlineStr">
        <is>
          <t>Preço: Valor à vista | Parcelado; Outro: texto</t>
        </is>
      </c>
      <c r="D615" s="8" t="inlineStr">
        <is>
          <t>custos[27].subcategoria</t>
        </is>
      </c>
    </row>
    <row r="616">
      <c r="A616" s="5" t="inlineStr">
        <is>
          <t>Custo 27 — Unidade</t>
        </is>
      </c>
      <c r="B616" s="6" t="n"/>
      <c r="C616" s="7" t="inlineStr">
        <is>
          <t>lista: rs | rs_m2_priv | rs_m2_terreno | pct_vgv | pct_obra | pct_recebido | pct_constr</t>
        </is>
      </c>
      <c r="D616" s="8" t="inlineStr">
        <is>
          <t>custos[27].unidade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custos[27].valor_rs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custos[27].valor_pct</t>
        </is>
      </c>
    </row>
    <row r="619">
      <c r="A619" s="5" t="inlineStr">
        <is>
          <t>Custo 27 — Distribuição</t>
        </is>
      </c>
      <c r="B619" s="6" t="n"/>
      <c r="C619" s="7" t="inlineStr">
        <is>
          <t>Linear | nome de uma curva do catálogo (ex.: Curva S) | unit_delivery | sales_revenue</t>
        </is>
      </c>
      <c r="D619" s="8" t="inlineStr">
        <is>
          <t>custos[27].distribuicao</t>
        </is>
      </c>
    </row>
    <row r="620">
      <c r="A620" s="5" t="inlineStr">
        <is>
          <t>Custo 27 — Cronograma</t>
        </is>
      </c>
      <c r="B620" s="6" t="n"/>
      <c r="C620" s="7" t="inlineStr">
        <is>
          <t>evento, customizado ou "fase: &lt;nome&gt;"</t>
        </is>
      </c>
      <c r="D620" s="8" t="inlineStr">
        <is>
          <t>custos[27].cronograma</t>
        </is>
      </c>
    </row>
    <row r="621">
      <c r="A621" s="5" t="inlineStr">
        <is>
          <t>Custo 27 — Início (só customizado)</t>
        </is>
      </c>
      <c r="B621" s="15" t="n"/>
      <c r="C621" s="7" t="inlineStr">
        <is>
          <t>mês (inteiro ≥ 0)</t>
        </is>
      </c>
      <c r="D621" s="8" t="inlineStr">
        <is>
          <t>custos[27].inicio_mes</t>
        </is>
      </c>
    </row>
    <row r="622">
      <c r="A622" s="5" t="inlineStr">
        <is>
          <t>Custo 27 — Duração (só customizado)</t>
        </is>
      </c>
      <c r="B622" s="15" t="n"/>
      <c r="C622" s="7" t="inlineStr">
        <is>
          <t>meses (inteiro ≥ 1)</t>
        </is>
      </c>
      <c r="D622" s="8" t="inlineStr">
        <is>
          <t>custos[27].duracao_meses</t>
        </is>
      </c>
    </row>
    <row r="623">
      <c r="A623" s="16" t="inlineStr">
        <is>
          <t>Custo 28</t>
        </is>
      </c>
    </row>
    <row r="624">
      <c r="A624" s="5" t="inlineStr">
        <is>
          <t>Custo 28 — Grupo</t>
        </is>
      </c>
      <c r="B624" s="6" t="n"/>
      <c r="C624" s="7" t="inlineStr">
        <is>
          <t>lista: terreno | obra | diretos | indireto | financeiro</t>
        </is>
      </c>
      <c r="D624" s="8" t="inlineStr">
        <is>
          <t>custos[28].grupo</t>
        </is>
      </c>
    </row>
    <row r="625">
      <c r="A625" s="5" t="inlineStr">
        <is>
          <t>Custo 28 — Categoria</t>
        </is>
      </c>
      <c r="B625" s="6" t="n"/>
      <c r="C625" s="7" t="inlineStr">
        <is>
          <t>ver tabela acima</t>
        </is>
      </c>
      <c r="D625" s="8" t="inlineStr">
        <is>
          <t>custos[28].categoria</t>
        </is>
      </c>
    </row>
    <row r="626">
      <c r="A626" s="5" t="inlineStr">
        <is>
          <t>Custo 28 — Subcategoria / descrição</t>
        </is>
      </c>
      <c r="B626" s="6" t="n"/>
      <c r="C626" s="7" t="inlineStr">
        <is>
          <t>Preço: Valor à vista | Parcelado; Outro: texto</t>
        </is>
      </c>
      <c r="D626" s="8" t="inlineStr">
        <is>
          <t>custos[28].subcategoria</t>
        </is>
      </c>
    </row>
    <row r="627">
      <c r="A627" s="5" t="inlineStr">
        <is>
          <t>Custo 28 — Unidade</t>
        </is>
      </c>
      <c r="B627" s="6" t="n"/>
      <c r="C627" s="7" t="inlineStr">
        <is>
          <t>lista: rs | rs_m2_priv | rs_m2_terreno | pct_vgv | pct_obra | pct_recebido | pct_constr</t>
        </is>
      </c>
      <c r="D627" s="8" t="inlineStr">
        <is>
          <t>custos[28].unidade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custos[28].valor_rs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custos[28].valor_pct</t>
        </is>
      </c>
    </row>
    <row r="630">
      <c r="A630" s="5" t="inlineStr">
        <is>
          <t>Custo 28 — Distribuição</t>
        </is>
      </c>
      <c r="B630" s="6" t="n"/>
      <c r="C630" s="7" t="inlineStr">
        <is>
          <t>Linear | nome de uma curva do catálogo (ex.: Curva S) | unit_delivery | sales_revenue</t>
        </is>
      </c>
      <c r="D630" s="8" t="inlineStr">
        <is>
          <t>custos[28].distribuicao</t>
        </is>
      </c>
    </row>
    <row r="631">
      <c r="A631" s="5" t="inlineStr">
        <is>
          <t>Custo 28 — Cronograma</t>
        </is>
      </c>
      <c r="B631" s="6" t="n"/>
      <c r="C631" s="7" t="inlineStr">
        <is>
          <t>evento, customizado ou "fase: &lt;nome&gt;"</t>
        </is>
      </c>
      <c r="D631" s="8" t="inlineStr">
        <is>
          <t>custos[28].cronograma</t>
        </is>
      </c>
    </row>
    <row r="632">
      <c r="A632" s="5" t="inlineStr">
        <is>
          <t>Custo 28 — Início (só customizado)</t>
        </is>
      </c>
      <c r="B632" s="15" t="n"/>
      <c r="C632" s="7" t="inlineStr">
        <is>
          <t>mês (inteiro ≥ 0)</t>
        </is>
      </c>
      <c r="D632" s="8" t="inlineStr">
        <is>
          <t>custos[28].inicio_mes</t>
        </is>
      </c>
    </row>
    <row r="633">
      <c r="A633" s="5" t="inlineStr">
        <is>
          <t>Custo 28 — Duração (só customizado)</t>
        </is>
      </c>
      <c r="B633" s="15" t="n"/>
      <c r="C633" s="7" t="inlineStr">
        <is>
          <t>meses (inteiro ≥ 1)</t>
        </is>
      </c>
      <c r="D633" s="8" t="inlineStr">
        <is>
          <t>custos[28].duracao_meses</t>
        </is>
      </c>
    </row>
    <row r="634">
      <c r="A634" s="16" t="inlineStr">
        <is>
          <t>Permuta física do terreno (terreno / Preço / Permuta física) — até 2</t>
        </is>
      </c>
    </row>
    <row r="635">
      <c r="A635" s="5" t="inlineStr">
        <is>
          <t>Permuta física 1 — Tipologia entregue</t>
        </is>
      </c>
      <c r="B635" s="6" t="n"/>
      <c r="C635" s="7" t="inlineStr">
        <is>
          <t>nome do tipologia</t>
        </is>
      </c>
      <c r="D635" s="8" t="inlineStr">
        <is>
          <t>permuta_fisica[1].tipologia</t>
        </is>
      </c>
    </row>
    <row r="636">
      <c r="A636" s="5" t="inlineStr">
        <is>
          <t>Permuta física 1 — Unidades entregues</t>
        </is>
      </c>
      <c r="B636" s="15" t="n"/>
      <c r="C636" s="7" t="inlineStr">
        <is>
          <t>unidades (≤ alocado)</t>
        </is>
      </c>
      <c r="D636" s="8" t="inlineStr">
        <is>
          <t>permuta_fisica[1].unidades</t>
        </is>
      </c>
    </row>
    <row r="637">
      <c r="A637" s="5" t="inlineStr">
        <is>
          <t>Permuta física 2 — Tipologia entregue</t>
        </is>
      </c>
      <c r="B637" s="6" t="n"/>
      <c r="C637" s="7" t="inlineStr">
        <is>
          <t>nome do tipologia</t>
        </is>
      </c>
      <c r="D637" s="8" t="inlineStr">
        <is>
          <t>permuta_fisica[2].tipologia</t>
        </is>
      </c>
    </row>
    <row r="638">
      <c r="A638" s="5" t="inlineStr">
        <is>
          <t>Permuta física 2 — Unidades entregues</t>
        </is>
      </c>
      <c r="B638" s="15" t="n"/>
      <c r="C638" s="7" t="inlineStr">
        <is>
          <t>unidades (≤ alocado)</t>
        </is>
      </c>
      <c r="D638" s="8" t="inlineStr">
        <is>
          <t>permuta_fisica[2].unidades</t>
        </is>
      </c>
    </row>
    <row r="639">
      <c r="A639" s="16" t="inlineStr">
        <is>
          <t>Permuta financeira do terreno (terreno / Preço / Permuta financeira) — até 2</t>
        </is>
      </c>
    </row>
    <row r="640">
      <c r="A640" s="5" t="inlineStr">
        <is>
          <t>Permuta financeira 1 — Unidade</t>
        </is>
      </c>
      <c r="B640" s="6" t="n"/>
      <c r="C640" s="7" t="inlineStr">
        <is>
          <t>lista: rs | pct_vgv</t>
        </is>
      </c>
      <c r="D640" s="8" t="inlineStr">
        <is>
          <t>permuta_financeira[1].unidade</t>
        </is>
      </c>
    </row>
    <row r="641">
      <c r="A641" s="5" t="inlineStr">
        <is>
          <t>Permuta financeira 1 — Valor em R$</t>
        </is>
      </c>
      <c r="B641" s="17" t="n"/>
      <c r="C641" s="7" t="inlineStr">
        <is>
          <t>R$ (valor cheio; se unidade = rs)</t>
        </is>
      </c>
      <c r="D641" s="8" t="inlineStr">
        <is>
          <t>permuta_financeira[1].valor_rs</t>
        </is>
      </c>
    </row>
    <row r="642">
      <c r="A642" s="5" t="inlineStr">
        <is>
          <t>Permuta financeira 1 — Valor em % do VGV</t>
        </is>
      </c>
      <c r="B642" s="12" t="n"/>
      <c r="C642" s="7" t="inlineStr">
        <is>
          <t>% do VGV (se unidade = pct_vgv)</t>
        </is>
      </c>
      <c r="D642" s="8" t="inlineStr">
        <is>
          <t>permuta_financeira[1].valor_pct</t>
        </is>
      </c>
    </row>
    <row r="643">
      <c r="A643" s="5" t="inlineStr">
        <is>
          <t>Permuta financeira 1 — Deduzir impostos</t>
        </is>
      </c>
      <c r="B643" s="6" t="n"/>
      <c r="C643" s="7" t="inlineStr">
        <is>
          <t>Sim/Não</t>
        </is>
      </c>
      <c r="D643" s="8" t="inlineStr">
        <is>
          <t>permuta_financeira[1].deduzir_imposto</t>
        </is>
      </c>
    </row>
    <row r="644">
      <c r="A644" s="5" t="inlineStr">
        <is>
          <t>Permuta financeira 1 — Deduzir corretagem</t>
        </is>
      </c>
      <c r="B644" s="6" t="n"/>
      <c r="C644" s="7" t="inlineStr">
        <is>
          <t>Sim/Não</t>
        </is>
      </c>
      <c r="D644" s="8" t="inlineStr">
        <is>
          <t>permuta_financeira[1].deduzir_corretagem</t>
        </is>
      </c>
    </row>
    <row r="645">
      <c r="A645" s="5" t="inlineStr">
        <is>
          <t>Permuta financeira 2 — Unidade</t>
        </is>
      </c>
      <c r="B645" s="6" t="n"/>
      <c r="C645" s="7" t="inlineStr">
        <is>
          <t>lista: rs | pct_vgv</t>
        </is>
      </c>
      <c r="D645" s="8" t="inlineStr">
        <is>
          <t>permuta_financeira[2].unidade</t>
        </is>
      </c>
    </row>
    <row r="646">
      <c r="A646" s="5" t="inlineStr">
        <is>
          <t>Permuta financeira 2 — Valor em R$</t>
        </is>
      </c>
      <c r="B646" s="17" t="n"/>
      <c r="C646" s="7" t="inlineStr">
        <is>
          <t>R$ (valor cheio; se unidade = rs)</t>
        </is>
      </c>
      <c r="D646" s="8" t="inlineStr">
        <is>
          <t>permuta_financeira[2].valor_rs</t>
        </is>
      </c>
    </row>
    <row r="647">
      <c r="A647" s="5" t="inlineStr">
        <is>
          <t>Permuta financeira 2 — Valor em % do VGV</t>
        </is>
      </c>
      <c r="B647" s="12" t="n"/>
      <c r="C647" s="7" t="inlineStr">
        <is>
          <t>% do VGV (se unidade = pct_vgv)</t>
        </is>
      </c>
      <c r="D647" s="8" t="inlineStr">
        <is>
          <t>permuta_financeira[2].valor_pct</t>
        </is>
      </c>
    </row>
    <row r="648">
      <c r="A648" s="5" t="inlineStr">
        <is>
          <t>Permuta financeira 2 — Deduzir impostos</t>
        </is>
      </c>
      <c r="B648" s="6" t="n"/>
      <c r="C648" s="7" t="inlineStr">
        <is>
          <t>Sim/Não</t>
        </is>
      </c>
      <c r="D648" s="8" t="inlineStr">
        <is>
          <t>permuta_financeira[2].deduzir_imposto</t>
        </is>
      </c>
    </row>
    <row r="649">
      <c r="A649" s="5" t="inlineStr">
        <is>
          <t>Permuta financeira 2 — Deduzir corretagem</t>
        </is>
      </c>
      <c r="B649" s="6" t="n"/>
      <c r="C649" s="7" t="inlineStr">
        <is>
          <t>Sim/Não</t>
        </is>
      </c>
      <c r="D649" s="8" t="inlineStr">
        <is>
          <t>permuta_financeira[2].deduzir_corretagem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n"/>
      <c r="C652" s="7" t="inlineStr">
        <is>
          <t>texto</t>
        </is>
      </c>
      <c r="D652" s="8" t="inlineStr">
        <is>
          <t>funding.financiamento_producao.nome</t>
        </is>
      </c>
    </row>
    <row r="653">
      <c r="A653" s="5" t="inlineStr">
        <is>
          <t>Financiamento à produção — Ativo</t>
        </is>
      </c>
      <c r="B653" s="6" t="n"/>
      <c r="C653" s="7" t="inlineStr">
        <is>
          <t>Sim/Não</t>
        </is>
      </c>
      <c r="D653" s="8" t="inlineStr">
        <is>
          <t>funding.financiamento_producao.ativo</t>
        </is>
      </c>
    </row>
    <row r="654">
      <c r="A654" s="5" t="inlineStr">
        <is>
          <t>Financiamento à produção — Teto</t>
        </is>
      </c>
      <c r="B654" s="17" t="n"/>
      <c r="C654" s="7" t="inlineStr">
        <is>
          <t>R$ (0 = sem teto)</t>
        </is>
      </c>
      <c r="D654" s="8" t="inlineStr">
        <is>
          <t>funding.financiamento_producao.valor</t>
        </is>
      </c>
    </row>
    <row r="655">
      <c r="A655" s="5" t="inlineStr">
        <is>
          <t>Financiamento à produção — Taxa</t>
        </is>
      </c>
      <c r="B655" s="12" t="n"/>
      <c r="C655" s="7" t="inlineStr">
        <is>
          <t>% a.a.</t>
        </is>
      </c>
      <c r="D655" s="8" t="inlineStr">
        <is>
          <t>funding.financiamento_producao.taxa_anual</t>
        </is>
      </c>
    </row>
    <row r="656">
      <c r="A656" s="5" t="inlineStr">
        <is>
          <t>Financiamento à produção — Exposição mínima</t>
        </is>
      </c>
      <c r="B656" s="12" t="n"/>
      <c r="C656" s="7" t="inlineStr">
        <is>
          <t>% (do custo)</t>
        </is>
      </c>
      <c r="D656" s="8" t="inlineStr">
        <is>
          <t>funding.financiamento_producao.exposicao_minima</t>
        </is>
      </c>
    </row>
    <row r="657">
      <c r="A657" s="5" t="inlineStr">
        <is>
          <t>Financiamento à produção — % do custo financiado</t>
        </is>
      </c>
      <c r="B657" s="12" t="n"/>
      <c r="C657" s="7" t="inlineStr">
        <is>
          <t>%</t>
        </is>
      </c>
      <c r="D657" s="8" t="inlineStr">
        <is>
          <t>funding.financiamento_producao.percentual_financiavel</t>
        </is>
      </c>
    </row>
    <row r="658">
      <c r="A658" s="5" t="inlineStr">
        <is>
          <t>Financiamento à produção — Caixa amortiza antes das chaves</t>
        </is>
      </c>
      <c r="B658" s="6" t="n"/>
      <c r="C658" s="7" t="inlineStr">
        <is>
          <t>Sim/Não</t>
        </is>
      </c>
      <c r="D658" s="8" t="inlineStr">
        <is>
          <t>funding.financiamento_producao.amortizar_com_caixa_disponivel</t>
        </is>
      </c>
    </row>
    <row r="659">
      <c r="A659" s="5" t="inlineStr">
        <is>
          <t>Financiamento à produção — Base financiável</t>
        </is>
      </c>
      <c r="B659" s="6" t="n"/>
      <c r="C659" s="7" t="inlineStr">
        <is>
          <t>linhas de custo separadas por ";" — Categoria ou Categoria / Subcategoria; vazio = padrão</t>
        </is>
      </c>
      <c r="D659" s="8" t="inlineStr">
        <is>
          <t>funding.financiamento_producao.base_financiavel</t>
        </is>
      </c>
    </row>
    <row r="660">
      <c r="A660" s="16" t="inlineStr">
        <is>
          <t>Dívida 1</t>
        </is>
      </c>
    </row>
    <row r="661">
      <c r="A661" s="5" t="inlineStr">
        <is>
          <t>Dívida 1 — Nome</t>
        </is>
      </c>
      <c r="B661" s="6" t="n"/>
      <c r="C661" s="7" t="inlineStr">
        <is>
          <t>texto</t>
        </is>
      </c>
      <c r="D661" s="8" t="inlineStr">
        <is>
          <t>funding.divida[1].nome</t>
        </is>
      </c>
    </row>
    <row r="662">
      <c r="A662" s="5" t="inlineStr">
        <is>
          <t>Dívida 1 — Valor</t>
        </is>
      </c>
      <c r="B662" s="17" t="n"/>
      <c r="C662" s="7" t="inlineStr">
        <is>
          <t>R$ (valor cheio)</t>
        </is>
      </c>
      <c r="D662" s="8" t="inlineStr">
        <is>
          <t>funding.divida[1].valor</t>
        </is>
      </c>
    </row>
    <row r="663">
      <c r="A663" s="5" t="inlineStr">
        <is>
          <t>Dívida 1 — Mês do aporte</t>
        </is>
      </c>
      <c r="B663" s="6" t="n"/>
      <c r="C663" s="7" t="inlineStr">
        <is>
          <t>evento, fase ("fase: &lt;nome&gt;") ou customizado</t>
        </is>
      </c>
      <c r="D663" s="8" t="inlineStr">
        <is>
          <t>funding.divida[1].aporte</t>
        </is>
      </c>
    </row>
    <row r="664">
      <c r="A664" s="5" t="inlineStr">
        <is>
          <t>Dívida 1 — Mês (só customizado)</t>
        </is>
      </c>
      <c r="B664" s="15" t="n"/>
      <c r="C664" s="7" t="inlineStr">
        <is>
          <t>mês (inteiro ≥ 0)</t>
        </is>
      </c>
      <c r="D664" s="8" t="inlineStr">
        <is>
          <t>funding.divida[1].mes</t>
        </is>
      </c>
    </row>
    <row r="665">
      <c r="A665" s="5" t="inlineStr">
        <is>
          <t>Dívida 1 — Distribuir aporte</t>
        </is>
      </c>
      <c r="B665" s="6" t="n"/>
      <c r="C665" s="7" t="inlineStr">
        <is>
          <t>Sim/Não</t>
        </is>
      </c>
      <c r="D665" s="8" t="inlineStr">
        <is>
          <t>funding.divida[1].distribuir_aporte</t>
        </is>
      </c>
    </row>
    <row r="666">
      <c r="A666" s="5" t="inlineStr">
        <is>
          <t>Dívida 1 — Aporte em</t>
        </is>
      </c>
      <c r="B666" s="15" t="n"/>
      <c r="C666" s="7" t="inlineStr">
        <is>
          <t>meses (≥ 1)</t>
        </is>
      </c>
      <c r="D666" s="8" t="inlineStr">
        <is>
          <t>funding.divida[1].aporte_meses</t>
        </is>
      </c>
    </row>
    <row r="667">
      <c r="A667" s="5" t="inlineStr">
        <is>
          <t>Dívida 1 — Taxa</t>
        </is>
      </c>
      <c r="B667" s="12" t="n"/>
      <c r="C667" s="7" t="inlineStr">
        <is>
          <t>% a.a.</t>
        </is>
      </c>
      <c r="D667" s="8" t="inlineStr">
        <is>
          <t>funding.divida[1].taxa_anual</t>
        </is>
      </c>
    </row>
    <row r="668">
      <c r="A668" s="5" t="inlineStr">
        <is>
          <t>Dívida 1 — Amortização</t>
        </is>
      </c>
      <c r="B668" s="15" t="n"/>
      <c r="C668" s="7" t="inlineStr">
        <is>
          <t>meses</t>
        </is>
      </c>
      <c r="D668" s="8" t="inlineStr">
        <is>
          <t>funding.divida[1].amortizacao_meses</t>
        </is>
      </c>
    </row>
    <row r="669">
      <c r="A669" s="5" t="inlineStr">
        <is>
          <t>Dívida 1 — Carência</t>
        </is>
      </c>
      <c r="B669" s="15" t="n"/>
      <c r="C669" s="7" t="inlineStr">
        <is>
          <t>meses (&lt; amortização)</t>
        </is>
      </c>
      <c r="D669" s="8" t="inlineStr">
        <is>
          <t>funding.divida[1].carencia_meses</t>
        </is>
      </c>
    </row>
    <row r="670">
      <c r="A670" s="5" t="inlineStr">
        <is>
          <t>Dívida 1 — Estruturação</t>
        </is>
      </c>
      <c r="B670" s="12" t="n"/>
      <c r="C670" s="7" t="inlineStr">
        <is>
          <t>% do valor</t>
        </is>
      </c>
      <c r="D670" s="8" t="inlineStr">
        <is>
          <t>funding.divida[1].estruturacao_pct</t>
        </is>
      </c>
    </row>
    <row r="671">
      <c r="A671" s="5" t="inlineStr">
        <is>
          <t>Dívida 1 — Administração</t>
        </is>
      </c>
      <c r="B671" s="17" t="n"/>
      <c r="C671" s="7" t="inlineStr">
        <is>
          <t>R$/mês</t>
        </is>
      </c>
      <c r="D671" s="8" t="inlineStr">
        <is>
          <t>funding.divida[1].administracao_mensal</t>
        </is>
      </c>
    </row>
    <row r="672">
      <c r="A672" s="5" t="inlineStr">
        <is>
          <t>Dívida 1 — Outros encargos</t>
        </is>
      </c>
      <c r="B672" s="17" t="n"/>
      <c r="C672" s="7" t="inlineStr">
        <is>
          <t>R$ (iniciais)</t>
        </is>
      </c>
      <c r="D672" s="8" t="inlineStr">
        <is>
          <t>funding.divida[1].outros_encargos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funding.divida[2].aporte</t>
        </is>
      </c>
    </row>
    <row r="677">
      <c r="A677" s="5" t="inlineStr">
        <is>
          <t>Dívida 2 — Mês (só customizado)</t>
        </is>
      </c>
      <c r="B677" s="15" t="n"/>
      <c r="C677" s="7" t="inlineStr">
        <is>
          <t>mês (inteiro ≥ 0)</t>
        </is>
      </c>
      <c r="D677" s="8" t="inlineStr">
        <is>
          <t>funding.divida[2].mes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funding.divida[2].amortizacao_meses</t>
        </is>
      </c>
    </row>
    <row r="682">
      <c r="A682" s="5" t="inlineStr">
        <is>
          <t>Dívida 2 — Carência</t>
        </is>
      </c>
      <c r="B682" s="15" t="n"/>
      <c r="C682" s="7" t="inlineStr">
        <is>
          <t>meses (&lt; amortização)</t>
        </is>
      </c>
      <c r="D682" s="8" t="inlineStr">
        <is>
          <t>funding.divida[2].carencia_meses</t>
        </is>
      </c>
    </row>
    <row r="683">
      <c r="A683" s="5" t="inlineStr">
        <is>
          <t>Dívida 2 — Estruturação</t>
        </is>
      </c>
      <c r="B683" s="12" t="n"/>
      <c r="C683" s="7" t="inlineStr">
        <is>
          <t>% do valor</t>
        </is>
      </c>
      <c r="D683" s="8" t="inlineStr">
        <is>
          <t>funding.divida[2].estruturacao_pct</t>
        </is>
      </c>
    </row>
    <row r="684">
      <c r="A684" s="5" t="inlineStr">
        <is>
          <t>Dívida 2 — Administração</t>
        </is>
      </c>
      <c r="B684" s="17" t="n"/>
      <c r="C684" s="7" t="inlineStr">
        <is>
          <t>R$/mês</t>
        </is>
      </c>
      <c r="D684" s="8" t="inlineStr">
        <is>
          <t>funding.divida[2].administracao_mensal</t>
        </is>
      </c>
    </row>
    <row r="685">
      <c r="A685" s="5" t="inlineStr">
        <is>
          <t>Dívida 2 — Outros encargos</t>
        </is>
      </c>
      <c r="B685" s="17" t="n"/>
      <c r="C685" s="7" t="inlineStr">
        <is>
          <t>R$ (iniciais)</t>
        </is>
      </c>
      <c r="D685" s="8" t="inlineStr">
        <is>
          <t>funding.divida[2].outros_encargos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funding.divida[3].aporte</t>
        </is>
      </c>
    </row>
    <row r="690">
      <c r="A690" s="5" t="inlineStr">
        <is>
          <t>Dívida 3 — Mês (só customizado)</t>
        </is>
      </c>
      <c r="B690" s="15" t="n"/>
      <c r="C690" s="7" t="inlineStr">
        <is>
          <t>mês (inteiro ≥ 0)</t>
        </is>
      </c>
      <c r="D690" s="8" t="inlineStr">
        <is>
          <t>funding.divida[3].mes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funding.divida[3].amortizacao_meses</t>
        </is>
      </c>
    </row>
    <row r="695">
      <c r="A695" s="5" t="inlineStr">
        <is>
          <t>Dívida 3 — Carência</t>
        </is>
      </c>
      <c r="B695" s="15" t="n"/>
      <c r="C695" s="7" t="inlineStr">
        <is>
          <t>meses (&lt; amortização)</t>
        </is>
      </c>
      <c r="D695" s="8" t="inlineStr">
        <is>
          <t>funding.divida[3].carencia_meses</t>
        </is>
      </c>
    </row>
    <row r="696">
      <c r="A696" s="5" t="inlineStr">
        <is>
          <t>Dívida 3 — Estruturação</t>
        </is>
      </c>
      <c r="B696" s="12" t="n"/>
      <c r="C696" s="7" t="inlineStr">
        <is>
          <t>% do valor</t>
        </is>
      </c>
      <c r="D696" s="8" t="inlineStr">
        <is>
          <t>funding.divida[3].estruturacao_pct</t>
        </is>
      </c>
    </row>
    <row r="697">
      <c r="A697" s="5" t="inlineStr">
        <is>
          <t>Dívida 3 — Administração</t>
        </is>
      </c>
      <c r="B697" s="17" t="n"/>
      <c r="C697" s="7" t="inlineStr">
        <is>
          <t>R$/mês</t>
        </is>
      </c>
      <c r="D697" s="8" t="inlineStr">
        <is>
          <t>funding.divida[3].administracao_mensal</t>
        </is>
      </c>
    </row>
    <row r="698">
      <c r="A698" s="5" t="inlineStr">
        <is>
          <t>Dívida 3 — Outros encargos</t>
        </is>
      </c>
      <c r="B698" s="17" t="n"/>
      <c r="C698" s="7" t="inlineStr">
        <is>
          <t>R$ (iniciais)</t>
        </is>
      </c>
      <c r="D698" s="8" t="inlineStr">
        <is>
          <t>funding.divida[3].outros_encargos</t>
        </is>
      </c>
    </row>
    <row r="699">
      <c r="A699" s="16" t="inlineStr">
        <is>
          <t>Equity 1</t>
        </is>
      </c>
    </row>
    <row r="700">
      <c r="A700" s="5" t="inlineStr">
        <is>
          <t>Equity 1 — Nome</t>
        </is>
      </c>
      <c r="B700" s="6" t="n"/>
      <c r="C700" s="7" t="inlineStr">
        <is>
          <t>texto</t>
        </is>
      </c>
      <c r="D700" s="8" t="inlineStr">
        <is>
          <t>funding.equity[1].nome</t>
        </is>
      </c>
    </row>
    <row r="701">
      <c r="A701" s="5" t="inlineStr">
        <is>
          <t>Equity 1 — Valor</t>
        </is>
      </c>
      <c r="B701" s="17" t="n"/>
      <c r="C701" s="7" t="inlineStr">
        <is>
          <t>R$ (valor cheio)</t>
        </is>
      </c>
      <c r="D701" s="8" t="inlineStr">
        <is>
          <t>funding.equity[1].valor</t>
        </is>
      </c>
    </row>
    <row r="702">
      <c r="A702" s="5" t="inlineStr">
        <is>
          <t>Equity 1 — Mês do aporte</t>
        </is>
      </c>
      <c r="B702" s="6" t="n"/>
      <c r="C702" s="7" t="inlineStr">
        <is>
          <t>evento, fase ("fase: &lt;nome&gt;") ou customizado</t>
        </is>
      </c>
      <c r="D702" s="8" t="inlineStr">
        <is>
          <t>funding.equity[1].aporte</t>
        </is>
      </c>
    </row>
    <row r="703">
      <c r="A703" s="5" t="inlineStr">
        <is>
          <t>Equity 1 — Mês (só customizado)</t>
        </is>
      </c>
      <c r="B703" s="15" t="n"/>
      <c r="C703" s="7" t="inlineStr">
        <is>
          <t>mês (inteiro ≥ 0)</t>
        </is>
      </c>
      <c r="D703" s="8" t="inlineStr">
        <is>
          <t>funding.equity[1].mes</t>
        </is>
      </c>
    </row>
    <row r="704">
      <c r="A704" s="5" t="inlineStr">
        <is>
          <t>Equity 1 — Modo de retorno</t>
        </is>
      </c>
      <c r="B704" s="6" t="n"/>
      <c r="C704" s="7" t="inlineStr">
        <is>
          <t>lista: permuta_financeira | resultado_final</t>
        </is>
      </c>
      <c r="D704" s="8" t="inlineStr">
        <is>
          <t>funding.equity[1].modo_retorno</t>
        </is>
      </c>
    </row>
    <row r="705">
      <c r="A705" s="5" t="inlineStr">
        <is>
          <t>Equity 1 — % de retorno</t>
        </is>
      </c>
      <c r="B705" s="12" t="n"/>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funding.equity[2].aporte</t>
        </is>
      </c>
    </row>
    <row r="710">
      <c r="A710" s="5" t="inlineStr">
        <is>
          <t>Equity 2 — Mês (só customizado)</t>
        </is>
      </c>
      <c r="B710" s="15" t="n"/>
      <c r="C710" s="7" t="inlineStr">
        <is>
          <t>mês (inteiro ≥ 0)</t>
        </is>
      </c>
      <c r="D710" s="8" t="inlineStr">
        <is>
          <t>funding.equity[2].mes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funding.equity[3].aporte</t>
        </is>
      </c>
    </row>
    <row r="717">
      <c r="A717" s="5" t="inlineStr">
        <is>
          <t>Equity 3 — Mês (só customizado)</t>
        </is>
      </c>
      <c r="B717" s="15" t="n"/>
      <c r="C717" s="7" t="inlineStr">
        <is>
          <t>mês (inteiro ≥ 0)</t>
        </is>
      </c>
      <c r="D717" s="8" t="inlineStr">
        <is>
          <t>funding.equity[3].mes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n"/>
      <c r="C721" s="7" t="inlineStr">
        <is>
          <t>texto</t>
        </is>
      </c>
      <c r="D721" s="8" t="inlineStr">
        <is>
          <t>cenarios[1].nome</t>
        </is>
      </c>
    </row>
    <row r="722">
      <c r="A722" s="5" t="inlineStr">
        <is>
          <t>Cenário 1 — Preço de venda</t>
        </is>
      </c>
      <c r="B722" s="12" t="n"/>
      <c r="C722" s="7" t="inlineStr">
        <is>
          <t>variação % (pode ser negativa)</t>
        </is>
      </c>
      <c r="D722" s="8" t="inlineStr">
        <is>
          <t>cenarios[1].preco_venda_pct</t>
        </is>
      </c>
    </row>
    <row r="723">
      <c r="A723" s="5" t="inlineStr">
        <is>
          <t>Cenário 1 — Custo de obra</t>
        </is>
      </c>
      <c r="B723" s="12" t="n"/>
      <c r="C723" s="7" t="inlineStr">
        <is>
          <t>variação % (pode ser negativa)</t>
        </is>
      </c>
      <c r="D723" s="8" t="inlineStr">
        <is>
          <t>cenarios[1].custo_obra_pct</t>
        </is>
      </c>
    </row>
    <row r="724">
      <c r="A724" s="5" t="inlineStr">
        <is>
          <t>Cenário 2 — Nome</t>
        </is>
      </c>
      <c r="B724" s="6" t="n"/>
      <c r="C724" s="7" t="inlineStr">
        <is>
          <t>texto</t>
        </is>
      </c>
      <c r="D724" s="8" t="inlineStr">
        <is>
          <t>cenarios[2].nome</t>
        </is>
      </c>
    </row>
    <row r="725">
      <c r="A725" s="5" t="inlineStr">
        <is>
          <t>Cenário 2 — Preço de venda</t>
        </is>
      </c>
      <c r="B725" s="12" t="n"/>
      <c r="C725" s="7" t="inlineStr">
        <is>
          <t>variação % (pode ser negativa)</t>
        </is>
      </c>
      <c r="D725" s="8" t="inlineStr">
        <is>
          <t>cenarios[2].preco_venda_pct</t>
        </is>
      </c>
    </row>
    <row r="726">
      <c r="A726" s="5" t="inlineStr">
        <is>
          <t>Cenário 2 — Custo de obra</t>
        </is>
      </c>
      <c r="B726" s="12" t="n"/>
      <c r="C726" s="7" t="inlineStr">
        <is>
          <t>variação % (pode ser negativa)</t>
        </is>
      </c>
      <c r="D726" s="8" t="inlineStr">
        <is>
          <t>cenarios[2].custo_obra_pct</t>
        </is>
      </c>
    </row>
    <row r="727">
      <c r="A727" s="5" t="inlineStr">
        <is>
          <t>Cenário 3 — Nome</t>
        </is>
      </c>
      <c r="B727" s="6" t="n"/>
      <c r="C727" s="7" t="inlineStr">
        <is>
          <t>texto</t>
        </is>
      </c>
      <c r="D727" s="8" t="inlineStr">
        <is>
          <t>cenarios[3].nome</t>
        </is>
      </c>
    </row>
    <row r="728">
      <c r="A728" s="5" t="inlineStr">
        <is>
          <t>Cenário 3 — Preço de venda</t>
        </is>
      </c>
      <c r="B728" s="12" t="n"/>
      <c r="C728" s="7" t="inlineStr">
        <is>
          <t>variação % (pode ser negativa)</t>
        </is>
      </c>
      <c r="D728" s="8" t="inlineStr">
        <is>
          <t>cenarios[3].preco_venda_pct</t>
        </is>
      </c>
    </row>
    <row r="729">
      <c r="A729" s="5" t="inlineStr">
        <is>
          <t>Cenário 3 — Custo de obra</t>
        </is>
      </c>
      <c r="B729" s="12" t="n"/>
      <c r="C729" s="7" t="inlineStr">
        <is>
          <t>variação % (pode ser negativa)</t>
        </is>
      </c>
      <c r="D729" s="8" t="inlineStr">
        <is>
          <t>cenarios[3].custo_obra_pct</t>
        </is>
      </c>
    </row>
    <row r="730">
      <c r="A730" s="5" t="inlineStr">
        <is>
          <t>Cenário 4 — Nome</t>
        </is>
      </c>
      <c r="B730" s="6" t="n"/>
      <c r="C730" s="7" t="inlineStr">
        <is>
          <t>texto</t>
        </is>
      </c>
      <c r="D730" s="8" t="inlineStr">
        <is>
          <t>cenarios[4].nome</t>
        </is>
      </c>
    </row>
    <row r="731">
      <c r="A731" s="5" t="inlineStr">
        <is>
          <t>Cenário 4 — Preço de venda</t>
        </is>
      </c>
      <c r="B731" s="12" t="n"/>
      <c r="C731" s="7" t="inlineStr">
        <is>
          <t>variação % (pode ser negativa)</t>
        </is>
      </c>
      <c r="D731" s="8" t="inlineStr">
        <is>
          <t>cenarios[4].preco_venda_pct</t>
        </is>
      </c>
    </row>
    <row r="732">
      <c r="A732" s="5" t="inlineStr">
        <is>
          <t>Cenário 4 — Custo de obra</t>
        </is>
      </c>
      <c r="B732" s="12" t="n"/>
      <c r="C732" s="7" t="inlineStr">
        <is>
          <t>variação % (pode ser negativa)</t>
        </is>
      </c>
      <c r="D732" s="8" t="inlineStr">
        <is>
          <t>cenarios[4].custo_obra_pct</t>
        </is>
      </c>
    </row>
    <row r="733">
      <c r="A733" s="5" t="inlineStr">
        <is>
          <t>Cenário 5 — Nome</t>
        </is>
      </c>
      <c r="B733" s="6" t="n"/>
      <c r="C733" s="7" t="inlineStr">
        <is>
          <t>texto</t>
        </is>
      </c>
      <c r="D733" s="8" t="inlineStr">
        <is>
          <t>cenarios[5].nome</t>
        </is>
      </c>
    </row>
    <row r="734">
      <c r="A734" s="5" t="inlineStr">
        <is>
          <t>Cenário 5 — Preço de venda</t>
        </is>
      </c>
      <c r="B734" s="12" t="n"/>
      <c r="C734" s="7" t="inlineStr">
        <is>
          <t>variação % (pode ser negativa)</t>
        </is>
      </c>
      <c r="D734" s="8" t="inlineStr">
        <is>
          <t>cenarios[5].preco_venda_pct</t>
        </is>
      </c>
    </row>
    <row r="735">
      <c r="A735" s="5" t="inlineStr">
        <is>
          <t>Cenário 5 — Custo de obra</t>
        </is>
      </c>
      <c r="B735" s="12" t="n"/>
      <c r="C735" s="7" t="inlineStr">
        <is>
          <t>variação % (pode ser negativa)</t>
        </is>
      </c>
      <c r="D735" s="8" t="inlineStr">
        <is>
          <t>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Custo 1 — conferência</t>
        </is>
      </c>
      <c r="B875" s="24">
        <f>IF(AND($B$327="",$B$328=""),"",IF(OR($B$327="",$B$328="",$B$330=""),"⚠ falta grupo, categoria ou unidade",IF(NOT(OR(AND($B$327="terreno",$B$328="Preço",OR($B$330="rs",$B$330="rs_m2_terreno")),AND($B$327="terreno",$B$328="Registro",OR($B$330="rs",$B$330="rs_m2_priv")),AND($B$327="terreno",$B$328="Outro",OR($B$330="rs",$B$330="pct_vgv")),AND($B$327="obra",$B$328="Construção",OR($B$330="rs",$B$330="rs_m2_priv")),AND($B$327="obra",$B$328="Outorga",OR($B$330="rs",$B$330="pct_vgv")),AND($B$327="obra",$B$328="Decoração",OR($B$330="rs",$B$330="rs_m2_priv")),AND($B$327="obra",$B$328="Gestão da obra",OR($B$330="rs",$B$330="pct_obra")),AND($B$327="obra",$B$328="Contingência",OR($B$330="rs",$B$330="pct_vgv")),AND($B$327="obra",$B$328="Outro",OR($B$330="rs",$B$330="pct_vgv")),AND($B$327="diretos",$B$328="Marketing &amp; Publicidade",OR($B$330="rs",$B$330="pct_vgv",$B$330="pct_recebido")),AND($B$327="diretos",$B$328="Corretagem de vendas",OR($B$330="pct_vgv")),AND($B$327="diretos",$B$328="Projetos",OR($B$330="rs",$B$330="rs_m2_priv",$B$330="pct_constr")),AND($B$327="diretos",$B$328="Licenças e Aprovações",OR($B$330="rs",$B$330="rs_m2_priv")),AND($B$327="diretos",$B$328="Manutenção pós-obra",OR($B$330="rs",$B$330="pct_vgv",$B$330="pct_recebido")),AND($B$327="diretos",$B$328="Outro",OR($B$330="rs",$B$330="pct_vgv",$B$330="pct_recebido")),AND($B$327="indireto",$B$328="Marketing global",OR($B$330="rs",$B$330="pct_vgv",$B$330="pct_recebido")),AND($B$327="indireto",$B$328="Stand de vendas",OR($B$330="rs",$B$330="pct_vgv")),AND($B$327="indireto",$B$328="Gestão",OR($B$330="rs",$B$330="pct_vgv",$B$330="pct_recebido")),AND($B$327="indireto",$B$328="Outro",OR($B$330="rs",$B$330="pct_vgv",$B$330="pct_recebido")),AND($B$327="financeiro",$B$328="Juros de financiamento",OR($B$330="rs",$B$330="pct_vgv")),AND($B$327="financeiro",$B$328="Taxas bancárias",OR($B$330="rs",$B$330="pct_vgv")),AND($B$327="financeiro",$B$328="Estruturação de dívida",OR($B$330="rs",$B$330="pct_vgv")),AND($B$327="financeiro",$B$328="Investidores",OR($B$330="rs",$B$330="pct_vgv")),AND($B$327="financeiro",$B$328="Outro",OR($B$330="rs",$B$330="pct_vgv")))),"⚠ unidade não aceita nesta categoria",IF(AND($B$331&lt;&gt;"",$B$332&lt;&gt;""),"⚠ preencha só uma linha de valor",IF(IF(LEFT($B$330,3)="pct",$B$332="",$B$331=""),"⚠ falta o valor na linha certa","OK")))))</f>
        <v/>
      </c>
      <c r="C875" s="21" t="inlineStr">
        <is>
          <t>alerta</t>
        </is>
      </c>
      <c r="D875" s="22" t="inlineStr">
        <is>
          <t>calculado</t>
        </is>
      </c>
    </row>
    <row r="876">
      <c r="A876" s="19" t="inlineStr">
        <is>
          <t>Custo 2 — conferência</t>
        </is>
      </c>
      <c r="B876" s="24">
        <f>IF(AND($B$338="",$B$339=""),"",IF(OR($B$338="",$B$339="",$B$341=""),"⚠ falta grupo, categoria ou unidade",IF(NOT(OR(AND($B$338="terreno",$B$339="Preço",OR($B$341="rs",$B$341="rs_m2_terreno")),AND($B$338="terreno",$B$339="Registro",OR($B$341="rs",$B$341="rs_m2_priv")),AND($B$338="terreno",$B$339="Outro",OR($B$341="rs",$B$341="pct_vgv")),AND($B$338="obra",$B$339="Construção",OR($B$341="rs",$B$341="rs_m2_priv")),AND($B$338="obra",$B$339="Outorga",OR($B$341="rs",$B$341="pct_vgv")),AND($B$338="obra",$B$339="Decoração",OR($B$341="rs",$B$341="rs_m2_priv")),AND($B$338="obra",$B$339="Gestão da obra",OR($B$341="rs",$B$341="pct_obra")),AND($B$338="obra",$B$339="Contingência",OR($B$341="rs",$B$341="pct_vgv")),AND($B$338="obra",$B$339="Outro",OR($B$341="rs",$B$341="pct_vgv")),AND($B$338="diretos",$B$339="Marketing &amp; Publicidade",OR($B$341="rs",$B$341="pct_vgv",$B$341="pct_recebido")),AND($B$338="diretos",$B$339="Corretagem de vendas",OR($B$341="pct_vgv")),AND($B$338="diretos",$B$339="Projetos",OR($B$341="rs",$B$341="rs_m2_priv",$B$341="pct_constr")),AND($B$338="diretos",$B$339="Licenças e Aprovações",OR($B$341="rs",$B$341="rs_m2_priv")),AND($B$338="diretos",$B$339="Manutenção pós-obra",OR($B$341="rs",$B$341="pct_vgv",$B$341="pct_recebido")),AND($B$338="diretos",$B$339="Outro",OR($B$341="rs",$B$341="pct_vgv",$B$341="pct_recebido")),AND($B$338="indireto",$B$339="Marketing global",OR($B$341="rs",$B$341="pct_vgv",$B$341="pct_recebido")),AND($B$338="indireto",$B$339="Stand de vendas",OR($B$341="rs",$B$341="pct_vgv")),AND($B$338="indireto",$B$339="Gestão",OR($B$341="rs",$B$341="pct_vgv",$B$341="pct_recebido")),AND($B$338="indireto",$B$339="Outro",OR($B$341="rs",$B$341="pct_vgv",$B$341="pct_recebido")),AND($B$338="financeiro",$B$339="Juros de financiamento",OR($B$341="rs",$B$341="pct_vgv")),AND($B$338="financeiro",$B$339="Taxas bancárias",OR($B$341="rs",$B$341="pct_vgv")),AND($B$338="financeiro",$B$339="Estruturação de dívida",OR($B$341="rs",$B$341="pct_vgv")),AND($B$338="financeiro",$B$339="Investidores",OR($B$341="rs",$B$341="pct_vgv")),AND($B$338="financeiro",$B$339="Outro",OR($B$341="rs",$B$341="pct_vgv")))),"⚠ unidade não aceita nesta categoria",IF(AND($B$342&lt;&gt;"",$B$343&lt;&gt;""),"⚠ preencha só uma linha de valor",IF(IF(LEFT($B$341,3)="pct",$B$343="",$B$342=""),"⚠ falta o valor na linha certa","OK")))))</f>
        <v/>
      </c>
      <c r="C876" s="21" t="inlineStr">
        <is>
          <t>alerta</t>
        </is>
      </c>
      <c r="D876" s="22" t="inlineStr">
        <is>
          <t>calculado</t>
        </is>
      </c>
    </row>
    <row r="877">
      <c r="A877" s="19" t="inlineStr">
        <is>
          <t>Custo 3 — conferência</t>
        </is>
      </c>
      <c r="B877" s="24">
        <f>IF(AND($B$349="",$B$350=""),"",IF(OR($B$349="",$B$350="",$B$352=""),"⚠ falta grupo, categoria ou unidade",IF(NOT(OR(AND($B$349="terreno",$B$350="Preço",OR($B$352="rs",$B$352="rs_m2_terreno")),AND($B$349="terreno",$B$350="Registro",OR($B$352="rs",$B$352="rs_m2_priv")),AND($B$349="terreno",$B$350="Outro",OR($B$352="rs",$B$352="pct_vgv")),AND($B$349="obra",$B$350="Construção",OR($B$352="rs",$B$352="rs_m2_priv")),AND($B$349="obra",$B$350="Outorga",OR($B$352="rs",$B$352="pct_vgv")),AND($B$349="obra",$B$350="Decoração",OR($B$352="rs",$B$352="rs_m2_priv")),AND($B$349="obra",$B$350="Gestão da obra",OR($B$352="rs",$B$352="pct_obra")),AND($B$349="obra",$B$350="Contingência",OR($B$352="rs",$B$352="pct_vgv")),AND($B$349="obra",$B$350="Outro",OR($B$352="rs",$B$352="pct_vgv")),AND($B$349="diretos",$B$350="Marketing &amp; Publicidade",OR($B$352="rs",$B$352="pct_vgv",$B$352="pct_recebido")),AND($B$349="diretos",$B$350="Corretagem de vendas",OR($B$352="pct_vgv")),AND($B$349="diretos",$B$350="Projetos",OR($B$352="rs",$B$352="rs_m2_priv",$B$352="pct_constr")),AND($B$349="diretos",$B$350="Licenças e Aprovações",OR($B$352="rs",$B$352="rs_m2_priv")),AND($B$349="diretos",$B$350="Manutenção pós-obra",OR($B$352="rs",$B$352="pct_vgv",$B$352="pct_recebido")),AND($B$349="diretos",$B$350="Outro",OR($B$352="rs",$B$352="pct_vgv",$B$352="pct_recebido")),AND($B$349="indireto",$B$350="Marketing global",OR($B$352="rs",$B$352="pct_vgv",$B$352="pct_recebido")),AND($B$349="indireto",$B$350="Stand de vendas",OR($B$352="rs",$B$352="pct_vgv")),AND($B$349="indireto",$B$350="Gestão",OR($B$352="rs",$B$352="pct_vgv",$B$352="pct_recebido")),AND($B$349="indireto",$B$350="Outro",OR($B$352="rs",$B$352="pct_vgv",$B$352="pct_recebido")),AND($B$349="financeiro",$B$350="Juros de financiamento",OR($B$352="rs",$B$352="pct_vgv")),AND($B$349="financeiro",$B$350="Taxas bancárias",OR($B$352="rs",$B$352="pct_vgv")),AND($B$349="financeiro",$B$350="Estruturação de dívida",OR($B$352="rs",$B$352="pct_vgv")),AND($B$349="financeiro",$B$350="Investidores",OR($B$352="rs",$B$352="pct_vgv")),AND($B$349="financeiro",$B$350="Outro",OR($B$352="rs",$B$352="pct_vgv")))),"⚠ unidade não aceita nesta categoria",IF(AND($B$353&lt;&gt;"",$B$354&lt;&gt;""),"⚠ preencha só uma linha de valor",IF(IF(LEFT($B$352,3)="pct",$B$354="",$B$353=""),"⚠ falta o valor na linha certa","OK")))))</f>
        <v/>
      </c>
      <c r="C877" s="21" t="inlineStr">
        <is>
          <t>alerta</t>
        </is>
      </c>
      <c r="D877" s="22" t="inlineStr">
        <is>
          <t>calculado</t>
        </is>
      </c>
    </row>
    <row r="878">
      <c r="A878" s="19" t="inlineStr">
        <is>
          <t>Custo 4 — conferência</t>
        </is>
      </c>
      <c r="B878" s="24">
        <f>IF(AND($B$360="",$B$361=""),"",IF(OR($B$360="",$B$361="",$B$363=""),"⚠ falta grupo, categoria ou unidade",IF(NOT(OR(AND($B$360="terreno",$B$361="Preço",OR($B$363="rs",$B$363="rs_m2_terreno")),AND($B$360="terreno",$B$361="Registro",OR($B$363="rs",$B$363="rs_m2_priv")),AND($B$360="terreno",$B$361="Outro",OR($B$363="rs",$B$363="pct_vgv")),AND($B$360="obra",$B$361="Construção",OR($B$363="rs",$B$363="rs_m2_priv")),AND($B$360="obra",$B$361="Outorga",OR($B$363="rs",$B$363="pct_vgv")),AND($B$360="obra",$B$361="Decoração",OR($B$363="rs",$B$363="rs_m2_priv")),AND($B$360="obra",$B$361="Gestão da obra",OR($B$363="rs",$B$363="pct_obra")),AND($B$360="obra",$B$361="Contingência",OR($B$363="rs",$B$363="pct_vgv")),AND($B$360="obra",$B$361="Outro",OR($B$363="rs",$B$363="pct_vgv")),AND($B$360="diretos",$B$361="Marketing &amp; Publicidade",OR($B$363="rs",$B$363="pct_vgv",$B$363="pct_recebido")),AND($B$360="diretos",$B$361="Corretagem de vendas",OR($B$363="pct_vgv")),AND($B$360="diretos",$B$361="Projetos",OR($B$363="rs",$B$363="rs_m2_priv",$B$363="pct_constr")),AND($B$360="diretos",$B$361="Licenças e Aprovações",OR($B$363="rs",$B$363="rs_m2_priv")),AND($B$360="diretos",$B$361="Manutenção pós-obra",OR($B$363="rs",$B$363="pct_vgv",$B$363="pct_recebido")),AND($B$360="diretos",$B$361="Outro",OR($B$363="rs",$B$363="pct_vgv",$B$363="pct_recebido")),AND($B$360="indireto",$B$361="Marketing global",OR($B$363="rs",$B$363="pct_vgv",$B$363="pct_recebido")),AND($B$360="indireto",$B$361="Stand de vendas",OR($B$363="rs",$B$363="pct_vgv")),AND($B$360="indireto",$B$361="Gestão",OR($B$363="rs",$B$363="pct_vgv",$B$363="pct_recebido")),AND($B$360="indireto",$B$361="Outro",OR($B$363="rs",$B$363="pct_vgv",$B$363="pct_recebido")),AND($B$360="financeiro",$B$361="Juros de financiamento",OR($B$363="rs",$B$363="pct_vgv")),AND($B$360="financeiro",$B$361="Taxas bancárias",OR($B$363="rs",$B$363="pct_vgv")),AND($B$360="financeiro",$B$361="Estruturação de dívida",OR($B$363="rs",$B$363="pct_vgv")),AND($B$360="financeiro",$B$361="Investidores",OR($B$363="rs",$B$363="pct_vgv")),AND($B$360="financeiro",$B$361="Outro",OR($B$363="rs",$B$363="pct_vgv")))),"⚠ unidade não aceita nesta categoria",IF(AND($B$364&lt;&gt;"",$B$365&lt;&gt;""),"⚠ preencha só uma linha de valor",IF(IF(LEFT($B$363,3)="pct",$B$365="",$B$364=""),"⚠ falta o valor na linha certa","OK")))))</f>
        <v/>
      </c>
      <c r="C878" s="21" t="inlineStr">
        <is>
          <t>alerta</t>
        </is>
      </c>
      <c r="D878" s="22" t="inlineStr">
        <is>
          <t>calculado</t>
        </is>
      </c>
    </row>
    <row r="879">
      <c r="A879" s="19" t="inlineStr">
        <is>
          <t>Custo 5 — conferência</t>
        </is>
      </c>
      <c r="B879" s="24">
        <f>IF(AND($B$371="",$B$372=""),"",IF(OR($B$371="",$B$372="",$B$374=""),"⚠ falta grupo, categoria ou unidade",IF(NOT(OR(AND($B$371="terreno",$B$372="Preço",OR($B$374="rs",$B$374="rs_m2_terreno")),AND($B$371="terreno",$B$372="Registro",OR($B$374="rs",$B$374="rs_m2_priv")),AND($B$371="terreno",$B$372="Outro",OR($B$374="rs",$B$374="pct_vgv")),AND($B$371="obra",$B$372="Construção",OR($B$374="rs",$B$374="rs_m2_priv")),AND($B$371="obra",$B$372="Outorga",OR($B$374="rs",$B$374="pct_vgv")),AND($B$371="obra",$B$372="Decoração",OR($B$374="rs",$B$374="rs_m2_priv")),AND($B$371="obra",$B$372="Gestão da obra",OR($B$374="rs",$B$374="pct_obra")),AND($B$371="obra",$B$372="Contingência",OR($B$374="rs",$B$374="pct_vgv")),AND($B$371="obra",$B$372="Outro",OR($B$374="rs",$B$374="pct_vgv")),AND($B$371="diretos",$B$372="Marketing &amp; Publicidade",OR($B$374="rs",$B$374="pct_vgv",$B$374="pct_recebido")),AND($B$371="diretos",$B$372="Corretagem de vendas",OR($B$374="pct_vgv")),AND($B$371="diretos",$B$372="Projetos",OR($B$374="rs",$B$374="rs_m2_priv",$B$374="pct_constr")),AND($B$371="diretos",$B$372="Licenças e Aprovações",OR($B$374="rs",$B$374="rs_m2_priv")),AND($B$371="diretos",$B$372="Manutenção pós-obra",OR($B$374="rs",$B$374="pct_vgv",$B$374="pct_recebido")),AND($B$371="diretos",$B$372="Outro",OR($B$374="rs",$B$374="pct_vgv",$B$374="pct_recebido")),AND($B$371="indireto",$B$372="Marketing global",OR($B$374="rs",$B$374="pct_vgv",$B$374="pct_recebido")),AND($B$371="indireto",$B$372="Stand de vendas",OR($B$374="rs",$B$374="pct_vgv")),AND($B$371="indireto",$B$372="Gestão",OR($B$374="rs",$B$374="pct_vgv",$B$374="pct_recebido")),AND($B$371="indireto",$B$372="Outro",OR($B$374="rs",$B$374="pct_vgv",$B$374="pct_recebido")),AND($B$371="financeiro",$B$372="Juros de financiamento",OR($B$374="rs",$B$374="pct_vgv")),AND($B$371="financeiro",$B$372="Taxas bancárias",OR($B$374="rs",$B$374="pct_vgv")),AND($B$371="financeiro",$B$372="Estruturação de dívida",OR($B$374="rs",$B$374="pct_vgv")),AND($B$371="financeiro",$B$372="Investidores",OR($B$374="rs",$B$374="pct_vgv")),AND($B$371="financeiro",$B$372="Outro",OR($B$374="rs",$B$374="pct_vgv")))),"⚠ unidade não aceita nesta categoria",IF(AND($B$375&lt;&gt;"",$B$376&lt;&gt;""),"⚠ preencha só uma linha de valor",IF(IF(LEFT($B$374,3)="pct",$B$376="",$B$375=""),"⚠ falta o valor na linha certa","OK")))))</f>
        <v/>
      </c>
      <c r="C879" s="21" t="inlineStr">
        <is>
          <t>alerta</t>
        </is>
      </c>
      <c r="D879" s="22" t="inlineStr">
        <is>
          <t>calculado</t>
        </is>
      </c>
    </row>
    <row r="880">
      <c r="A880" s="19" t="inlineStr">
        <is>
          <t>Custo 6 — conferência</t>
        </is>
      </c>
      <c r="B880" s="24">
        <f>IF(AND($B$382="",$B$383=""),"",IF(OR($B$382="",$B$383="",$B$385=""),"⚠ falta grupo, categoria ou unidade",IF(NOT(OR(AND($B$382="terreno",$B$383="Preço",OR($B$385="rs",$B$385="rs_m2_terreno")),AND($B$382="terreno",$B$383="Registro",OR($B$385="rs",$B$385="rs_m2_priv")),AND($B$382="terreno",$B$383="Outro",OR($B$385="rs",$B$385="pct_vgv")),AND($B$382="obra",$B$383="Construção",OR($B$385="rs",$B$385="rs_m2_priv")),AND($B$382="obra",$B$383="Outorga",OR($B$385="rs",$B$385="pct_vgv")),AND($B$382="obra",$B$383="Decoração",OR($B$385="rs",$B$385="rs_m2_priv")),AND($B$382="obra",$B$383="Gestão da obra",OR($B$385="rs",$B$385="pct_obra")),AND($B$382="obra",$B$383="Contingência",OR($B$385="rs",$B$385="pct_vgv")),AND($B$382="obra",$B$383="Outro",OR($B$385="rs",$B$385="pct_vgv")),AND($B$382="diretos",$B$383="Marketing &amp; Publicidade",OR($B$385="rs",$B$385="pct_vgv",$B$385="pct_recebido")),AND($B$382="diretos",$B$383="Corretagem de vendas",OR($B$385="pct_vgv")),AND($B$382="diretos",$B$383="Projetos",OR($B$385="rs",$B$385="rs_m2_priv",$B$385="pct_constr")),AND($B$382="diretos",$B$383="Licenças e Aprovações",OR($B$385="rs",$B$385="rs_m2_priv")),AND($B$382="diretos",$B$383="Manutenção pós-obra",OR($B$385="rs",$B$385="pct_vgv",$B$385="pct_recebido")),AND($B$382="diretos",$B$383="Outro",OR($B$385="rs",$B$385="pct_vgv",$B$385="pct_recebido")),AND($B$382="indireto",$B$383="Marketing global",OR($B$385="rs",$B$385="pct_vgv",$B$385="pct_recebido")),AND($B$382="indireto",$B$383="Stand de vendas",OR($B$385="rs",$B$385="pct_vgv")),AND($B$382="indireto",$B$383="Gestão",OR($B$385="rs",$B$385="pct_vgv",$B$385="pct_recebido")),AND($B$382="indireto",$B$383="Outro",OR($B$385="rs",$B$385="pct_vgv",$B$385="pct_recebido")),AND($B$382="financeiro",$B$383="Juros de financiamento",OR($B$385="rs",$B$385="pct_vgv")),AND($B$382="financeiro",$B$383="Taxas bancárias",OR($B$385="rs",$B$385="pct_vgv")),AND($B$382="financeiro",$B$383="Estruturação de dívida",OR($B$385="rs",$B$385="pct_vgv")),AND($B$382="financeiro",$B$383="Investidores",OR($B$385="rs",$B$385="pct_vgv")),AND($B$382="financeiro",$B$383="Outro",OR($B$385="rs",$B$385="pct_vgv")))),"⚠ unidade não aceita nesta categoria",IF(AND($B$386&lt;&gt;"",$B$387&lt;&gt;""),"⚠ preencha só uma linha de valor",IF(IF(LEFT($B$385,3)="pct",$B$387="",$B$386=""),"⚠ falta o valor na linha certa","OK")))))</f>
        <v/>
      </c>
      <c r="C880" s="21" t="inlineStr">
        <is>
          <t>alerta</t>
        </is>
      </c>
      <c r="D880" s="22" t="inlineStr">
        <is>
          <t>calculado</t>
        </is>
      </c>
    </row>
    <row r="881">
      <c r="A881" s="19" t="inlineStr">
        <is>
          <t>Custo 7 — conferência</t>
        </is>
      </c>
      <c r="B881" s="24">
        <f>IF(AND($B$393="",$B$394=""),"",IF(OR($B$393="",$B$394="",$B$396=""),"⚠ falta grupo, categoria ou unidade",IF(NOT(OR(AND($B$393="terreno",$B$394="Preço",OR($B$396="rs",$B$396="rs_m2_terreno")),AND($B$393="terreno",$B$394="Registro",OR($B$396="rs",$B$396="rs_m2_priv")),AND($B$393="terreno",$B$394="Outro",OR($B$396="rs",$B$396="pct_vgv")),AND($B$393="obra",$B$394="Construção",OR($B$396="rs",$B$396="rs_m2_priv")),AND($B$393="obra",$B$394="Outorga",OR($B$396="rs",$B$396="pct_vgv")),AND($B$393="obra",$B$394="Decoração",OR($B$396="rs",$B$396="rs_m2_priv")),AND($B$393="obra",$B$394="Gestão da obra",OR($B$396="rs",$B$396="pct_obra")),AND($B$393="obra",$B$394="Contingência",OR($B$396="rs",$B$396="pct_vgv")),AND($B$393="obra",$B$394="Outro",OR($B$396="rs",$B$396="pct_vgv")),AND($B$393="diretos",$B$394="Marketing &amp; Publicidade",OR($B$396="rs",$B$396="pct_vgv",$B$396="pct_recebido")),AND($B$393="diretos",$B$394="Corretagem de vendas",OR($B$396="pct_vgv")),AND($B$393="diretos",$B$394="Projetos",OR($B$396="rs",$B$396="rs_m2_priv",$B$396="pct_constr")),AND($B$393="diretos",$B$394="Licenças e Aprovações",OR($B$396="rs",$B$396="rs_m2_priv")),AND($B$393="diretos",$B$394="Manutenção pós-obra",OR($B$396="rs",$B$396="pct_vgv",$B$396="pct_recebido")),AND($B$393="diretos",$B$394="Outro",OR($B$396="rs",$B$396="pct_vgv",$B$396="pct_recebido")),AND($B$393="indireto",$B$394="Marketing global",OR($B$396="rs",$B$396="pct_vgv",$B$396="pct_recebido")),AND($B$393="indireto",$B$394="Stand de vendas",OR($B$396="rs",$B$396="pct_vgv")),AND($B$393="indireto",$B$394="Gestão",OR($B$396="rs",$B$396="pct_vgv",$B$396="pct_recebido")),AND($B$393="indireto",$B$394="Outro",OR($B$396="rs",$B$396="pct_vgv",$B$396="pct_recebido")),AND($B$393="financeiro",$B$394="Juros de financiamento",OR($B$396="rs",$B$396="pct_vgv")),AND($B$393="financeiro",$B$394="Taxas bancárias",OR($B$396="rs",$B$396="pct_vgv")),AND($B$393="financeiro",$B$394="Estruturação de dívida",OR($B$396="rs",$B$396="pct_vgv")),AND($B$393="financeiro",$B$394="Investidores",OR($B$396="rs",$B$396="pct_vgv")),AND($B$393="financeiro",$B$394="Outro",OR($B$396="rs",$B$396="pct_vgv")))),"⚠ unidade não aceita nesta categoria",IF(AND($B$397&lt;&gt;"",$B$398&lt;&gt;""),"⚠ preencha só uma linha de valor",IF(IF(LEFT($B$396,3)="pct",$B$398="",$B$397=""),"⚠ falta o valor na linha certa","OK")))))</f>
        <v/>
      </c>
      <c r="C881" s="21" t="inlineStr">
        <is>
          <t>alerta</t>
        </is>
      </c>
      <c r="D881" s="22" t="inlineStr">
        <is>
          <t>calculado</t>
        </is>
      </c>
    </row>
    <row r="882">
      <c r="A882" s="19" t="inlineStr">
        <is>
          <t>Custo 8 — conferência</t>
        </is>
      </c>
      <c r="B882" s="24">
        <f>IF(AND($B$404="",$B$405=""),"",IF(OR($B$404="",$B$405="",$B$407=""),"⚠ falta grupo, categoria ou unidade",IF(NOT(OR(AND($B$404="terreno",$B$405="Preço",OR($B$407="rs",$B$407="rs_m2_terreno")),AND($B$404="terreno",$B$405="Registro",OR($B$407="rs",$B$407="rs_m2_priv")),AND($B$404="terreno",$B$405="Outro",OR($B$407="rs",$B$407="pct_vgv")),AND($B$404="obra",$B$405="Construção",OR($B$407="rs",$B$407="rs_m2_priv")),AND($B$404="obra",$B$405="Outorga",OR($B$407="rs",$B$407="pct_vgv")),AND($B$404="obra",$B$405="Decoração",OR($B$407="rs",$B$407="rs_m2_priv")),AND($B$404="obra",$B$405="Gestão da obra",OR($B$407="rs",$B$407="pct_obra")),AND($B$404="obra",$B$405="Contingência",OR($B$407="rs",$B$407="pct_vgv")),AND($B$404="obra",$B$405="Outro",OR($B$407="rs",$B$407="pct_vgv")),AND($B$404="diretos",$B$405="Marketing &amp; Publicidade",OR($B$407="rs",$B$407="pct_vgv",$B$407="pct_recebido")),AND($B$404="diretos",$B$405="Corretagem de vendas",OR($B$407="pct_vgv")),AND($B$404="diretos",$B$405="Projetos",OR($B$407="rs",$B$407="rs_m2_priv",$B$407="pct_constr")),AND($B$404="diretos",$B$405="Licenças e Aprovações",OR($B$407="rs",$B$407="rs_m2_priv")),AND($B$404="diretos",$B$405="Manutenção pós-obra",OR($B$407="rs",$B$407="pct_vgv",$B$407="pct_recebido")),AND($B$404="diretos",$B$405="Outro",OR($B$407="rs",$B$407="pct_vgv",$B$407="pct_recebido")),AND($B$404="indireto",$B$405="Marketing global",OR($B$407="rs",$B$407="pct_vgv",$B$407="pct_recebido")),AND($B$404="indireto",$B$405="Stand de vendas",OR($B$407="rs",$B$407="pct_vgv")),AND($B$404="indireto",$B$405="Gestão",OR($B$407="rs",$B$407="pct_vgv",$B$407="pct_recebido")),AND($B$404="indireto",$B$405="Outro",OR($B$407="rs",$B$407="pct_vgv",$B$407="pct_recebido")),AND($B$404="financeiro",$B$405="Juros de financiamento",OR($B$407="rs",$B$407="pct_vgv")),AND($B$404="financeiro",$B$405="Taxas bancárias",OR($B$407="rs",$B$407="pct_vgv")),AND($B$404="financeiro",$B$405="Estruturação de dívida",OR($B$407="rs",$B$407="pct_vgv")),AND($B$404="financeiro",$B$405="Investidores",OR($B$407="rs",$B$407="pct_vgv")),AND($B$404="financeiro",$B$405="Outro",OR($B$407="rs",$B$407="pct_vgv")))),"⚠ unidade não aceita nesta categoria",IF(AND($B$408&lt;&gt;"",$B$409&lt;&gt;""),"⚠ preencha só uma linha de valor",IF(IF(LEFT($B$407,3)="pct",$B$409="",$B$408=""),"⚠ falta o valor na linha certa","OK")))))</f>
        <v/>
      </c>
      <c r="C882" s="21" t="inlineStr">
        <is>
          <t>alerta</t>
        </is>
      </c>
      <c r="D882" s="22" t="inlineStr">
        <is>
          <t>calculado</t>
        </is>
      </c>
    </row>
    <row r="883">
      <c r="A883" s="19" t="inlineStr">
        <is>
          <t>Custo 9 — conferência</t>
        </is>
      </c>
      <c r="B883" s="24">
        <f>IF(AND($B$415="",$B$416=""),"",IF(OR($B$415="",$B$416="",$B$418=""),"⚠ falta grupo, categoria ou unidade",IF(NOT(OR(AND($B$415="terreno",$B$416="Preço",OR($B$418="rs",$B$418="rs_m2_terreno")),AND($B$415="terreno",$B$416="Registro",OR($B$418="rs",$B$418="rs_m2_priv")),AND($B$415="terreno",$B$416="Outro",OR($B$418="rs",$B$418="pct_vgv")),AND($B$415="obra",$B$416="Construção",OR($B$418="rs",$B$418="rs_m2_priv")),AND($B$415="obra",$B$416="Outorga",OR($B$418="rs",$B$418="pct_vgv")),AND($B$415="obra",$B$416="Decoração",OR($B$418="rs",$B$418="rs_m2_priv")),AND($B$415="obra",$B$416="Gestão da obra",OR($B$418="rs",$B$418="pct_obra")),AND($B$415="obra",$B$416="Contingência",OR($B$418="rs",$B$418="pct_vgv")),AND($B$415="obra",$B$416="Outro",OR($B$418="rs",$B$418="pct_vgv")),AND($B$415="diretos",$B$416="Marketing &amp; Publicidade",OR($B$418="rs",$B$418="pct_vgv",$B$418="pct_recebido")),AND($B$415="diretos",$B$416="Corretagem de vendas",OR($B$418="pct_vgv")),AND($B$415="diretos",$B$416="Projetos",OR($B$418="rs",$B$418="rs_m2_priv",$B$418="pct_constr")),AND($B$415="diretos",$B$416="Licenças e Aprovações",OR($B$418="rs",$B$418="rs_m2_priv")),AND($B$415="diretos",$B$416="Manutenção pós-obra",OR($B$418="rs",$B$418="pct_vgv",$B$418="pct_recebido")),AND($B$415="diretos",$B$416="Outro",OR($B$418="rs",$B$418="pct_vgv",$B$418="pct_recebido")),AND($B$415="indireto",$B$416="Marketing global",OR($B$418="rs",$B$418="pct_vgv",$B$418="pct_recebido")),AND($B$415="indireto",$B$416="Stand de vendas",OR($B$418="rs",$B$418="pct_vgv")),AND($B$415="indireto",$B$416="Gestão",OR($B$418="rs",$B$418="pct_vgv",$B$418="pct_recebido")),AND($B$415="indireto",$B$416="Outro",OR($B$418="rs",$B$418="pct_vgv",$B$418="pct_recebido")),AND($B$415="financeiro",$B$416="Juros de financiamento",OR($B$418="rs",$B$418="pct_vgv")),AND($B$415="financeiro",$B$416="Taxas bancárias",OR($B$418="rs",$B$418="pct_vgv")),AND($B$415="financeiro",$B$416="Estruturação de dívida",OR($B$418="rs",$B$418="pct_vgv")),AND($B$415="financeiro",$B$416="Investidores",OR($B$418="rs",$B$418="pct_vgv")),AND($B$415="financeiro",$B$416="Outro",OR($B$418="rs",$B$418="pct_vgv")))),"⚠ unidade não aceita nesta categoria",IF(AND($B$419&lt;&gt;"",$B$420&lt;&gt;""),"⚠ preencha só uma linha de valor",IF(IF(LEFT($B$418,3)="pct",$B$420="",$B$419=""),"⚠ falta o valor na linha certa","OK")))))</f>
        <v/>
      </c>
      <c r="C883" s="21" t="inlineStr">
        <is>
          <t>alerta</t>
        </is>
      </c>
      <c r="D883" s="22" t="inlineStr">
        <is>
          <t>calculado</t>
        </is>
      </c>
    </row>
    <row r="884">
      <c r="A884" s="19" t="inlineStr">
        <is>
          <t>Custo 10 — conferência</t>
        </is>
      </c>
      <c r="B884" s="24">
        <f>IF(AND($B$426="",$B$427=""),"",IF(OR($B$426="",$B$427="",$B$429=""),"⚠ falta grupo, categoria ou unidade",IF(NOT(OR(AND($B$426="terreno",$B$427="Preço",OR($B$429="rs",$B$429="rs_m2_terreno")),AND($B$426="terreno",$B$427="Registro",OR($B$429="rs",$B$429="rs_m2_priv")),AND($B$426="terreno",$B$427="Outro",OR($B$429="rs",$B$429="pct_vgv")),AND($B$426="obra",$B$427="Construção",OR($B$429="rs",$B$429="rs_m2_priv")),AND($B$426="obra",$B$427="Outorga",OR($B$429="rs",$B$429="pct_vgv")),AND($B$426="obra",$B$427="Decoração",OR($B$429="rs",$B$429="rs_m2_priv")),AND($B$426="obra",$B$427="Gestão da obra",OR($B$429="rs",$B$429="pct_obra")),AND($B$426="obra",$B$427="Contingência",OR($B$429="rs",$B$429="pct_vgv")),AND($B$426="obra",$B$427="Outro",OR($B$429="rs",$B$429="pct_vgv")),AND($B$426="diretos",$B$427="Marketing &amp; Publicidade",OR($B$429="rs",$B$429="pct_vgv",$B$429="pct_recebido")),AND($B$426="diretos",$B$427="Corretagem de vendas",OR($B$429="pct_vgv")),AND($B$426="diretos",$B$427="Projetos",OR($B$429="rs",$B$429="rs_m2_priv",$B$429="pct_constr")),AND($B$426="diretos",$B$427="Licenças e Aprovações",OR($B$429="rs",$B$429="rs_m2_priv")),AND($B$426="diretos",$B$427="Manutenção pós-obra",OR($B$429="rs",$B$429="pct_vgv",$B$429="pct_recebido")),AND($B$426="diretos",$B$427="Outro",OR($B$429="rs",$B$429="pct_vgv",$B$429="pct_recebido")),AND($B$426="indireto",$B$427="Marketing global",OR($B$429="rs",$B$429="pct_vgv",$B$429="pct_recebido")),AND($B$426="indireto",$B$427="Stand de vendas",OR($B$429="rs",$B$429="pct_vgv")),AND($B$426="indireto",$B$427="Gestão",OR($B$429="rs",$B$429="pct_vgv",$B$429="pct_recebido")),AND($B$426="indireto",$B$427="Outro",OR($B$429="rs",$B$429="pct_vgv",$B$429="pct_recebido")),AND($B$426="financeiro",$B$427="Juros de financiamento",OR($B$429="rs",$B$429="pct_vgv")),AND($B$426="financeiro",$B$427="Taxas bancárias",OR($B$429="rs",$B$429="pct_vgv")),AND($B$426="financeiro",$B$427="Estruturação de dívida",OR($B$429="rs",$B$429="pct_vgv")),AND($B$426="financeiro",$B$427="Investidores",OR($B$429="rs",$B$429="pct_vgv")),AND($B$426="financeiro",$B$427="Outro",OR($B$429="rs",$B$429="pct_vgv")))),"⚠ unidade não aceita nesta categoria",IF(AND($B$430&lt;&gt;"",$B$431&lt;&gt;""),"⚠ preencha só uma linha de valor",IF(IF(LEFT($B$429,3)="pct",$B$431="",$B$430=""),"⚠ falta o valor na linha certa","OK")))))</f>
        <v/>
      </c>
      <c r="C884" s="21" t="inlineStr">
        <is>
          <t>alerta</t>
        </is>
      </c>
      <c r="D884" s="22" t="inlineStr">
        <is>
          <t>calculado</t>
        </is>
      </c>
    </row>
    <row r="885">
      <c r="A885" s="19" t="inlineStr">
        <is>
          <t>Custo 11 — conferência</t>
        </is>
      </c>
      <c r="B885" s="24">
        <f>IF(AND($B$437="",$B$438=""),"",IF(OR($B$437="",$B$438="",$B$440=""),"⚠ falta grupo, categoria ou unidade",IF(NOT(OR(AND($B$437="terreno",$B$438="Preço",OR($B$440="rs",$B$440="rs_m2_terreno")),AND($B$437="terreno",$B$438="Registro",OR($B$440="rs",$B$440="rs_m2_priv")),AND($B$437="terreno",$B$438="Outro",OR($B$440="rs",$B$440="pct_vgv")),AND($B$437="obra",$B$438="Construção",OR($B$440="rs",$B$440="rs_m2_priv")),AND($B$437="obra",$B$438="Outorga",OR($B$440="rs",$B$440="pct_vgv")),AND($B$437="obra",$B$438="Decoração",OR($B$440="rs",$B$440="rs_m2_priv")),AND($B$437="obra",$B$438="Gestão da obra",OR($B$440="rs",$B$440="pct_obra")),AND($B$437="obra",$B$438="Contingência",OR($B$440="rs",$B$440="pct_vgv")),AND($B$437="obra",$B$438="Outro",OR($B$440="rs",$B$440="pct_vgv")),AND($B$437="diretos",$B$438="Marketing &amp; Publicidade",OR($B$440="rs",$B$440="pct_vgv",$B$440="pct_recebido")),AND($B$437="diretos",$B$438="Corretagem de vendas",OR($B$440="pct_vgv")),AND($B$437="diretos",$B$438="Projetos",OR($B$440="rs",$B$440="rs_m2_priv",$B$440="pct_constr")),AND($B$437="diretos",$B$438="Licenças e Aprovações",OR($B$440="rs",$B$440="rs_m2_priv")),AND($B$437="diretos",$B$438="Manutenção pós-obra",OR($B$440="rs",$B$440="pct_vgv",$B$440="pct_recebido")),AND($B$437="diretos",$B$438="Outro",OR($B$440="rs",$B$440="pct_vgv",$B$440="pct_recebido")),AND($B$437="indireto",$B$438="Marketing global",OR($B$440="rs",$B$440="pct_vgv",$B$440="pct_recebido")),AND($B$437="indireto",$B$438="Stand de vendas",OR($B$440="rs",$B$440="pct_vgv")),AND($B$437="indireto",$B$438="Gestão",OR($B$440="rs",$B$440="pct_vgv",$B$440="pct_recebido")),AND($B$437="indireto",$B$438="Outro",OR($B$440="rs",$B$440="pct_vgv",$B$440="pct_recebido")),AND($B$437="financeiro",$B$438="Juros de financiamento",OR($B$440="rs",$B$440="pct_vgv")),AND($B$437="financeiro",$B$438="Taxas bancárias",OR($B$440="rs",$B$440="pct_vgv")),AND($B$437="financeiro",$B$438="Estruturação de dívida",OR($B$440="rs",$B$440="pct_vgv")),AND($B$437="financeiro",$B$438="Investidores",OR($B$440="rs",$B$440="pct_vgv")),AND($B$437="financeiro",$B$438="Outro",OR($B$440="rs",$B$440="pct_vgv")))),"⚠ unidade não aceita nesta categoria",IF(AND($B$441&lt;&gt;"",$B$442&lt;&gt;""),"⚠ preencha só uma linha de valor",IF(IF(LEFT($B$440,3)="pct",$B$442="",$B$441=""),"⚠ falta o valor na linha certa","OK")))))</f>
        <v/>
      </c>
      <c r="C885" s="21" t="inlineStr">
        <is>
          <t>alerta</t>
        </is>
      </c>
      <c r="D885" s="22" t="inlineStr">
        <is>
          <t>calculado</t>
        </is>
      </c>
    </row>
    <row r="886">
      <c r="A886" s="19" t="inlineStr">
        <is>
          <t>Custo 12 — conferência</t>
        </is>
      </c>
      <c r="B886" s="24">
        <f>IF(AND($B$448="",$B$449=""),"",IF(OR($B$448="",$B$449="",$B$451=""),"⚠ falta grupo, categoria ou unidade",IF(NOT(OR(AND($B$448="terreno",$B$449="Preço",OR($B$451="rs",$B$451="rs_m2_terreno")),AND($B$448="terreno",$B$449="Registro",OR($B$451="rs",$B$451="rs_m2_priv")),AND($B$448="terreno",$B$449="Outro",OR($B$451="rs",$B$451="pct_vgv")),AND($B$448="obra",$B$449="Construção",OR($B$451="rs",$B$451="rs_m2_priv")),AND($B$448="obra",$B$449="Outorga",OR($B$451="rs",$B$451="pct_vgv")),AND($B$448="obra",$B$449="Decoração",OR($B$451="rs",$B$451="rs_m2_priv")),AND($B$448="obra",$B$449="Gestão da obra",OR($B$451="rs",$B$451="pct_obra")),AND($B$448="obra",$B$449="Contingência",OR($B$451="rs",$B$451="pct_vgv")),AND($B$448="obra",$B$449="Outro",OR($B$451="rs",$B$451="pct_vgv")),AND($B$448="diretos",$B$449="Marketing &amp; Publicidade",OR($B$451="rs",$B$451="pct_vgv",$B$451="pct_recebido")),AND($B$448="diretos",$B$449="Corretagem de vendas",OR($B$451="pct_vgv")),AND($B$448="diretos",$B$449="Projetos",OR($B$451="rs",$B$451="rs_m2_priv",$B$451="pct_constr")),AND($B$448="diretos",$B$449="Licenças e Aprovações",OR($B$451="rs",$B$451="rs_m2_priv")),AND($B$448="diretos",$B$449="Manutenção pós-obra",OR($B$451="rs",$B$451="pct_vgv",$B$451="pct_recebido")),AND($B$448="diretos",$B$449="Outro",OR($B$451="rs",$B$451="pct_vgv",$B$451="pct_recebido")),AND($B$448="indireto",$B$449="Marketing global",OR($B$451="rs",$B$451="pct_vgv",$B$451="pct_recebido")),AND($B$448="indireto",$B$449="Stand de vendas",OR($B$451="rs",$B$451="pct_vgv")),AND($B$448="indireto",$B$449="Gestão",OR($B$451="rs",$B$451="pct_vgv",$B$451="pct_recebido")),AND($B$448="indireto",$B$449="Outro",OR($B$451="rs",$B$451="pct_vgv",$B$451="pct_recebido")),AND($B$448="financeiro",$B$449="Juros de financiamento",OR($B$451="rs",$B$451="pct_vgv")),AND($B$448="financeiro",$B$449="Taxas bancárias",OR($B$451="rs",$B$451="pct_vgv")),AND($B$448="financeiro",$B$449="Estruturação de dívida",OR($B$451="rs",$B$451="pct_vgv")),AND($B$448="financeiro",$B$449="Investidores",OR($B$451="rs",$B$451="pct_vgv")),AND($B$448="financeiro",$B$449="Outro",OR($B$451="rs",$B$451="pct_vgv")))),"⚠ unidade não aceita nesta categoria",IF(AND($B$452&lt;&gt;"",$B$453&lt;&gt;""),"⚠ preencha só uma linha de valor",IF(IF(LEFT($B$451,3)="pct",$B$453="",$B$452=""),"⚠ falta o valor na linha certa","OK")))))</f>
        <v/>
      </c>
      <c r="C886" s="21" t="inlineStr">
        <is>
          <t>alerta</t>
        </is>
      </c>
      <c r="D886" s="22" t="inlineStr">
        <is>
          <t>calculado</t>
        </is>
      </c>
    </row>
    <row r="887">
      <c r="A887" s="19" t="inlineStr">
        <is>
          <t>Custo 13 — conferência</t>
        </is>
      </c>
      <c r="B887" s="24">
        <f>IF(AND($B$459="",$B$460=""),"",IF(OR($B$459="",$B$460="",$B$462=""),"⚠ falta grupo, categoria ou unidade",IF(NOT(OR(AND($B$459="terreno",$B$460="Preço",OR($B$462="rs",$B$462="rs_m2_terreno")),AND($B$459="terreno",$B$460="Registro",OR($B$462="rs",$B$462="rs_m2_priv")),AND($B$459="terreno",$B$460="Outro",OR($B$462="rs",$B$462="pct_vgv")),AND($B$459="obra",$B$460="Construção",OR($B$462="rs",$B$462="rs_m2_priv")),AND($B$459="obra",$B$460="Outorga",OR($B$462="rs",$B$462="pct_vgv")),AND($B$459="obra",$B$460="Decoração",OR($B$462="rs",$B$462="rs_m2_priv")),AND($B$459="obra",$B$460="Gestão da obra",OR($B$462="rs",$B$462="pct_obra")),AND($B$459="obra",$B$460="Contingência",OR($B$462="rs",$B$462="pct_vgv")),AND($B$459="obra",$B$460="Outro",OR($B$462="rs",$B$462="pct_vgv")),AND($B$459="diretos",$B$460="Marketing &amp; Publicidade",OR($B$462="rs",$B$462="pct_vgv",$B$462="pct_recebido")),AND($B$459="diretos",$B$460="Corretagem de vendas",OR($B$462="pct_vgv")),AND($B$459="diretos",$B$460="Projetos",OR($B$462="rs",$B$462="rs_m2_priv",$B$462="pct_constr")),AND($B$459="diretos",$B$460="Licenças e Aprovações",OR($B$462="rs",$B$462="rs_m2_priv")),AND($B$459="diretos",$B$460="Manutenção pós-obra",OR($B$462="rs",$B$462="pct_vgv",$B$462="pct_recebido")),AND($B$459="diretos",$B$460="Outro",OR($B$462="rs",$B$462="pct_vgv",$B$462="pct_recebido")),AND($B$459="indireto",$B$460="Marketing global",OR($B$462="rs",$B$462="pct_vgv",$B$462="pct_recebido")),AND($B$459="indireto",$B$460="Stand de vendas",OR($B$462="rs",$B$462="pct_vgv")),AND($B$459="indireto",$B$460="Gestão",OR($B$462="rs",$B$462="pct_vgv",$B$462="pct_recebido")),AND($B$459="indireto",$B$460="Outro",OR($B$462="rs",$B$462="pct_vgv",$B$462="pct_recebido")),AND($B$459="financeiro",$B$460="Juros de financiamento",OR($B$462="rs",$B$462="pct_vgv")),AND($B$459="financeiro",$B$460="Taxas bancárias",OR($B$462="rs",$B$462="pct_vgv")),AND($B$459="financeiro",$B$460="Estruturação de dívida",OR($B$462="rs",$B$462="pct_vgv")),AND($B$459="financeiro",$B$460="Investidores",OR($B$462="rs",$B$462="pct_vgv")),AND($B$459="financeiro",$B$460="Outro",OR($B$462="rs",$B$462="pct_vgv")))),"⚠ unidade não aceita nesta categoria",IF(AND($B$463&lt;&gt;"",$B$464&lt;&gt;""),"⚠ preencha só uma linha de valor",IF(IF(LEFT($B$462,3)="pct",$B$464="",$B$463=""),"⚠ falta o valor na linha certa","OK")))))</f>
        <v/>
      </c>
      <c r="C887" s="21" t="inlineStr">
        <is>
          <t>alerta</t>
        </is>
      </c>
      <c r="D887" s="22" t="inlineStr">
        <is>
          <t>calculado</t>
        </is>
      </c>
    </row>
    <row r="888">
      <c r="A888" s="19" t="inlineStr">
        <is>
          <t>Custo 14 — conferência</t>
        </is>
      </c>
      <c r="B888" s="24">
        <f>IF(AND($B$470="",$B$471=""),"",IF(OR($B$470="",$B$471="",$B$473=""),"⚠ falta grupo, categoria ou unidade",IF(NOT(OR(AND($B$470="terreno",$B$471="Preço",OR($B$473="rs",$B$473="rs_m2_terreno")),AND($B$470="terreno",$B$471="Registro",OR($B$473="rs",$B$473="rs_m2_priv")),AND($B$470="terreno",$B$471="Outro",OR($B$473="rs",$B$473="pct_vgv")),AND($B$470="obra",$B$471="Construção",OR($B$473="rs",$B$473="rs_m2_priv")),AND($B$470="obra",$B$471="Outorga",OR($B$473="rs",$B$473="pct_vgv")),AND($B$470="obra",$B$471="Decoração",OR($B$473="rs",$B$473="rs_m2_priv")),AND($B$470="obra",$B$471="Gestão da obra",OR($B$473="rs",$B$473="pct_obra")),AND($B$470="obra",$B$471="Contingência",OR($B$473="rs",$B$473="pct_vgv")),AND($B$470="obra",$B$471="Outro",OR($B$473="rs",$B$473="pct_vgv")),AND($B$470="diretos",$B$471="Marketing &amp; Publicidade",OR($B$473="rs",$B$473="pct_vgv",$B$473="pct_recebido")),AND($B$470="diretos",$B$471="Corretagem de vendas",OR($B$473="pct_vgv")),AND($B$470="diretos",$B$471="Projetos",OR($B$473="rs",$B$473="rs_m2_priv",$B$473="pct_constr")),AND($B$470="diretos",$B$471="Licenças e Aprovações",OR($B$473="rs",$B$473="rs_m2_priv")),AND($B$470="diretos",$B$471="Manutenção pós-obra",OR($B$473="rs",$B$473="pct_vgv",$B$473="pct_recebido")),AND($B$470="diretos",$B$471="Outro",OR($B$473="rs",$B$473="pct_vgv",$B$473="pct_recebido")),AND($B$470="indireto",$B$471="Marketing global",OR($B$473="rs",$B$473="pct_vgv",$B$473="pct_recebido")),AND($B$470="indireto",$B$471="Stand de vendas",OR($B$473="rs",$B$473="pct_vgv")),AND($B$470="indireto",$B$471="Gestão",OR($B$473="rs",$B$473="pct_vgv",$B$473="pct_recebido")),AND($B$470="indireto",$B$471="Outro",OR($B$473="rs",$B$473="pct_vgv",$B$473="pct_recebido")),AND($B$470="financeiro",$B$471="Juros de financiamento",OR($B$473="rs",$B$473="pct_vgv")),AND($B$470="financeiro",$B$471="Taxas bancárias",OR($B$473="rs",$B$473="pct_vgv")),AND($B$470="financeiro",$B$471="Estruturação de dívida",OR($B$473="rs",$B$473="pct_vgv")),AND($B$470="financeiro",$B$471="Investidores",OR($B$473="rs",$B$473="pct_vgv")),AND($B$470="financeiro",$B$471="Outro",OR($B$473="rs",$B$473="pct_vgv")))),"⚠ unidade não aceita nesta categoria",IF(AND($B$474&lt;&gt;"",$B$475&lt;&gt;""),"⚠ preencha só uma linha de valor",IF(IF(LEFT($B$473,3)="pct",$B$475="",$B$474=""),"⚠ falta o valor na linha certa","OK")))))</f>
        <v/>
      </c>
      <c r="C888" s="21" t="inlineStr">
        <is>
          <t>alerta</t>
        </is>
      </c>
      <c r="D888" s="22" t="inlineStr">
        <is>
          <t>calculado</t>
        </is>
      </c>
    </row>
    <row r="889">
      <c r="A889" s="19" t="inlineStr">
        <is>
          <t>Custo 15 — conferência</t>
        </is>
      </c>
      <c r="B889" s="24">
        <f>IF(AND($B$481="",$B$482=""),"",IF(OR($B$481="",$B$482="",$B$484=""),"⚠ falta grupo, categoria ou unidade",IF(NOT(OR(AND($B$481="terreno",$B$482="Preço",OR($B$484="rs",$B$484="rs_m2_terreno")),AND($B$481="terreno",$B$482="Registro",OR($B$484="rs",$B$484="rs_m2_priv")),AND($B$481="terreno",$B$482="Outro",OR($B$484="rs",$B$484="pct_vgv")),AND($B$481="obra",$B$482="Construção",OR($B$484="rs",$B$484="rs_m2_priv")),AND($B$481="obra",$B$482="Outorga",OR($B$484="rs",$B$484="pct_vgv")),AND($B$481="obra",$B$482="Decoração",OR($B$484="rs",$B$484="rs_m2_priv")),AND($B$481="obra",$B$482="Gestão da obra",OR($B$484="rs",$B$484="pct_obra")),AND($B$481="obra",$B$482="Contingência",OR($B$484="rs",$B$484="pct_vgv")),AND($B$481="obra",$B$482="Outro",OR($B$484="rs",$B$484="pct_vgv")),AND($B$481="diretos",$B$482="Marketing &amp; Publicidade",OR($B$484="rs",$B$484="pct_vgv",$B$484="pct_recebido")),AND($B$481="diretos",$B$482="Corretagem de vendas",OR($B$484="pct_vgv")),AND($B$481="diretos",$B$482="Projetos",OR($B$484="rs",$B$484="rs_m2_priv",$B$484="pct_constr")),AND($B$481="diretos",$B$482="Licenças e Aprovações",OR($B$484="rs",$B$484="rs_m2_priv")),AND($B$481="diretos",$B$482="Manutenção pós-obra",OR($B$484="rs",$B$484="pct_vgv",$B$484="pct_recebido")),AND($B$481="diretos",$B$482="Outro",OR($B$484="rs",$B$484="pct_vgv",$B$484="pct_recebido")),AND($B$481="indireto",$B$482="Marketing global",OR($B$484="rs",$B$484="pct_vgv",$B$484="pct_recebido")),AND($B$481="indireto",$B$482="Stand de vendas",OR($B$484="rs",$B$484="pct_vgv")),AND($B$481="indireto",$B$482="Gestão",OR($B$484="rs",$B$484="pct_vgv",$B$484="pct_recebido")),AND($B$481="indireto",$B$482="Outro",OR($B$484="rs",$B$484="pct_vgv",$B$484="pct_recebido")),AND($B$481="financeiro",$B$482="Juros de financiamento",OR($B$484="rs",$B$484="pct_vgv")),AND($B$481="financeiro",$B$482="Taxas bancárias",OR($B$484="rs",$B$484="pct_vgv")),AND($B$481="financeiro",$B$482="Estruturação de dívida",OR($B$484="rs",$B$484="pct_vgv")),AND($B$481="financeiro",$B$482="Investidores",OR($B$484="rs",$B$484="pct_vgv")),AND($B$481="financeiro",$B$482="Outro",OR($B$484="rs",$B$484="pct_vgv")))),"⚠ unidade não aceita nesta categoria",IF(AND($B$485&lt;&gt;"",$B$486&lt;&gt;""),"⚠ preencha só uma linha de valor",IF(IF(LEFT($B$484,3)="pct",$B$486="",$B$485=""),"⚠ falta o valor na linha certa","OK")))))</f>
        <v/>
      </c>
      <c r="C889" s="21" t="inlineStr">
        <is>
          <t>alerta</t>
        </is>
      </c>
      <c r="D889" s="22" t="inlineStr">
        <is>
          <t>calculado</t>
        </is>
      </c>
    </row>
    <row r="890">
      <c r="A890" s="19" t="inlineStr">
        <is>
          <t>Custo 16 — conferência</t>
        </is>
      </c>
      <c r="B890" s="24">
        <f>IF(AND($B$492="",$B$493=""),"",IF(OR($B$492="",$B$493="",$B$495=""),"⚠ falta grupo, categoria ou unidade",IF(NOT(OR(AND($B$492="terreno",$B$493="Preço",OR($B$495="rs",$B$495="rs_m2_terreno")),AND($B$492="terreno",$B$493="Registro",OR($B$495="rs",$B$495="rs_m2_priv")),AND($B$492="terreno",$B$493="Outro",OR($B$495="rs",$B$495="pct_vgv")),AND($B$492="obra",$B$493="Construção",OR($B$495="rs",$B$495="rs_m2_priv")),AND($B$492="obra",$B$493="Outorga",OR($B$495="rs",$B$495="pct_vgv")),AND($B$492="obra",$B$493="Decoração",OR($B$495="rs",$B$495="rs_m2_priv")),AND($B$492="obra",$B$493="Gestão da obra",OR($B$495="rs",$B$495="pct_obra")),AND($B$492="obra",$B$493="Contingência",OR($B$495="rs",$B$495="pct_vgv")),AND($B$492="obra",$B$493="Outro",OR($B$495="rs",$B$495="pct_vgv")),AND($B$492="diretos",$B$493="Marketing &amp; Publicidade",OR($B$495="rs",$B$495="pct_vgv",$B$495="pct_recebido")),AND($B$492="diretos",$B$493="Corretagem de vendas",OR($B$495="pct_vgv")),AND($B$492="diretos",$B$493="Projetos",OR($B$495="rs",$B$495="rs_m2_priv",$B$495="pct_constr")),AND($B$492="diretos",$B$493="Licenças e Aprovações",OR($B$495="rs",$B$495="rs_m2_priv")),AND($B$492="diretos",$B$493="Manutenção pós-obra",OR($B$495="rs",$B$495="pct_vgv",$B$495="pct_recebido")),AND($B$492="diretos",$B$493="Outro",OR($B$495="rs",$B$495="pct_vgv",$B$495="pct_recebido")),AND($B$492="indireto",$B$493="Marketing global",OR($B$495="rs",$B$495="pct_vgv",$B$495="pct_recebido")),AND($B$492="indireto",$B$493="Stand de vendas",OR($B$495="rs",$B$495="pct_vgv")),AND($B$492="indireto",$B$493="Gestão",OR($B$495="rs",$B$495="pct_vgv",$B$495="pct_recebido")),AND($B$492="indireto",$B$493="Outro",OR($B$495="rs",$B$495="pct_vgv",$B$495="pct_recebido")),AND($B$492="financeiro",$B$493="Juros de financiamento",OR($B$495="rs",$B$495="pct_vgv")),AND($B$492="financeiro",$B$493="Taxas bancárias",OR($B$495="rs",$B$495="pct_vgv")),AND($B$492="financeiro",$B$493="Estruturação de dívida",OR($B$495="rs",$B$495="pct_vgv")),AND($B$492="financeiro",$B$493="Investidores",OR($B$495="rs",$B$495="pct_vgv")),AND($B$492="financeiro",$B$493="Outro",OR($B$495="rs",$B$495="pct_vgv")))),"⚠ unidade não aceita nesta categoria",IF(AND($B$496&lt;&gt;"",$B$497&lt;&gt;""),"⚠ preencha só uma linha de valor",IF(IF(LEFT($B$495,3)="pct",$B$497="",$B$496=""),"⚠ falta o valor na linha certa","OK")))))</f>
        <v/>
      </c>
      <c r="C890" s="21" t="inlineStr">
        <is>
          <t>alerta</t>
        </is>
      </c>
      <c r="D890" s="22" t="inlineStr">
        <is>
          <t>calculado</t>
        </is>
      </c>
    </row>
    <row r="891">
      <c r="A891" s="19" t="inlineStr">
        <is>
          <t>Custo 17 — conferência</t>
        </is>
      </c>
      <c r="B891" s="24">
        <f>IF(AND($B$503="",$B$504=""),"",IF(OR($B$503="",$B$504="",$B$506=""),"⚠ falta grupo, categoria ou unidade",IF(NOT(OR(AND($B$503="terreno",$B$504="Preço",OR($B$506="rs",$B$506="rs_m2_terreno")),AND($B$503="terreno",$B$504="Registro",OR($B$506="rs",$B$506="rs_m2_priv")),AND($B$503="terreno",$B$504="Outro",OR($B$506="rs",$B$506="pct_vgv")),AND($B$503="obra",$B$504="Construção",OR($B$506="rs",$B$506="rs_m2_priv")),AND($B$503="obra",$B$504="Outorga",OR($B$506="rs",$B$506="pct_vgv")),AND($B$503="obra",$B$504="Decoração",OR($B$506="rs",$B$506="rs_m2_priv")),AND($B$503="obra",$B$504="Gestão da obra",OR($B$506="rs",$B$506="pct_obra")),AND($B$503="obra",$B$504="Contingência",OR($B$506="rs",$B$506="pct_vgv")),AND($B$503="obra",$B$504="Outro",OR($B$506="rs",$B$506="pct_vgv")),AND($B$503="diretos",$B$504="Marketing &amp; Publicidade",OR($B$506="rs",$B$506="pct_vgv",$B$506="pct_recebido")),AND($B$503="diretos",$B$504="Corretagem de vendas",OR($B$506="pct_vgv")),AND($B$503="diretos",$B$504="Projetos",OR($B$506="rs",$B$506="rs_m2_priv",$B$506="pct_constr")),AND($B$503="diretos",$B$504="Licenças e Aprovações",OR($B$506="rs",$B$506="rs_m2_priv")),AND($B$503="diretos",$B$504="Manutenção pós-obra",OR($B$506="rs",$B$506="pct_vgv",$B$506="pct_recebido")),AND($B$503="diretos",$B$504="Outro",OR($B$506="rs",$B$506="pct_vgv",$B$506="pct_recebido")),AND($B$503="indireto",$B$504="Marketing global",OR($B$506="rs",$B$506="pct_vgv",$B$506="pct_recebido")),AND($B$503="indireto",$B$504="Stand de vendas",OR($B$506="rs",$B$506="pct_vgv")),AND($B$503="indireto",$B$504="Gestão",OR($B$506="rs",$B$506="pct_vgv",$B$506="pct_recebido")),AND($B$503="indireto",$B$504="Outro",OR($B$506="rs",$B$506="pct_vgv",$B$506="pct_recebido")),AND($B$503="financeiro",$B$504="Juros de financiamento",OR($B$506="rs",$B$506="pct_vgv")),AND($B$503="financeiro",$B$504="Taxas bancárias",OR($B$506="rs",$B$506="pct_vgv")),AND($B$503="financeiro",$B$504="Estruturação de dívida",OR($B$506="rs",$B$506="pct_vgv")),AND($B$503="financeiro",$B$504="Investidores",OR($B$506="rs",$B$506="pct_vgv")),AND($B$503="financeiro",$B$504="Outro",OR($B$506="rs",$B$506="pct_vgv")))),"⚠ unidade não aceita nesta categoria",IF(AND($B$507&lt;&gt;"",$B$508&lt;&gt;""),"⚠ preencha só uma linha de valor",IF(IF(LEFT($B$506,3)="pct",$B$508="",$B$507=""),"⚠ falta o valor na linha certa","OK")))))</f>
        <v/>
      </c>
      <c r="C891" s="21" t="inlineStr">
        <is>
          <t>alerta</t>
        </is>
      </c>
      <c r="D891" s="22" t="inlineStr">
        <is>
          <t>calculado</t>
        </is>
      </c>
    </row>
    <row r="892">
      <c r="A892" s="19" t="inlineStr">
        <is>
          <t>Custo 18 — conferência</t>
        </is>
      </c>
      <c r="B892" s="24">
        <f>IF(AND($B$514="",$B$515=""),"",IF(OR($B$514="",$B$515="",$B$517=""),"⚠ falta grupo, categoria ou unidade",IF(NOT(OR(AND($B$514="terreno",$B$515="Preço",OR($B$517="rs",$B$517="rs_m2_terreno")),AND($B$514="terreno",$B$515="Registro",OR($B$517="rs",$B$517="rs_m2_priv")),AND($B$514="terreno",$B$515="Outro",OR($B$517="rs",$B$517="pct_vgv")),AND($B$514="obra",$B$515="Construção",OR($B$517="rs",$B$517="rs_m2_priv")),AND($B$514="obra",$B$515="Outorga",OR($B$517="rs",$B$517="pct_vgv")),AND($B$514="obra",$B$515="Decoração",OR($B$517="rs",$B$517="rs_m2_priv")),AND($B$514="obra",$B$515="Gestão da obra",OR($B$517="rs",$B$517="pct_obra")),AND($B$514="obra",$B$515="Contingência",OR($B$517="rs",$B$517="pct_vgv")),AND($B$514="obra",$B$515="Outro",OR($B$517="rs",$B$517="pct_vgv")),AND($B$514="diretos",$B$515="Marketing &amp; Publicidade",OR($B$517="rs",$B$517="pct_vgv",$B$517="pct_recebido")),AND($B$514="diretos",$B$515="Corretagem de vendas",OR($B$517="pct_vgv")),AND($B$514="diretos",$B$515="Projetos",OR($B$517="rs",$B$517="rs_m2_priv",$B$517="pct_constr")),AND($B$514="diretos",$B$515="Licenças e Aprovações",OR($B$517="rs",$B$517="rs_m2_priv")),AND($B$514="diretos",$B$515="Manutenção pós-obra",OR($B$517="rs",$B$517="pct_vgv",$B$517="pct_recebido")),AND($B$514="diretos",$B$515="Outro",OR($B$517="rs",$B$517="pct_vgv",$B$517="pct_recebido")),AND($B$514="indireto",$B$515="Marketing global",OR($B$517="rs",$B$517="pct_vgv",$B$517="pct_recebido")),AND($B$514="indireto",$B$515="Stand de vendas",OR($B$517="rs",$B$517="pct_vgv")),AND($B$514="indireto",$B$515="Gestão",OR($B$517="rs",$B$517="pct_vgv",$B$517="pct_recebido")),AND($B$514="indireto",$B$515="Outro",OR($B$517="rs",$B$517="pct_vgv",$B$517="pct_recebido")),AND($B$514="financeiro",$B$515="Juros de financiamento",OR($B$517="rs",$B$517="pct_vgv")),AND($B$514="financeiro",$B$515="Taxas bancárias",OR($B$517="rs",$B$517="pct_vgv")),AND($B$514="financeiro",$B$515="Estruturação de dívida",OR($B$517="rs",$B$517="pct_vgv")),AND($B$514="financeiro",$B$515="Investidores",OR($B$517="rs",$B$517="pct_vgv")),AND($B$514="financeiro",$B$515="Outro",OR($B$517="rs",$B$517="pct_vgv")))),"⚠ unidade não aceita nesta categoria",IF(AND($B$518&lt;&gt;"",$B$519&lt;&gt;""),"⚠ preencha só uma linha de valor",IF(IF(LEFT($B$517,3)="pct",$B$519="",$B$518=""),"⚠ falta o valor na linha certa","OK")))))</f>
        <v/>
      </c>
      <c r="C892" s="21" t="inlineStr">
        <is>
          <t>alerta</t>
        </is>
      </c>
      <c r="D892" s="22" t="inlineStr">
        <is>
          <t>calculado</t>
        </is>
      </c>
    </row>
    <row r="893">
      <c r="A893" s="19" t="inlineStr">
        <is>
          <t>Custo 19 — conferência</t>
        </is>
      </c>
      <c r="B893" s="24">
        <f>IF(AND($B$525="",$B$526=""),"",IF(OR($B$525="",$B$526="",$B$528=""),"⚠ falta grupo, categoria ou unidade",IF(NOT(OR(AND($B$525="terreno",$B$526="Preço",OR($B$528="rs",$B$528="rs_m2_terreno")),AND($B$525="terreno",$B$526="Registro",OR($B$528="rs",$B$528="rs_m2_priv")),AND($B$525="terreno",$B$526="Outro",OR($B$528="rs",$B$528="pct_vgv")),AND($B$525="obra",$B$526="Construção",OR($B$528="rs",$B$528="rs_m2_priv")),AND($B$525="obra",$B$526="Outorga",OR($B$528="rs",$B$528="pct_vgv")),AND($B$525="obra",$B$526="Decoração",OR($B$528="rs",$B$528="rs_m2_priv")),AND($B$525="obra",$B$526="Gestão da obra",OR($B$528="rs",$B$528="pct_obra")),AND($B$525="obra",$B$526="Contingência",OR($B$528="rs",$B$528="pct_vgv")),AND($B$525="obra",$B$526="Outro",OR($B$528="rs",$B$528="pct_vgv")),AND($B$525="diretos",$B$526="Marketing &amp; Publicidade",OR($B$528="rs",$B$528="pct_vgv",$B$528="pct_recebido")),AND($B$525="diretos",$B$526="Corretagem de vendas",OR($B$528="pct_vgv")),AND($B$525="diretos",$B$526="Projetos",OR($B$528="rs",$B$528="rs_m2_priv",$B$528="pct_constr")),AND($B$525="diretos",$B$526="Licenças e Aprovações",OR($B$528="rs",$B$528="rs_m2_priv")),AND($B$525="diretos",$B$526="Manutenção pós-obra",OR($B$528="rs",$B$528="pct_vgv",$B$528="pct_recebido")),AND($B$525="diretos",$B$526="Outro",OR($B$528="rs",$B$528="pct_vgv",$B$528="pct_recebido")),AND($B$525="indireto",$B$526="Marketing global",OR($B$528="rs",$B$528="pct_vgv",$B$528="pct_recebido")),AND($B$525="indireto",$B$526="Stand de vendas",OR($B$528="rs",$B$528="pct_vgv")),AND($B$525="indireto",$B$526="Gestão",OR($B$528="rs",$B$528="pct_vgv",$B$528="pct_recebido")),AND($B$525="indireto",$B$526="Outro",OR($B$528="rs",$B$528="pct_vgv",$B$528="pct_recebido")),AND($B$525="financeiro",$B$526="Juros de financiamento",OR($B$528="rs",$B$528="pct_vgv")),AND($B$525="financeiro",$B$526="Taxas bancárias",OR($B$528="rs",$B$528="pct_vgv")),AND($B$525="financeiro",$B$526="Estruturação de dívida",OR($B$528="rs",$B$528="pct_vgv")),AND($B$525="financeiro",$B$526="Investidores",OR($B$528="rs",$B$528="pct_vgv")),AND($B$525="financeiro",$B$526="Outro",OR($B$528="rs",$B$528="pct_vgv")))),"⚠ unidade não aceita nesta categoria",IF(AND($B$529&lt;&gt;"",$B$530&lt;&gt;""),"⚠ preencha só uma linha de valor",IF(IF(LEFT($B$528,3)="pct",$B$530="",$B$529=""),"⚠ falta o valor na linha certa","OK")))))</f>
        <v/>
      </c>
      <c r="C893" s="21" t="inlineStr">
        <is>
          <t>alerta</t>
        </is>
      </c>
      <c r="D893" s="22" t="inlineStr">
        <is>
          <t>calculado</t>
        </is>
      </c>
    </row>
    <row r="894">
      <c r="A894" s="19" t="inlineStr">
        <is>
          <t>Custo 20 — conferência</t>
        </is>
      </c>
      <c r="B894" s="24">
        <f>IF(AND($B$536="",$B$537=""),"",IF(OR($B$536="",$B$537="",$B$539=""),"⚠ falta grupo, categoria ou unidade",IF(NOT(OR(AND($B$536="terreno",$B$537="Preço",OR($B$539="rs",$B$539="rs_m2_terreno")),AND($B$536="terreno",$B$537="Registro",OR($B$539="rs",$B$539="rs_m2_priv")),AND($B$536="terreno",$B$537="Outro",OR($B$539="rs",$B$539="pct_vgv")),AND($B$536="obra",$B$537="Construção",OR($B$539="rs",$B$539="rs_m2_priv")),AND($B$536="obra",$B$537="Outorga",OR($B$539="rs",$B$539="pct_vgv")),AND($B$536="obra",$B$537="Decoração",OR($B$539="rs",$B$539="rs_m2_priv")),AND($B$536="obra",$B$537="Gestão da obra",OR($B$539="rs",$B$539="pct_obra")),AND($B$536="obra",$B$537="Contingência",OR($B$539="rs",$B$539="pct_vgv")),AND($B$536="obra",$B$537="Outro",OR($B$539="rs",$B$539="pct_vgv")),AND($B$536="diretos",$B$537="Marketing &amp; Publicidade",OR($B$539="rs",$B$539="pct_vgv",$B$539="pct_recebido")),AND($B$536="diretos",$B$537="Corretagem de vendas",OR($B$539="pct_vgv")),AND($B$536="diretos",$B$537="Projetos",OR($B$539="rs",$B$539="rs_m2_priv",$B$539="pct_constr")),AND($B$536="diretos",$B$537="Licenças e Aprovações",OR($B$539="rs",$B$539="rs_m2_priv")),AND($B$536="diretos",$B$537="Manutenção pós-obra",OR($B$539="rs",$B$539="pct_vgv",$B$539="pct_recebido")),AND($B$536="diretos",$B$537="Outro",OR($B$539="rs",$B$539="pct_vgv",$B$539="pct_recebido")),AND($B$536="indireto",$B$537="Marketing global",OR($B$539="rs",$B$539="pct_vgv",$B$539="pct_recebido")),AND($B$536="indireto",$B$537="Stand de vendas",OR($B$539="rs",$B$539="pct_vgv")),AND($B$536="indireto",$B$537="Gestão",OR($B$539="rs",$B$539="pct_vgv",$B$539="pct_recebido")),AND($B$536="indireto",$B$537="Outro",OR($B$539="rs",$B$539="pct_vgv",$B$539="pct_recebido")),AND($B$536="financeiro",$B$537="Juros de financiamento",OR($B$539="rs",$B$539="pct_vgv")),AND($B$536="financeiro",$B$537="Taxas bancárias",OR($B$539="rs",$B$539="pct_vgv")),AND($B$536="financeiro",$B$537="Estruturação de dívida",OR($B$539="rs",$B$539="pct_vgv")),AND($B$536="financeiro",$B$537="Investidores",OR($B$539="rs",$B$539="pct_vgv")),AND($B$536="financeiro",$B$537="Outro",OR($B$539="rs",$B$539="pct_vgv")))),"⚠ unidade não aceita nesta categoria",IF(AND($B$540&lt;&gt;"",$B$541&lt;&gt;""),"⚠ preencha só uma linha de valor",IF(IF(LEFT($B$539,3)="pct",$B$541="",$B$540=""),"⚠ falta o valor na linha certa","OK")))))</f>
        <v/>
      </c>
      <c r="C894" s="21" t="inlineStr">
        <is>
          <t>alerta</t>
        </is>
      </c>
      <c r="D894" s="22" t="inlineStr">
        <is>
          <t>calculado</t>
        </is>
      </c>
    </row>
    <row r="895">
      <c r="A895" s="19" t="inlineStr">
        <is>
          <t>Custo 21 — conferência</t>
        </is>
      </c>
      <c r="B895" s="24">
        <f>IF(AND($B$547="",$B$548=""),"",IF(OR($B$547="",$B$548="",$B$550=""),"⚠ falta grupo, categoria ou unidade",IF(NOT(OR(AND($B$547="terreno",$B$548="Preço",OR($B$550="rs",$B$550="rs_m2_terreno")),AND($B$547="terreno",$B$548="Registro",OR($B$550="rs",$B$550="rs_m2_priv")),AND($B$547="terreno",$B$548="Outro",OR($B$550="rs",$B$550="pct_vgv")),AND($B$547="obra",$B$548="Construção",OR($B$550="rs",$B$550="rs_m2_priv")),AND($B$547="obra",$B$548="Outorga",OR($B$550="rs",$B$550="pct_vgv")),AND($B$547="obra",$B$548="Decoração",OR($B$550="rs",$B$550="rs_m2_priv")),AND($B$547="obra",$B$548="Gestão da obra",OR($B$550="rs",$B$550="pct_obra")),AND($B$547="obra",$B$548="Contingência",OR($B$550="rs",$B$550="pct_vgv")),AND($B$547="obra",$B$548="Outro",OR($B$550="rs",$B$550="pct_vgv")),AND($B$547="diretos",$B$548="Marketing &amp; Publicidade",OR($B$550="rs",$B$550="pct_vgv",$B$550="pct_recebido")),AND($B$547="diretos",$B$548="Corretagem de vendas",OR($B$550="pct_vgv")),AND($B$547="diretos",$B$548="Projetos",OR($B$550="rs",$B$550="rs_m2_priv",$B$550="pct_constr")),AND($B$547="diretos",$B$548="Licenças e Aprovações",OR($B$550="rs",$B$550="rs_m2_priv")),AND($B$547="diretos",$B$548="Manutenção pós-obra",OR($B$550="rs",$B$550="pct_vgv",$B$550="pct_recebido")),AND($B$547="diretos",$B$548="Outro",OR($B$550="rs",$B$550="pct_vgv",$B$550="pct_recebido")),AND($B$547="indireto",$B$548="Marketing global",OR($B$550="rs",$B$550="pct_vgv",$B$550="pct_recebido")),AND($B$547="indireto",$B$548="Stand de vendas",OR($B$550="rs",$B$550="pct_vgv")),AND($B$547="indireto",$B$548="Gestão",OR($B$550="rs",$B$550="pct_vgv",$B$550="pct_recebido")),AND($B$547="indireto",$B$548="Outro",OR($B$550="rs",$B$550="pct_vgv",$B$550="pct_recebido")),AND($B$547="financeiro",$B$548="Juros de financiamento",OR($B$550="rs",$B$550="pct_vgv")),AND($B$547="financeiro",$B$548="Taxas bancárias",OR($B$550="rs",$B$550="pct_vgv")),AND($B$547="financeiro",$B$548="Estruturação de dívida",OR($B$550="rs",$B$550="pct_vgv")),AND($B$547="financeiro",$B$548="Investidores",OR($B$550="rs",$B$550="pct_vgv")),AND($B$547="financeiro",$B$548="Outro",OR($B$550="rs",$B$550="pct_vgv")))),"⚠ unidade não aceita nesta categoria",IF(AND($B$551&lt;&gt;"",$B$552&lt;&gt;""),"⚠ preencha só uma linha de valor",IF(IF(LEFT($B$550,3)="pct",$B$552="",$B$551=""),"⚠ falta o valor na linha certa","OK")))))</f>
        <v/>
      </c>
      <c r="C895" s="21" t="inlineStr">
        <is>
          <t>alerta</t>
        </is>
      </c>
      <c r="D895" s="22" t="inlineStr">
        <is>
          <t>calculado</t>
        </is>
      </c>
    </row>
    <row r="896">
      <c r="A896" s="19" t="inlineStr">
        <is>
          <t>Custo 22 — conferência</t>
        </is>
      </c>
      <c r="B896" s="24">
        <f>IF(AND($B$558="",$B$559=""),"",IF(OR($B$558="",$B$559="",$B$561=""),"⚠ falta grupo, categoria ou unidade",IF(NOT(OR(AND($B$558="terreno",$B$559="Preço",OR($B$561="rs",$B$561="rs_m2_terreno")),AND($B$558="terreno",$B$559="Registro",OR($B$561="rs",$B$561="rs_m2_priv")),AND($B$558="terreno",$B$559="Outro",OR($B$561="rs",$B$561="pct_vgv")),AND($B$558="obra",$B$559="Construção",OR($B$561="rs",$B$561="rs_m2_priv")),AND($B$558="obra",$B$559="Outorga",OR($B$561="rs",$B$561="pct_vgv")),AND($B$558="obra",$B$559="Decoração",OR($B$561="rs",$B$561="rs_m2_priv")),AND($B$558="obra",$B$559="Gestão da obra",OR($B$561="rs",$B$561="pct_obra")),AND($B$558="obra",$B$559="Contingência",OR($B$561="rs",$B$561="pct_vgv")),AND($B$558="obra",$B$559="Outro",OR($B$561="rs",$B$561="pct_vgv")),AND($B$558="diretos",$B$559="Marketing &amp; Publicidade",OR($B$561="rs",$B$561="pct_vgv",$B$561="pct_recebido")),AND($B$558="diretos",$B$559="Corretagem de vendas",OR($B$561="pct_vgv")),AND($B$558="diretos",$B$559="Projetos",OR($B$561="rs",$B$561="rs_m2_priv",$B$561="pct_constr")),AND($B$558="diretos",$B$559="Licenças e Aprovações",OR($B$561="rs",$B$561="rs_m2_priv")),AND($B$558="diretos",$B$559="Manutenção pós-obra",OR($B$561="rs",$B$561="pct_vgv",$B$561="pct_recebido")),AND($B$558="diretos",$B$559="Outro",OR($B$561="rs",$B$561="pct_vgv",$B$561="pct_recebido")),AND($B$558="indireto",$B$559="Marketing global",OR($B$561="rs",$B$561="pct_vgv",$B$561="pct_recebido")),AND($B$558="indireto",$B$559="Stand de vendas",OR($B$561="rs",$B$561="pct_vgv")),AND($B$558="indireto",$B$559="Gestão",OR($B$561="rs",$B$561="pct_vgv",$B$561="pct_recebido")),AND($B$558="indireto",$B$559="Outro",OR($B$561="rs",$B$561="pct_vgv",$B$561="pct_recebido")),AND($B$558="financeiro",$B$559="Juros de financiamento",OR($B$561="rs",$B$561="pct_vgv")),AND($B$558="financeiro",$B$559="Taxas bancárias",OR($B$561="rs",$B$561="pct_vgv")),AND($B$558="financeiro",$B$559="Estruturação de dívida",OR($B$561="rs",$B$561="pct_vgv")),AND($B$558="financeiro",$B$559="Investidores",OR($B$561="rs",$B$561="pct_vgv")),AND($B$558="financeiro",$B$559="Outro",OR($B$561="rs",$B$561="pct_vgv")))),"⚠ unidade não aceita nesta categoria",IF(AND($B$562&lt;&gt;"",$B$563&lt;&gt;""),"⚠ preencha só uma linha de valor",IF(IF(LEFT($B$561,3)="pct",$B$563="",$B$562=""),"⚠ falta o valor na linha certa","OK")))))</f>
        <v/>
      </c>
      <c r="C896" s="21" t="inlineStr">
        <is>
          <t>alerta</t>
        </is>
      </c>
      <c r="D896" s="22" t="inlineStr">
        <is>
          <t>calculado</t>
        </is>
      </c>
    </row>
    <row r="897">
      <c r="A897" s="19" t="inlineStr">
        <is>
          <t>Custo 23 — conferência</t>
        </is>
      </c>
      <c r="B897" s="24">
        <f>IF(AND($B$569="",$B$570=""),"",IF(OR($B$569="",$B$570="",$B$572=""),"⚠ falta grupo, categoria ou unidade",IF(NOT(OR(AND($B$569="terreno",$B$570="Preço",OR($B$572="rs",$B$572="rs_m2_terreno")),AND($B$569="terreno",$B$570="Registro",OR($B$572="rs",$B$572="rs_m2_priv")),AND($B$569="terreno",$B$570="Outro",OR($B$572="rs",$B$572="pct_vgv")),AND($B$569="obra",$B$570="Construção",OR($B$572="rs",$B$572="rs_m2_priv")),AND($B$569="obra",$B$570="Outorga",OR($B$572="rs",$B$572="pct_vgv")),AND($B$569="obra",$B$570="Decoração",OR($B$572="rs",$B$572="rs_m2_priv")),AND($B$569="obra",$B$570="Gestão da obra",OR($B$572="rs",$B$572="pct_obra")),AND($B$569="obra",$B$570="Contingência",OR($B$572="rs",$B$572="pct_vgv")),AND($B$569="obra",$B$570="Outro",OR($B$572="rs",$B$572="pct_vgv")),AND($B$569="diretos",$B$570="Marketing &amp; Publicidade",OR($B$572="rs",$B$572="pct_vgv",$B$572="pct_recebido")),AND($B$569="diretos",$B$570="Corretagem de vendas",OR($B$572="pct_vgv")),AND($B$569="diretos",$B$570="Projetos",OR($B$572="rs",$B$572="rs_m2_priv",$B$572="pct_constr")),AND($B$569="diretos",$B$570="Licenças e Aprovações",OR($B$572="rs",$B$572="rs_m2_priv")),AND($B$569="diretos",$B$570="Manutenção pós-obra",OR($B$572="rs",$B$572="pct_vgv",$B$572="pct_recebido")),AND($B$569="diretos",$B$570="Outro",OR($B$572="rs",$B$572="pct_vgv",$B$572="pct_recebido")),AND($B$569="indireto",$B$570="Marketing global",OR($B$572="rs",$B$572="pct_vgv",$B$572="pct_recebido")),AND($B$569="indireto",$B$570="Stand de vendas",OR($B$572="rs",$B$572="pct_vgv")),AND($B$569="indireto",$B$570="Gestão",OR($B$572="rs",$B$572="pct_vgv",$B$572="pct_recebido")),AND($B$569="indireto",$B$570="Outro",OR($B$572="rs",$B$572="pct_vgv",$B$572="pct_recebido")),AND($B$569="financeiro",$B$570="Juros de financiamento",OR($B$572="rs",$B$572="pct_vgv")),AND($B$569="financeiro",$B$570="Taxas bancárias",OR($B$572="rs",$B$572="pct_vgv")),AND($B$569="financeiro",$B$570="Estruturação de dívida",OR($B$572="rs",$B$572="pct_vgv")),AND($B$569="financeiro",$B$570="Investidores",OR($B$572="rs",$B$572="pct_vgv")),AND($B$569="financeiro",$B$570="Outro",OR($B$572="rs",$B$572="pct_vgv")))),"⚠ unidade não aceita nesta categoria",IF(AND($B$573&lt;&gt;"",$B$574&lt;&gt;""),"⚠ preencha só uma linha de valor",IF(IF(LEFT($B$572,3)="pct",$B$574="",$B$573=""),"⚠ falta o valor na linha certa","OK")))))</f>
        <v/>
      </c>
      <c r="C897" s="21" t="inlineStr">
        <is>
          <t>alerta</t>
        </is>
      </c>
      <c r="D897" s="22" t="inlineStr">
        <is>
          <t>calculado</t>
        </is>
      </c>
    </row>
    <row r="898">
      <c r="A898" s="19" t="inlineStr">
        <is>
          <t>Custo 24 — conferência</t>
        </is>
      </c>
      <c r="B898" s="24">
        <f>IF(AND($B$580="",$B$581=""),"",IF(OR($B$580="",$B$581="",$B$583=""),"⚠ falta grupo, categoria ou unidade",IF(NOT(OR(AND($B$580="terreno",$B$581="Preço",OR($B$583="rs",$B$583="rs_m2_terreno")),AND($B$580="terreno",$B$581="Registro",OR($B$583="rs",$B$583="rs_m2_priv")),AND($B$580="terreno",$B$581="Outro",OR($B$583="rs",$B$583="pct_vgv")),AND($B$580="obra",$B$581="Construção",OR($B$583="rs",$B$583="rs_m2_priv")),AND($B$580="obra",$B$581="Outorga",OR($B$583="rs",$B$583="pct_vgv")),AND($B$580="obra",$B$581="Decoração",OR($B$583="rs",$B$583="rs_m2_priv")),AND($B$580="obra",$B$581="Gestão da obra",OR($B$583="rs",$B$583="pct_obra")),AND($B$580="obra",$B$581="Contingência",OR($B$583="rs",$B$583="pct_vgv")),AND($B$580="obra",$B$581="Outro",OR($B$583="rs",$B$583="pct_vgv")),AND($B$580="diretos",$B$581="Marketing &amp; Publicidade",OR($B$583="rs",$B$583="pct_vgv",$B$583="pct_recebido")),AND($B$580="diretos",$B$581="Corretagem de vendas",OR($B$583="pct_vgv")),AND($B$580="diretos",$B$581="Projetos",OR($B$583="rs",$B$583="rs_m2_priv",$B$583="pct_constr")),AND($B$580="diretos",$B$581="Licenças e Aprovações",OR($B$583="rs",$B$583="rs_m2_priv")),AND($B$580="diretos",$B$581="Manutenção pós-obra",OR($B$583="rs",$B$583="pct_vgv",$B$583="pct_recebido")),AND($B$580="diretos",$B$581="Outro",OR($B$583="rs",$B$583="pct_vgv",$B$583="pct_recebido")),AND($B$580="indireto",$B$581="Marketing global",OR($B$583="rs",$B$583="pct_vgv",$B$583="pct_recebido")),AND($B$580="indireto",$B$581="Stand de vendas",OR($B$583="rs",$B$583="pct_vgv")),AND($B$580="indireto",$B$581="Gestão",OR($B$583="rs",$B$583="pct_vgv",$B$583="pct_recebido")),AND($B$580="indireto",$B$581="Outro",OR($B$583="rs",$B$583="pct_vgv",$B$583="pct_recebido")),AND($B$580="financeiro",$B$581="Juros de financiamento",OR($B$583="rs",$B$583="pct_vgv")),AND($B$580="financeiro",$B$581="Taxas bancárias",OR($B$583="rs",$B$583="pct_vgv")),AND($B$580="financeiro",$B$581="Estruturação de dívida",OR($B$583="rs",$B$583="pct_vgv")),AND($B$580="financeiro",$B$581="Investidores",OR($B$583="rs",$B$583="pct_vgv")),AND($B$580="financeiro",$B$581="Outro",OR($B$583="rs",$B$583="pct_vgv")))),"⚠ unidade não aceita nesta categoria",IF(AND($B$584&lt;&gt;"",$B$585&lt;&gt;""),"⚠ preencha só uma linha de valor",IF(IF(LEFT($B$583,3)="pct",$B$585="",$B$584=""),"⚠ falta o valor na linha certa","OK")))))</f>
        <v/>
      </c>
      <c r="C898" s="21" t="inlineStr">
        <is>
          <t>alerta</t>
        </is>
      </c>
      <c r="D898" s="22" t="inlineStr">
        <is>
          <t>calculado</t>
        </is>
      </c>
    </row>
    <row r="899">
      <c r="A899" s="19" t="inlineStr">
        <is>
          <t>Custo 25 — conferência</t>
        </is>
      </c>
      <c r="B899" s="24">
        <f>IF(AND($B$591="",$B$592=""),"",IF(OR($B$591="",$B$592="",$B$594=""),"⚠ falta grupo, categoria ou unidade",IF(NOT(OR(AND($B$591="terreno",$B$592="Preço",OR($B$594="rs",$B$594="rs_m2_terreno")),AND($B$591="terreno",$B$592="Registro",OR($B$594="rs",$B$594="rs_m2_priv")),AND($B$591="terreno",$B$592="Outro",OR($B$594="rs",$B$594="pct_vgv")),AND($B$591="obra",$B$592="Construção",OR($B$594="rs",$B$594="rs_m2_priv")),AND($B$591="obra",$B$592="Outorga",OR($B$594="rs",$B$594="pct_vgv")),AND($B$591="obra",$B$592="Decoração",OR($B$594="rs",$B$594="rs_m2_priv")),AND($B$591="obra",$B$592="Gestão da obra",OR($B$594="rs",$B$594="pct_obra")),AND($B$591="obra",$B$592="Contingência",OR($B$594="rs",$B$594="pct_vgv")),AND($B$591="obra",$B$592="Outro",OR($B$594="rs",$B$594="pct_vgv")),AND($B$591="diretos",$B$592="Marketing &amp; Publicidade",OR($B$594="rs",$B$594="pct_vgv",$B$594="pct_recebido")),AND($B$591="diretos",$B$592="Corretagem de vendas",OR($B$594="pct_vgv")),AND($B$591="diretos",$B$592="Projetos",OR($B$594="rs",$B$594="rs_m2_priv",$B$594="pct_constr")),AND($B$591="diretos",$B$592="Licenças e Aprovações",OR($B$594="rs",$B$594="rs_m2_priv")),AND($B$591="diretos",$B$592="Manutenção pós-obra",OR($B$594="rs",$B$594="pct_vgv",$B$594="pct_recebido")),AND($B$591="diretos",$B$592="Outro",OR($B$594="rs",$B$594="pct_vgv",$B$594="pct_recebido")),AND($B$591="indireto",$B$592="Marketing global",OR($B$594="rs",$B$594="pct_vgv",$B$594="pct_recebido")),AND($B$591="indireto",$B$592="Stand de vendas",OR($B$594="rs",$B$594="pct_vgv")),AND($B$591="indireto",$B$592="Gestão",OR($B$594="rs",$B$594="pct_vgv",$B$594="pct_recebido")),AND($B$591="indireto",$B$592="Outro",OR($B$594="rs",$B$594="pct_vgv",$B$594="pct_recebido")),AND($B$591="financeiro",$B$592="Juros de financiamento",OR($B$594="rs",$B$594="pct_vgv")),AND($B$591="financeiro",$B$592="Taxas bancárias",OR($B$594="rs",$B$594="pct_vgv")),AND($B$591="financeiro",$B$592="Estruturação de dívida",OR($B$594="rs",$B$594="pct_vgv")),AND($B$591="financeiro",$B$592="Investidores",OR($B$594="rs",$B$594="pct_vgv")),AND($B$591="financeiro",$B$592="Outro",OR($B$594="rs",$B$594="pct_vgv")))),"⚠ unidade não aceita nesta categoria",IF(AND($B$595&lt;&gt;"",$B$596&lt;&gt;""),"⚠ preencha só uma linha de valor",IF(IF(LEFT($B$594,3)="pct",$B$596="",$B$595=""),"⚠ falta o valor na linha certa","OK")))))</f>
        <v/>
      </c>
      <c r="C899" s="21" t="inlineStr">
        <is>
          <t>alerta</t>
        </is>
      </c>
      <c r="D899" s="22" t="inlineStr">
        <is>
          <t>calculado</t>
        </is>
      </c>
    </row>
    <row r="900">
      <c r="A900" s="19" t="inlineStr">
        <is>
          <t>Custo 26 — conferência</t>
        </is>
      </c>
      <c r="B900" s="24">
        <f>IF(AND($B$602="",$B$603=""),"",IF(OR($B$602="",$B$603="",$B$605=""),"⚠ falta grupo, categoria ou unidade",IF(NOT(OR(AND($B$602="terreno",$B$603="Preço",OR($B$605="rs",$B$605="rs_m2_terreno")),AND($B$602="terreno",$B$603="Registro",OR($B$605="rs",$B$605="rs_m2_priv")),AND($B$602="terreno",$B$603="Outro",OR($B$605="rs",$B$605="pct_vgv")),AND($B$602="obra",$B$603="Construção",OR($B$605="rs",$B$605="rs_m2_priv")),AND($B$602="obra",$B$603="Outorga",OR($B$605="rs",$B$605="pct_vgv")),AND($B$602="obra",$B$603="Decoração",OR($B$605="rs",$B$605="rs_m2_priv")),AND($B$602="obra",$B$603="Gestão da obra",OR($B$605="rs",$B$605="pct_obra")),AND($B$602="obra",$B$603="Contingência",OR($B$605="rs",$B$605="pct_vgv")),AND($B$602="obra",$B$603="Outro",OR($B$605="rs",$B$605="pct_vgv")),AND($B$602="diretos",$B$603="Marketing &amp; Publicidade",OR($B$605="rs",$B$605="pct_vgv",$B$605="pct_recebido")),AND($B$602="diretos",$B$603="Corretagem de vendas",OR($B$605="pct_vgv")),AND($B$602="diretos",$B$603="Projetos",OR($B$605="rs",$B$605="rs_m2_priv",$B$605="pct_constr")),AND($B$602="diretos",$B$603="Licenças e Aprovações",OR($B$605="rs",$B$605="rs_m2_priv")),AND($B$602="diretos",$B$603="Manutenção pós-obra",OR($B$605="rs",$B$605="pct_vgv",$B$605="pct_recebido")),AND($B$602="diretos",$B$603="Outro",OR($B$605="rs",$B$605="pct_vgv",$B$605="pct_recebido")),AND($B$602="indireto",$B$603="Marketing global",OR($B$605="rs",$B$605="pct_vgv",$B$605="pct_recebido")),AND($B$602="indireto",$B$603="Stand de vendas",OR($B$605="rs",$B$605="pct_vgv")),AND($B$602="indireto",$B$603="Gestão",OR($B$605="rs",$B$605="pct_vgv",$B$605="pct_recebido")),AND($B$602="indireto",$B$603="Outro",OR($B$605="rs",$B$605="pct_vgv",$B$605="pct_recebido")),AND($B$602="financeiro",$B$603="Juros de financiamento",OR($B$605="rs",$B$605="pct_vgv")),AND($B$602="financeiro",$B$603="Taxas bancárias",OR($B$605="rs",$B$605="pct_vgv")),AND($B$602="financeiro",$B$603="Estruturação de dívida",OR($B$605="rs",$B$605="pct_vgv")),AND($B$602="financeiro",$B$603="Investidores",OR($B$605="rs",$B$605="pct_vgv")),AND($B$602="financeiro",$B$603="Outro",OR($B$605="rs",$B$605="pct_vgv")))),"⚠ unidade não aceita nesta categoria",IF(AND($B$606&lt;&gt;"",$B$607&lt;&gt;""),"⚠ preencha só uma linha de valor",IF(IF(LEFT($B$605,3)="pct",$B$607="",$B$606=""),"⚠ falta o valor na linha certa","OK")))))</f>
        <v/>
      </c>
      <c r="C900" s="21" t="inlineStr">
        <is>
          <t>alerta</t>
        </is>
      </c>
      <c r="D900" s="22" t="inlineStr">
        <is>
          <t>calculado</t>
        </is>
      </c>
    </row>
    <row r="901">
      <c r="A901" s="19" t="inlineStr">
        <is>
          <t>Custo 27 — conferência</t>
        </is>
      </c>
      <c r="B901" s="24">
        <f>IF(AND($B$613="",$B$614=""),"",IF(OR($B$613="",$B$614="",$B$616=""),"⚠ falta grupo, categoria ou unidade",IF(NOT(OR(AND($B$613="terreno",$B$614="Preço",OR($B$616="rs",$B$616="rs_m2_terreno")),AND($B$613="terreno",$B$614="Registro",OR($B$616="rs",$B$616="rs_m2_priv")),AND($B$613="terreno",$B$614="Outro",OR($B$616="rs",$B$616="pct_vgv")),AND($B$613="obra",$B$614="Construção",OR($B$616="rs",$B$616="rs_m2_priv")),AND($B$613="obra",$B$614="Outorga",OR($B$616="rs",$B$616="pct_vgv")),AND($B$613="obra",$B$614="Decoração",OR($B$616="rs",$B$616="rs_m2_priv")),AND($B$613="obra",$B$614="Gestão da obra",OR($B$616="rs",$B$616="pct_obra")),AND($B$613="obra",$B$614="Contingência",OR($B$616="rs",$B$616="pct_vgv")),AND($B$613="obra",$B$614="Outro",OR($B$616="rs",$B$616="pct_vgv")),AND($B$613="diretos",$B$614="Marketing &amp; Publicidade",OR($B$616="rs",$B$616="pct_vgv",$B$616="pct_recebido")),AND($B$613="diretos",$B$614="Corretagem de vendas",OR($B$616="pct_vgv")),AND($B$613="diretos",$B$614="Projetos",OR($B$616="rs",$B$616="rs_m2_priv",$B$616="pct_constr")),AND($B$613="diretos",$B$614="Licenças e Aprovações",OR($B$616="rs",$B$616="rs_m2_priv")),AND($B$613="diretos",$B$614="Manutenção pós-obra",OR($B$616="rs",$B$616="pct_vgv",$B$616="pct_recebido")),AND($B$613="diretos",$B$614="Outro",OR($B$616="rs",$B$616="pct_vgv",$B$616="pct_recebido")),AND($B$613="indireto",$B$614="Marketing global",OR($B$616="rs",$B$616="pct_vgv",$B$616="pct_recebido")),AND($B$613="indireto",$B$614="Stand de vendas",OR($B$616="rs",$B$616="pct_vgv")),AND($B$613="indireto",$B$614="Gestão",OR($B$616="rs",$B$616="pct_vgv",$B$616="pct_recebido")),AND($B$613="indireto",$B$614="Outro",OR($B$616="rs",$B$616="pct_vgv",$B$616="pct_recebido")),AND($B$613="financeiro",$B$614="Juros de financiamento",OR($B$616="rs",$B$616="pct_vgv")),AND($B$613="financeiro",$B$614="Taxas bancárias",OR($B$616="rs",$B$616="pct_vgv")),AND($B$613="financeiro",$B$614="Estruturação de dívida",OR($B$616="rs",$B$616="pct_vgv")),AND($B$613="financeiro",$B$614="Investidores",OR($B$616="rs",$B$616="pct_vgv")),AND($B$613="financeiro",$B$614="Outro",OR($B$616="rs",$B$616="pct_vgv")))),"⚠ unidade não aceita nesta categoria",IF(AND($B$617&lt;&gt;"",$B$618&lt;&gt;""),"⚠ preencha só uma linha de valor",IF(IF(LEFT($B$616,3)="pct",$B$618="",$B$617=""),"⚠ falta o valor na linha certa","OK")))))</f>
        <v/>
      </c>
      <c r="C901" s="21" t="inlineStr">
        <is>
          <t>alerta</t>
        </is>
      </c>
      <c r="D901" s="22" t="inlineStr">
        <is>
          <t>calculado</t>
        </is>
      </c>
    </row>
    <row r="902">
      <c r="A902" s="19" t="inlineStr">
        <is>
          <t>Custo 28 — conferência</t>
        </is>
      </c>
      <c r="B902" s="24">
        <f>IF(AND($B$624="",$B$625=""),"",IF(OR($B$624="",$B$625="",$B$627=""),"⚠ falta grupo, categoria ou unidade",IF(NOT(OR(AND($B$624="terreno",$B$625="Preço",OR($B$627="rs",$B$627="rs_m2_terreno")),AND($B$624="terreno",$B$625="Registro",OR($B$627="rs",$B$627="rs_m2_priv")),AND($B$624="terreno",$B$625="Outro",OR($B$627="rs",$B$627="pct_vgv")),AND($B$624="obra",$B$625="Construção",OR($B$627="rs",$B$627="rs_m2_priv")),AND($B$624="obra",$B$625="Outorga",OR($B$627="rs",$B$627="pct_vgv")),AND($B$624="obra",$B$625="Decoração",OR($B$627="rs",$B$627="rs_m2_priv")),AND($B$624="obra",$B$625="Gestão da obra",OR($B$627="rs",$B$627="pct_obra")),AND($B$624="obra",$B$625="Contingência",OR($B$627="rs",$B$627="pct_vgv")),AND($B$624="obra",$B$625="Outro",OR($B$627="rs",$B$627="pct_vgv")),AND($B$624="diretos",$B$625="Marketing &amp; Publicidade",OR($B$627="rs",$B$627="pct_vgv",$B$627="pct_recebido")),AND($B$624="diretos",$B$625="Corretagem de vendas",OR($B$627="pct_vgv")),AND($B$624="diretos",$B$625="Projetos",OR($B$627="rs",$B$627="rs_m2_priv",$B$627="pct_constr")),AND($B$624="diretos",$B$625="Licenças e Aprovações",OR($B$627="rs",$B$627="rs_m2_priv")),AND($B$624="diretos",$B$625="Manutenção pós-obra",OR($B$627="rs",$B$627="pct_vgv",$B$627="pct_recebido")),AND($B$624="diretos",$B$625="Outro",OR($B$627="rs",$B$627="pct_vgv",$B$627="pct_recebido")),AND($B$624="indireto",$B$625="Marketing global",OR($B$627="rs",$B$627="pct_vgv",$B$627="pct_recebido")),AND($B$624="indireto",$B$625="Stand de vendas",OR($B$627="rs",$B$627="pct_vgv")),AND($B$624="indireto",$B$625="Gestão",OR($B$627="rs",$B$627="pct_vgv",$B$627="pct_recebido")),AND($B$624="indireto",$B$625="Outro",OR($B$627="rs",$B$627="pct_vgv",$B$627="pct_recebido")),AND($B$624="financeiro",$B$625="Juros de financiamento",OR($B$627="rs",$B$627="pct_vgv")),AND($B$624="financeiro",$B$625="Taxas bancárias",OR($B$627="rs",$B$627="pct_vgv")),AND($B$624="financeiro",$B$625="Estruturação de dívida",OR($B$627="rs",$B$627="pct_vgv")),AND($B$624="financeiro",$B$625="Investidores",OR($B$627="rs",$B$627="pct_vgv")),AND($B$624="financeiro",$B$625="Outro",OR($B$627="rs",$B$627="pct_vgv")))),"⚠ unidade não aceita nesta categoria",IF(AND($B$628&lt;&gt;"",$B$629&lt;&gt;""),"⚠ preencha só uma linha de valor",IF(IF(LEFT($B$627,3)="pct",$B$629="",$B$628=""),"⚠ falta o valor na linha certa","OK")))))</f>
        <v/>
      </c>
      <c r="C902" s="21" t="inlineStr">
        <is>
          <t>alerta</t>
        </is>
      </c>
      <c r="D902" s="22" t="inlineStr">
        <is>
          <t>calculado</t>
        </is>
      </c>
    </row>
    <row r="903">
      <c r="A903" s="19" t="inlineStr">
        <is>
          <t>Cada 1% do VGV de tabela equivale a (para converter Projetos, que não aceita % do VGV)</t>
        </is>
      </c>
      <c r="B903" s="25">
        <f>$B$788*0.01</f>
        <v/>
      </c>
      <c r="C903" s="21" t="inlineStr">
        <is>
          <t>R$</t>
        </is>
      </c>
      <c r="D903" s="22" t="inlineStr">
        <is>
          <t>calculado</t>
        </is>
      </c>
    </row>
    <row r="904">
      <c r="A904" s="19" t="inlineStr">
        <is>
          <t>Σ custos conversíveis — terreno</t>
        </is>
      </c>
      <c r="B904"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904" s="21" t="inlineStr">
        <is>
          <t>R$</t>
        </is>
      </c>
      <c r="D904" s="22" t="inlineStr">
        <is>
          <t>calculado</t>
        </is>
      </c>
    </row>
    <row r="905">
      <c r="A905" s="19" t="inlineStr">
        <is>
          <t>Σ custos conversíveis — obra</t>
        </is>
      </c>
      <c r="B905"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905" s="21" t="inlineStr">
        <is>
          <t>R$</t>
        </is>
      </c>
      <c r="D905" s="22" t="inlineStr">
        <is>
          <t>calculado</t>
        </is>
      </c>
    </row>
    <row r="906">
      <c r="A906" s="19" t="inlineStr">
        <is>
          <t>Σ custos conversíveis — diretos</t>
        </is>
      </c>
      <c r="B906"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906" s="21" t="inlineStr">
        <is>
          <t>R$</t>
        </is>
      </c>
      <c r="D906" s="22" t="inlineStr">
        <is>
          <t>calculado</t>
        </is>
      </c>
    </row>
    <row r="907">
      <c r="A907" s="19" t="inlineStr">
        <is>
          <t>Σ custos conversíveis — indireto</t>
        </is>
      </c>
      <c r="B907"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907" s="21" t="inlineStr">
        <is>
          <t>R$</t>
        </is>
      </c>
      <c r="D907" s="22" t="inlineStr">
        <is>
          <t>calculado</t>
        </is>
      </c>
    </row>
    <row r="908">
      <c r="A908" s="19" t="inlineStr">
        <is>
          <t>Σ custos conversíveis — financeiro</t>
        </is>
      </c>
      <c r="B908"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908" s="21" t="inlineStr">
        <is>
          <t>R$</t>
        </is>
      </c>
      <c r="D908" s="22" t="inlineStr">
        <is>
          <t>calculado</t>
        </is>
      </c>
    </row>
    <row r="909">
      <c r="A909" s="19" t="inlineStr">
        <is>
          <t>Permuta física 1 — VGV entregue (unidades × área × preço sugerido)</t>
        </is>
      </c>
      <c r="B909" s="25">
        <f>IF($B$635="",0,N($B$636)*(($B$59=$B$635)*(N($B$61)+N($B$62))*N($B$66)+($B$68=$B$635)*(N($B$70)+N($B$71))*N($B$75)+($B$77=$B$635)*(N($B$79)+N($B$80))*N($B$84)+($B$86=$B$635)*(N($B$88)+N($B$89))*N($B$93)+($B$95=$B$635)*(N($B$97)+N($B$98))*N($B$102)+($B$104=$B$635)*(N($B$106)+N($B$107))*N($B$111)+($B$113=$B$635)*(N($B$115)+N($B$116))*N($B$120)+($B$122=$B$635)*(N($B$124)+N($B$125))*N($B$129)+($B$131=$B$635)*(N($B$133)+N($B$134))*N($B$138)+($B$140=$B$635)*(N($B$142)+N($B$143))*N($B$147)))</f>
        <v/>
      </c>
      <c r="C909" s="21" t="inlineStr">
        <is>
          <t>R$</t>
        </is>
      </c>
      <c r="D909" s="22" t="inlineStr">
        <is>
          <t>calculado</t>
        </is>
      </c>
    </row>
    <row r="910">
      <c r="A910" s="19" t="inlineStr">
        <is>
          <t>Permuta financeira 1 — equivalente em R$</t>
        </is>
      </c>
      <c r="B910" s="25">
        <f>IF($B$640="pct_vgv",N($B$642)*$B$788,IF($B$640="rs",N($B$641),0))</f>
        <v/>
      </c>
      <c r="C910" s="21" t="inlineStr">
        <is>
          <t>R$</t>
        </is>
      </c>
      <c r="D910" s="22" t="inlineStr">
        <is>
          <t>calculado</t>
        </is>
      </c>
    </row>
    <row r="911">
      <c r="A911" s="19" t="inlineStr">
        <is>
          <t>Permuta física 2 — VGV entregue (unidades × área × preço sugerido)</t>
        </is>
      </c>
      <c r="B911" s="25">
        <f>IF($B$637="",0,N($B$638)*(($B$59=$B$637)*(N($B$61)+N($B$62))*N($B$66)+($B$68=$B$637)*(N($B$70)+N($B$71))*N($B$75)+($B$77=$B$637)*(N($B$79)+N($B$80))*N($B$84)+($B$86=$B$637)*(N($B$88)+N($B$89))*N($B$93)+($B$95=$B$637)*(N($B$97)+N($B$98))*N($B$102)+($B$104=$B$637)*(N($B$106)+N($B$107))*N($B$111)+($B$113=$B$637)*(N($B$115)+N($B$116))*N($B$120)+($B$122=$B$637)*(N($B$124)+N($B$125))*N($B$129)+($B$131=$B$637)*(N($B$133)+N($B$134))*N($B$138)+($B$140=$B$637)*(N($B$142)+N($B$143))*N($B$147)))</f>
        <v/>
      </c>
      <c r="C911" s="21" t="inlineStr">
        <is>
          <t>R$</t>
        </is>
      </c>
      <c r="D911" s="22" t="inlineStr">
        <is>
          <t>calculado</t>
        </is>
      </c>
    </row>
    <row r="912">
      <c r="A912" s="19" t="inlineStr">
        <is>
          <t>Permuta financeira 2 — equivalente em R$</t>
        </is>
      </c>
      <c r="B912" s="25">
        <f>IF($B$645="pct_vgv",N($B$647)*$B$788,IF($B$645="rs",N($B$646),0))</f>
        <v/>
      </c>
      <c r="C912" s="21" t="inlineStr">
        <is>
          <t>R$</t>
        </is>
      </c>
      <c r="D912" s="22" t="inlineStr">
        <is>
          <t>calculado</t>
        </is>
      </c>
    </row>
    <row r="913">
      <c r="A913" s="19" t="inlineStr">
        <is>
          <t>Σ valor das dívidas</t>
        </is>
      </c>
      <c r="B913" s="25">
        <f>N($B$662)+N($B$675)+N($B$688)</f>
        <v/>
      </c>
      <c r="C913" s="21" t="inlineStr">
        <is>
          <t>R$</t>
        </is>
      </c>
      <c r="D913" s="22" t="inlineStr">
        <is>
          <t>calculado</t>
        </is>
      </c>
    </row>
    <row r="914">
      <c r="A914" s="19" t="inlineStr">
        <is>
          <t>Σ valor dos equities</t>
        </is>
      </c>
      <c r="B914" s="25">
        <f>N($B$701)+N($B$708)+N($B$715)</f>
        <v/>
      </c>
      <c r="C914" s="21" t="inlineStr">
        <is>
          <t>R$</t>
        </is>
      </c>
      <c r="D914" s="22" t="inlineStr">
        <is>
          <t>calculado</t>
        </is>
      </c>
    </row>
    <row r="917">
      <c r="F917" t="inlineStr">
        <is>
          <t>Preço</t>
        </is>
      </c>
    </row>
    <row r="918">
      <c r="F918" t="inlineStr">
        <is>
          <t>Registro</t>
        </is>
      </c>
    </row>
    <row r="919">
      <c r="F919" t="inlineStr">
        <is>
          <t>Outro</t>
        </is>
      </c>
    </row>
    <row r="920">
      <c r="F920" t="inlineStr">
        <is>
          <t>Construção</t>
        </is>
      </c>
    </row>
    <row r="921">
      <c r="F921" t="inlineStr">
        <is>
          <t>Outorga</t>
        </is>
      </c>
    </row>
    <row r="922">
      <c r="F922" t="inlineStr">
        <is>
          <t>Decoração</t>
        </is>
      </c>
    </row>
    <row r="923">
      <c r="F923" t="inlineStr">
        <is>
          <t>Gestão da obra</t>
        </is>
      </c>
    </row>
    <row r="924">
      <c r="F924" t="inlineStr">
        <is>
          <t>Contingência</t>
        </is>
      </c>
    </row>
    <row r="925">
      <c r="F925" t="inlineStr">
        <is>
          <t>Marketing &amp; Publicidade</t>
        </is>
      </c>
    </row>
    <row r="926">
      <c r="F926" t="inlineStr">
        <is>
          <t>Corretagem de vendas</t>
        </is>
      </c>
    </row>
    <row r="927">
      <c r="F927" t="inlineStr">
        <is>
          <t>Projetos</t>
        </is>
      </c>
    </row>
    <row r="928">
      <c r="F928" t="inlineStr">
        <is>
          <t>Licenças e Aprovações</t>
        </is>
      </c>
    </row>
    <row r="929">
      <c r="F929" t="inlineStr">
        <is>
          <t>Manutenção pós-obra</t>
        </is>
      </c>
    </row>
    <row r="930">
      <c r="F930" t="inlineStr">
        <is>
          <t>Marketing global</t>
        </is>
      </c>
    </row>
    <row r="931">
      <c r="F931" t="inlineStr">
        <is>
          <t>Gestão</t>
        </is>
      </c>
    </row>
    <row r="932">
      <c r="F932" t="inlineStr">
        <is>
          <t>Stand de vendas</t>
        </is>
      </c>
    </row>
    <row r="933">
      <c r="F933" t="inlineStr">
        <is>
          <t>Juros de financiamento</t>
        </is>
      </c>
    </row>
    <row r="934">
      <c r="F934" t="inlineStr">
        <is>
          <t>Taxas bancárias</t>
        </is>
      </c>
    </row>
    <row r="935">
      <c r="F935" t="inlineStr">
        <is>
          <t>Estruturação de dívida</t>
        </is>
      </c>
    </row>
    <row r="936">
      <c r="F936" t="inlineStr">
        <is>
          <t>Investidores</t>
        </is>
      </c>
    </row>
    <row r="938">
      <c r="F938" t="inlineStr">
        <is>
          <t>planejamento</t>
        </is>
      </c>
    </row>
    <row r="939">
      <c r="F939" t="inlineStr">
        <is>
          <t>pre_lancamento</t>
        </is>
      </c>
    </row>
    <row r="940">
      <c r="F940" t="inlineStr">
        <is>
          <t>lancamento</t>
        </is>
      </c>
    </row>
    <row r="941">
      <c r="F941" t="inlineStr">
        <is>
          <t>obra</t>
        </is>
      </c>
    </row>
    <row r="942">
      <c r="F942" t="inlineStr">
        <is>
          <t>pos_obra</t>
        </is>
      </c>
    </row>
    <row r="943">
      <c r="F943" t="inlineStr">
        <is>
          <t>customizado</t>
        </is>
      </c>
    </row>
    <row r="945">
      <c r="F945" t="inlineStr">
        <is>
          <t>Linear</t>
        </is>
      </c>
    </row>
    <row r="946">
      <c r="F946" t="inlineStr">
        <is>
          <t>Curva S</t>
        </is>
      </c>
    </row>
    <row r="947">
      <c r="F947" t="inlineStr">
        <is>
          <t>unit_delivery</t>
        </is>
      </c>
    </row>
    <row r="948">
      <c r="F948"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3 B344 B355 B366 B377 B388 B399 B410 B421 B432 B443 B454 B465 B476 B487 B498 B509 B520 B531 B542 B553 B564 B575 B586 B597 B608 B619 B630" showDropDown="0" showInputMessage="0" showErrorMessage="0" allowBlank="1" errorTitle="Confira o valor" error="Valor fora da lista de referência — confirme." type="list" errorStyle="warning">
      <formula1>$F$945:$F$948</formula1>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$F$938:$F$943</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$F$917:$F$936</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2026-10-13T21:36:23Z</dcterms:created>
  <dcterms:modified xmlns:dcterms="http://purl.org/dc/terms/" xmlns:xsi="http://www.w3.org/2001/XMLSchema-instance" xsi:type="dcterms:W3CDTF">2026-10-13T21:36:24Z</dcterms:modified>
</cp:coreProperties>
</file>