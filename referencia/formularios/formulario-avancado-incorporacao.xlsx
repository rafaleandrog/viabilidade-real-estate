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8">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2"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997"/>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Incorporação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 o símbolo % (4%), nunca só o número. O Excel guarda 0,04; a API do app espera pontos (4) e o importador converte pelo FORMATO da célula — por isso não troque o formato das células.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n"/>
      <c r="C5" s="7" t="inlineStr">
        <is>
          <t>texto (até 200)</t>
        </is>
      </c>
      <c r="D5" s="8" t="inlineStr">
        <is>
          <t>estudos.nome</t>
        </is>
      </c>
    </row>
    <row r="6">
      <c r="A6" s="5" t="inlineStr">
        <is>
          <t>Tipo de empreendimento</t>
        </is>
      </c>
      <c r="B6" s="9" t="inlineStr">
        <is>
          <t>incorporacao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 — o importador só aceita manual)</t>
        </is>
      </c>
      <c r="D8" s="8" t="inlineStr">
        <is>
          <t>estudos.origem_terreno</t>
        </is>
      </c>
    </row>
    <row r="9">
      <c r="A9" s="5" t="inlineStr">
        <is>
          <t>UF (recomendado)</t>
        </is>
      </c>
      <c r="B9" s="6" t="n"/>
      <c r="C9" s="7" t="inlineStr">
        <is>
          <t>texto, 2 letras</t>
        </is>
      </c>
      <c r="D9" s="8" t="inlineStr">
        <is>
          <t>estudos.uf</t>
        </is>
      </c>
    </row>
    <row r="10">
      <c r="A10" s="5" t="inlineStr">
        <is>
          <t>Notas</t>
        </is>
      </c>
      <c r="B10" s="6" t="n"/>
      <c r="C10" s="7" t="inlineStr">
        <is>
          <t>texto livre (só pela API)</t>
        </is>
      </c>
      <c r="D10" s="8" t="inlineStr">
        <is>
          <t>estudos.notas</t>
        </is>
      </c>
    </row>
    <row r="11" ht="20" customHeight="1">
      <c r="A11" s="4" t="inlineStr">
        <is>
          <t>2 · Empreendimento › Informações</t>
        </is>
      </c>
    </row>
    <row r="12">
      <c r="A12" s="5" t="inlineStr">
        <is>
          <t>Matrícula</t>
        </is>
      </c>
      <c r="B12" s="6" t="n"/>
      <c r="C12" s="7" t="inlineStr">
        <is>
          <t>texto (até 100)</t>
        </is>
      </c>
      <c r="D12" s="8" t="inlineStr">
        <is>
          <t>estudos.matricula</t>
        </is>
      </c>
    </row>
    <row r="13">
      <c r="A13" s="5" t="inlineStr">
        <is>
          <t>Descrição</t>
        </is>
      </c>
      <c r="B13" s="6" t="n"/>
      <c r="C13" s="7" t="inlineStr">
        <is>
          <t>texto longo</t>
        </is>
      </c>
      <c r="D13" s="8" t="inlineStr">
        <is>
          <t>estudos.descricao</t>
        </is>
      </c>
    </row>
    <row r="14">
      <c r="A14" s="5" t="inlineStr">
        <is>
          <t>Nome do terreno (origem = manual)</t>
        </is>
      </c>
      <c r="B14" s="6" t="n"/>
      <c r="C14" s="7" t="inlineStr">
        <is>
          <t>texto (até 200)</t>
        </is>
      </c>
      <c r="D14" s="8" t="inlineStr">
        <is>
          <t>estudos.terreno_manual_nome</t>
        </is>
      </c>
    </row>
    <row r="15">
      <c r="A15" s="5" t="inlineStr">
        <is>
          <t>Área do terreno *</t>
        </is>
      </c>
      <c r="B15" s="10" t="n"/>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Coeficiente de aproveitamento mínimo (informativo)</t>
        </is>
      </c>
      <c r="B17" s="11" t="n"/>
      <c r="C17" s="7" t="inlineStr">
        <is>
          <t>índice (x)</t>
        </is>
      </c>
      <c r="D17" s="8" t="inlineStr">
        <is>
          <t>estudos.coef_aproveitamento_basico</t>
        </is>
      </c>
    </row>
    <row r="18">
      <c r="A18" s="5" t="inlineStr">
        <is>
          <t>Coeficiente de aproveitamento máximo (informativo)</t>
        </is>
      </c>
      <c r="B18" s="11" t="n"/>
      <c r="C18" s="7" t="inlineStr">
        <is>
          <t>índice (x)</t>
        </is>
      </c>
      <c r="D18" s="8" t="inlineStr">
        <is>
          <t>estudos.coef_aproveitamento_maximo</t>
        </is>
      </c>
    </row>
    <row r="19">
      <c r="A19" s="5" t="inlineStr">
        <is>
          <t>Imagem principal / render / planta (nome do arquivo; envio à parte)</t>
        </is>
      </c>
      <c r="B19" s="6" t="n"/>
      <c r="C19" s="7" t="inlineStr">
        <is>
          <t>png/jpeg/webp/pdf ≤ 25 MB</t>
        </is>
      </c>
      <c r="D19" s="8" t="inlineStr">
        <is>
          <t>estudo_documentos</t>
        </is>
      </c>
    </row>
    <row r="20" ht="20" customHeight="1">
      <c r="A20" s="4" t="inlineStr">
        <is>
          <t>3 · Viabilidade › Financeiro e tributação</t>
        </is>
      </c>
    </row>
    <row r="21">
      <c r="A21" s="5" t="inlineStr">
        <is>
          <t>Juros de tabela *</t>
        </is>
      </c>
      <c r="B21" s="12" t="n"/>
      <c r="C21" s="7" t="inlineStr">
        <is>
          <t>% a.a. (0 a 999,99; vale p/ todos os grupos)</t>
        </is>
      </c>
      <c r="D21" s="8" t="inlineStr">
        <is>
          <t>estudos.juros_tabela_aa_padrao</t>
        </is>
      </c>
    </row>
    <row r="22">
      <c r="A22" s="5" t="inlineStr">
        <is>
          <t>Taxa de desconto p/ VP *</t>
        </is>
      </c>
      <c r="B22" s="12" t="n"/>
      <c r="C22" s="7" t="inlineStr">
        <is>
          <t>% a.a. (0 a 100)</t>
        </is>
      </c>
      <c r="D22" s="8" t="inlineStr">
        <is>
          <t>estudos.taxa_desconto_aa</t>
        </is>
      </c>
    </row>
    <row r="23">
      <c r="A23" s="5" t="inlineStr">
        <is>
          <t>Corretagem incide sobre a permuta física *</t>
        </is>
      </c>
      <c r="B23" s="6" t="n"/>
      <c r="C23" s="7" t="inlineStr">
        <is>
          <t>Sim/Não</t>
        </is>
      </c>
      <c r="D23" s="8" t="inlineStr">
        <is>
          <t>estudos.corretagem_sobre_permuta_fisica</t>
        </is>
      </c>
    </row>
    <row r="24">
      <c r="A24" s="5" t="inlineStr">
        <is>
          <t>RET (Regime Especial de Tributação) *</t>
        </is>
      </c>
      <c r="B24" s="6" t="n"/>
      <c r="C24" s="7" t="inlineStr">
        <is>
          <t>Sim/Não (único imposto aplicado pelo Avançado)</t>
        </is>
      </c>
      <c r="D24" s="8" t="inlineStr">
        <is>
          <t>parametros.considerar_ret</t>
        </is>
      </c>
    </row>
    <row r="25">
      <c r="A25" s="5" t="inlineStr">
        <is>
          <t>Alíquota RET *</t>
        </is>
      </c>
      <c r="B25" s="12" t="n"/>
      <c r="C25" s="7" t="inlineStr">
        <is>
          <t>% da receita (0 a 100; em loteamento use a alíquota efetiva)</t>
        </is>
      </c>
      <c r="D25" s="8" t="inlineStr">
        <is>
          <t>parametros.ret_pct</t>
        </is>
      </c>
    </row>
    <row r="26" ht="20" customHeight="1">
      <c r="A26" s="4" t="inlineStr">
        <is>
          <t>4 · Cronograma (meses a partir do mês 0)</t>
        </is>
      </c>
    </row>
    <row r="27" ht="26" customHeight="1">
      <c r="A27" s="13" t="inlineStr">
        <is>
          <t>Pré-lançamento, Lançamento e Pós-obras começam no FIM do evento anterior (travado no app): esses inícios estão na zona calculada, não são preenchidos. Informe "tem Pré-lançamento" ANTES de preencher o cronograma.</t>
        </is>
      </c>
    </row>
    <row r="28">
      <c r="A28" s="5" t="inlineStr">
        <is>
          <t>Data de início do projeto *</t>
        </is>
      </c>
      <c r="B28" s="14" t="n"/>
      <c r="C28" s="7" t="inlineStr">
        <is>
          <t>data (mês/ano) — mês 0 do fluxo</t>
        </is>
      </c>
      <c r="D28" s="8" t="inlineStr">
        <is>
          <t>parametros.data_inicio_projeto</t>
        </is>
      </c>
    </row>
    <row r="29">
      <c r="A29" s="5" t="inlineStr">
        <is>
          <t>Este empreendimento tem Pré-lançamento *</t>
        </is>
      </c>
      <c r="B29" s="6" t="n"/>
      <c r="C29" s="7" t="inlineStr">
        <is>
          <t>Sim/Não</t>
        </is>
      </c>
      <c r="D29" s="8" t="inlineStr">
        <is>
          <t>parametros.tem_pre_lancamento</t>
        </is>
      </c>
    </row>
    <row r="30">
      <c r="A30" s="5" t="inlineStr">
        <is>
          <t>Planejamento — Início *</t>
        </is>
      </c>
      <c r="B30" s="15" t="n"/>
      <c r="C30" s="7" t="inlineStr">
        <is>
          <t>mês (inteiro ≥ 0; 0 = início)</t>
        </is>
      </c>
      <c r="D30" s="8" t="inlineStr">
        <is>
          <t>cronograma.planejamento.inicio_mes</t>
        </is>
      </c>
    </row>
    <row r="31">
      <c r="A31" s="5" t="inlineStr">
        <is>
          <t>Planejamento — Duração *</t>
        </is>
      </c>
      <c r="B31" s="15" t="n"/>
      <c r="C31" s="7" t="inlineStr">
        <is>
          <t>meses (inteiro ≥ 1)</t>
        </is>
      </c>
      <c r="D31" s="8" t="inlineStr">
        <is>
          <t>cronograma.planejamento.duracao_meses</t>
        </is>
      </c>
    </row>
    <row r="32">
      <c r="A32" s="5" t="inlineStr">
        <is>
          <t>Pré-lançamento — Duração (só se tiver pré)</t>
        </is>
      </c>
      <c r="B32" s="15" t="n"/>
      <c r="C32" s="7" t="inlineStr">
        <is>
          <t>meses (inteiro ≥ 1)</t>
        </is>
      </c>
      <c r="D32" s="8" t="inlineStr">
        <is>
          <t>cronograma.pre_lancamento.duracao_meses</t>
        </is>
      </c>
    </row>
    <row r="33">
      <c r="A33" s="5" t="inlineStr">
        <is>
          <t>Lançamento — Duração *</t>
        </is>
      </c>
      <c r="B33" s="15" t="n"/>
      <c r="C33" s="7" t="inlineStr">
        <is>
          <t>meses (inteiro ≥ 1)</t>
        </is>
      </c>
      <c r="D33" s="8" t="inlineStr">
        <is>
          <t>cronograma.lancamento.duracao_meses</t>
        </is>
      </c>
    </row>
    <row r="34">
      <c r="A34" s="5" t="inlineStr">
        <is>
          <t>Obra — Início *</t>
        </is>
      </c>
      <c r="B34" s="15" t="n"/>
      <c r="C34" s="7" t="inlineStr">
        <is>
          <t>mês (inteiro ≥ 0)</t>
        </is>
      </c>
      <c r="D34" s="8" t="inlineStr">
        <is>
          <t>cronograma.obra.inicio_mes</t>
        </is>
      </c>
    </row>
    <row r="35">
      <c r="A35" s="5" t="inlineStr">
        <is>
          <t>Obra — Duração *</t>
        </is>
      </c>
      <c r="B35" s="15" t="n"/>
      <c r="C35" s="7" t="inlineStr">
        <is>
          <t>meses (inteiro ≥ 1)</t>
        </is>
      </c>
      <c r="D35" s="8" t="inlineStr">
        <is>
          <t>cronograma.obra.duracao_meses</t>
        </is>
      </c>
    </row>
    <row r="36">
      <c r="A36" s="5" t="inlineStr">
        <is>
          <t>Pós-obras — Duração *</t>
        </is>
      </c>
      <c r="B36" s="15" t="n"/>
      <c r="C36" s="7" t="inlineStr">
        <is>
          <t>meses (inteiro ≥ 1)</t>
        </is>
      </c>
      <c r="D36" s="8" t="inlineStr">
        <is>
          <t>cronograma.pos_obra.duracao_meses</t>
        </is>
      </c>
    </row>
    <row r="37" ht="20" customHeight="1">
      <c r="A37" s="4" t="inlineStr">
        <is>
          <t>Fases customizadas do cronograma (opcional) — 5 vagas; servem de âncora para custos e funding</t>
        </is>
      </c>
    </row>
    <row r="38">
      <c r="A38" s="5" t="inlineStr">
        <is>
          <t>Fase 1 — Nome</t>
        </is>
      </c>
      <c r="B38" s="6" t="n"/>
      <c r="C38" s="7" t="inlineStr">
        <is>
          <t>texto</t>
        </is>
      </c>
      <c r="D38" s="8" t="inlineStr">
        <is>
          <t>fases[1].nome</t>
        </is>
      </c>
    </row>
    <row r="39">
      <c r="A39" s="5" t="inlineStr">
        <is>
          <t>Fase 1 — Início</t>
        </is>
      </c>
      <c r="B39" s="15" t="n"/>
      <c r="C39" s="7" t="inlineStr">
        <is>
          <t>mês (inteiro ≥ 0)</t>
        </is>
      </c>
      <c r="D39" s="8" t="inlineStr">
        <is>
          <t>fases[1].inicio_mes</t>
        </is>
      </c>
    </row>
    <row r="40">
      <c r="A40" s="5" t="inlineStr">
        <is>
          <t>Fase 1 — Duração</t>
        </is>
      </c>
      <c r="B40" s="15" t="n"/>
      <c r="C40" s="7" t="inlineStr">
        <is>
          <t>meses (inteiro ≥ 1)</t>
        </is>
      </c>
      <c r="D40" s="8" t="inlineStr">
        <is>
          <t>fases[1].duracao_meses</t>
        </is>
      </c>
    </row>
    <row r="41">
      <c r="A41" s="5" t="inlineStr">
        <is>
          <t>Fase 2 — Nome</t>
        </is>
      </c>
      <c r="B41" s="6" t="n"/>
      <c r="C41" s="7" t="inlineStr">
        <is>
          <t>texto</t>
        </is>
      </c>
      <c r="D41" s="8" t="inlineStr">
        <is>
          <t>fases[2].nome</t>
        </is>
      </c>
    </row>
    <row r="42">
      <c r="A42" s="5" t="inlineStr">
        <is>
          <t>Fase 2 — Início</t>
        </is>
      </c>
      <c r="B42" s="15" t="n"/>
      <c r="C42" s="7" t="inlineStr">
        <is>
          <t>mês (inteiro ≥ 0)</t>
        </is>
      </c>
      <c r="D42" s="8" t="inlineStr">
        <is>
          <t>fases[2].inicio_mes</t>
        </is>
      </c>
    </row>
    <row r="43">
      <c r="A43" s="5" t="inlineStr">
        <is>
          <t>Fase 2 — Duração</t>
        </is>
      </c>
      <c r="B43" s="15" t="n"/>
      <c r="C43" s="7" t="inlineStr">
        <is>
          <t>meses (inteiro ≥ 1)</t>
        </is>
      </c>
      <c r="D43" s="8" t="inlineStr">
        <is>
          <t>fases[2].duracao_meses</t>
        </is>
      </c>
    </row>
    <row r="44">
      <c r="A44" s="5" t="inlineStr">
        <is>
          <t>Fase 3 — Nome</t>
        </is>
      </c>
      <c r="B44" s="6" t="n"/>
      <c r="C44" s="7" t="inlineStr">
        <is>
          <t>texto</t>
        </is>
      </c>
      <c r="D44" s="8" t="inlineStr">
        <is>
          <t>fases[3].nome</t>
        </is>
      </c>
    </row>
    <row r="45">
      <c r="A45" s="5" t="inlineStr">
        <is>
          <t>Fase 3 — Início</t>
        </is>
      </c>
      <c r="B45" s="15" t="n"/>
      <c r="C45" s="7" t="inlineStr">
        <is>
          <t>mês (inteiro ≥ 0)</t>
        </is>
      </c>
      <c r="D45" s="8" t="inlineStr">
        <is>
          <t>fases[3].inicio_mes</t>
        </is>
      </c>
    </row>
    <row r="46">
      <c r="A46" s="5" t="inlineStr">
        <is>
          <t>Fase 3 — Duração</t>
        </is>
      </c>
      <c r="B46" s="15" t="n"/>
      <c r="C46" s="7" t="inlineStr">
        <is>
          <t>meses (inteiro ≥ 1)</t>
        </is>
      </c>
      <c r="D46" s="8" t="inlineStr">
        <is>
          <t>fases[3].duracao_meses</t>
        </is>
      </c>
    </row>
    <row r="47">
      <c r="A47" s="5" t="inlineStr">
        <is>
          <t>Fase 4 — Nome</t>
        </is>
      </c>
      <c r="B47" s="6" t="n"/>
      <c r="C47" s="7" t="inlineStr">
        <is>
          <t>texto</t>
        </is>
      </c>
      <c r="D47" s="8" t="inlineStr">
        <is>
          <t>fases[4].nome</t>
        </is>
      </c>
    </row>
    <row r="48">
      <c r="A48" s="5" t="inlineStr">
        <is>
          <t>Fase 4 — Início</t>
        </is>
      </c>
      <c r="B48" s="15" t="n"/>
      <c r="C48" s="7" t="inlineStr">
        <is>
          <t>mês (inteiro ≥ 0)</t>
        </is>
      </c>
      <c r="D48" s="8" t="inlineStr">
        <is>
          <t>fases[4].inicio_mes</t>
        </is>
      </c>
    </row>
    <row r="49">
      <c r="A49" s="5" t="inlineStr">
        <is>
          <t>Fase 4 — Duração</t>
        </is>
      </c>
      <c r="B49" s="15" t="n"/>
      <c r="C49" s="7" t="inlineStr">
        <is>
          <t>meses (inteiro ≥ 1)</t>
        </is>
      </c>
      <c r="D49" s="8" t="inlineStr">
        <is>
          <t>fases[4].duracao_meses</t>
        </is>
      </c>
    </row>
    <row r="50">
      <c r="A50" s="5" t="inlineStr">
        <is>
          <t>Fase 5 — Nome</t>
        </is>
      </c>
      <c r="B50" s="6" t="n"/>
      <c r="C50" s="7" t="inlineStr">
        <is>
          <t>texto</t>
        </is>
      </c>
      <c r="D50" s="8" t="inlineStr">
        <is>
          <t>fases[5].nome</t>
        </is>
      </c>
    </row>
    <row r="51">
      <c r="A51" s="5" t="inlineStr">
        <is>
          <t>Fase 5 — Início</t>
        </is>
      </c>
      <c r="B51" s="15" t="n"/>
      <c r="C51" s="7" t="inlineStr">
        <is>
          <t>mês (inteiro ≥ 0)</t>
        </is>
      </c>
      <c r="D51" s="8" t="inlineStr">
        <is>
          <t>fases[5].inicio_mes</t>
        </is>
      </c>
    </row>
    <row r="52">
      <c r="A52" s="5" t="inlineStr">
        <is>
          <t>Fase 5 — Duração</t>
        </is>
      </c>
      <c r="B52" s="15" t="n"/>
      <c r="C52" s="7" t="inlineStr">
        <is>
          <t>meses (inteiro ≥ 1)</t>
        </is>
      </c>
      <c r="D52" s="8" t="inlineStr">
        <is>
          <t>fases[5].duracao_meses</t>
        </is>
      </c>
    </row>
    <row r="53" ht="20" customHeight="1">
      <c r="A53" s="4" t="inlineStr">
        <is>
          <t>Análise de Mercado (opcional)</t>
        </is>
      </c>
    </row>
    <row r="54">
      <c r="A54" s="5" t="inlineStr">
        <is>
          <t>Região de mercado</t>
        </is>
      </c>
      <c r="B54" s="6" t="n"/>
      <c r="C54" s="7" t="inlineStr">
        <is>
          <t>nome de região cadastrada na instância</t>
        </is>
      </c>
      <c r="D54" s="8" t="inlineStr">
        <is>
          <t>estudos.regiao_mercado_id</t>
        </is>
      </c>
    </row>
    <row r="55">
      <c r="A55" s="5" t="inlineStr">
        <is>
          <t>Apelo comercial — tipo de dado</t>
        </is>
      </c>
      <c r="B55" s="6" t="n"/>
      <c r="C55" s="7" t="inlineStr">
        <is>
          <t>lista: anuncios | populacao | mercado | outro</t>
        </is>
      </c>
      <c r="D55" s="8" t="inlineStr">
        <is>
          <t>apelo_comercial_documentos.tipo_dado</t>
        </is>
      </c>
    </row>
    <row r="56">
      <c r="A56" s="5" t="inlineStr">
        <is>
          <t>Apelo comercial — texto adicional</t>
        </is>
      </c>
      <c r="B56" s="6" t="n"/>
      <c r="C56" s="7" t="inlineStr">
        <is>
          <t>texto livre (ou envie arquivo pdf/docx/xlsx à parte)</t>
        </is>
      </c>
      <c r="D56" s="8" t="inlineStr">
        <is>
          <t>apelo_comercial_documentos.texto_adicional</t>
        </is>
      </c>
    </row>
    <row r="57" ht="20" customHeight="1">
      <c r="A57" s="4" t="inlineStr">
        <is>
          <t>5 · Tipologias (Empreendimento › Tipologias) — 10 vagas</t>
        </is>
      </c>
    </row>
    <row r="58">
      <c r="A58" s="16" t="inlineStr">
        <is>
          <t>Tipologia 1</t>
        </is>
      </c>
    </row>
    <row r="59">
      <c r="A59" s="5" t="inlineStr">
        <is>
          <t>Tipologia 1 — Nome</t>
        </is>
      </c>
      <c r="B59" s="6" t="n"/>
      <c r="C59" s="7" t="inlineStr">
        <is>
          <t>texto (até 100)</t>
        </is>
      </c>
      <c r="D59" s="8" t="inlineStr">
        <is>
          <t>tipologias[1].nome</t>
        </is>
      </c>
    </row>
    <row r="60">
      <c r="A60" s="5" t="inlineStr">
        <is>
          <t>Tipologia 1 — Tipo</t>
        </is>
      </c>
      <c r="B60" s="6" t="n"/>
      <c r="C60" s="7" t="inlineStr">
        <is>
          <t>lista: apartamento | cobertura | loja | outro</t>
        </is>
      </c>
      <c r="D60" s="8" t="inlineStr">
        <is>
          <t>tipologias[1].tipo_unidade</t>
        </is>
      </c>
    </row>
    <row r="61">
      <c r="A61" s="5" t="inlineStr">
        <is>
          <t>Tipologia 1 — Área privativa (fechada)</t>
        </is>
      </c>
      <c r="B61" s="10" t="n"/>
      <c r="C61" s="7" t="inlineStr">
        <is>
          <t>m²</t>
        </is>
      </c>
      <c r="D61" s="8" t="inlineStr">
        <is>
          <t>tipologias[1].area_privativa_m2</t>
        </is>
      </c>
    </row>
    <row r="62">
      <c r="A62" s="5" t="inlineStr">
        <is>
          <t>Tipologia 1 — Área aberta</t>
        </is>
      </c>
      <c r="B62" s="10" t="n"/>
      <c r="C62" s="7" t="inlineStr">
        <is>
          <t>m² (entra no VGV)</t>
        </is>
      </c>
      <c r="D62" s="8" t="inlineStr">
        <is>
          <t>tipologias[1].area_privativa_aberta_m2</t>
        </is>
      </c>
    </row>
    <row r="63">
      <c r="A63" s="5" t="inlineStr">
        <is>
          <t>Tipologia 1 — Dormitórios</t>
        </is>
      </c>
      <c r="B63" s="15" t="n"/>
      <c r="C63" s="7" t="inlineStr">
        <is>
          <t>inteiro</t>
        </is>
      </c>
      <c r="D63" s="8" t="inlineStr">
        <is>
          <t>tipologias[1].dormitorios</t>
        </is>
      </c>
    </row>
    <row r="64">
      <c r="A64" s="5" t="inlineStr">
        <is>
          <t>Tipologia 1 — Vagas</t>
        </is>
      </c>
      <c r="B64" s="15" t="n"/>
      <c r="C64" s="7" t="inlineStr">
        <is>
          <t>inteiro</t>
        </is>
      </c>
      <c r="D64" s="8" t="inlineStr">
        <is>
          <t>tipologias[1].vagas</t>
        </is>
      </c>
    </row>
    <row r="65">
      <c r="A65" s="5" t="inlineStr">
        <is>
          <t>Tipologia 1 — Unidades</t>
        </is>
      </c>
      <c r="B65" s="15" t="n"/>
      <c r="C65" s="7" t="inlineStr">
        <is>
          <t>unidades (inteiro &gt; 0)</t>
        </is>
      </c>
      <c r="D65" s="8" t="inlineStr">
        <is>
          <t>tipologias[1].quantidade</t>
        </is>
      </c>
    </row>
    <row r="66">
      <c r="A66" s="5" t="inlineStr">
        <is>
          <t>Tipologia 1 — Preço/m² sugerido</t>
        </is>
      </c>
      <c r="B66" s="17" t="n"/>
      <c r="C66" s="7" t="inlineStr">
        <is>
          <t>R$/m² (preço padrão da alocação)</t>
        </is>
      </c>
      <c r="D66" s="8" t="inlineStr">
        <is>
          <t>tipologias[1].preco_m2</t>
        </is>
      </c>
    </row>
    <row r="67">
      <c r="A67" s="16" t="inlineStr">
        <is>
          <t>Tipologia 2</t>
        </is>
      </c>
    </row>
    <row r="68">
      <c r="A68" s="5" t="inlineStr">
        <is>
          <t>Tipologia 2 — Nome</t>
        </is>
      </c>
      <c r="B68" s="6" t="n"/>
      <c r="C68" s="7" t="inlineStr">
        <is>
          <t>texto (até 100)</t>
        </is>
      </c>
      <c r="D68" s="8" t="inlineStr">
        <is>
          <t>tipologias[2].nome</t>
        </is>
      </c>
    </row>
    <row r="69">
      <c r="A69" s="5" t="inlineStr">
        <is>
          <t>Tipologia 2 — Tipo</t>
        </is>
      </c>
      <c r="B69" s="6" t="n"/>
      <c r="C69" s="7" t="inlineStr">
        <is>
          <t>lista: apartamento | cobertura | loja | outro</t>
        </is>
      </c>
      <c r="D69" s="8" t="inlineStr">
        <is>
          <t>tipologias[2].tipo_unidade</t>
        </is>
      </c>
    </row>
    <row r="70">
      <c r="A70" s="5" t="inlineStr">
        <is>
          <t>Tipologia 2 — Área privativa (fechada)</t>
        </is>
      </c>
      <c r="B70" s="10" t="n"/>
      <c r="C70" s="7" t="inlineStr">
        <is>
          <t>m²</t>
        </is>
      </c>
      <c r="D70" s="8" t="inlineStr">
        <is>
          <t>tipologias[2].area_privativa_m2</t>
        </is>
      </c>
    </row>
    <row r="71">
      <c r="A71" s="5" t="inlineStr">
        <is>
          <t>Tipologia 2 — Área aberta</t>
        </is>
      </c>
      <c r="B71" s="10" t="n"/>
      <c r="C71" s="7" t="inlineStr">
        <is>
          <t>m² (entra no VGV)</t>
        </is>
      </c>
      <c r="D71" s="8" t="inlineStr">
        <is>
          <t>tipologias[2].area_privativa_aberta_m2</t>
        </is>
      </c>
    </row>
    <row r="72">
      <c r="A72" s="5" t="inlineStr">
        <is>
          <t>Tipologia 2 — Dormitórios</t>
        </is>
      </c>
      <c r="B72" s="15" t="n"/>
      <c r="C72" s="7" t="inlineStr">
        <is>
          <t>inteiro</t>
        </is>
      </c>
      <c r="D72" s="8" t="inlineStr">
        <is>
          <t>tipologias[2].dormitorios</t>
        </is>
      </c>
    </row>
    <row r="73">
      <c r="A73" s="5" t="inlineStr">
        <is>
          <t>Tipologia 2 — Vagas</t>
        </is>
      </c>
      <c r="B73" s="15" t="n"/>
      <c r="C73" s="7" t="inlineStr">
        <is>
          <t>inteiro</t>
        </is>
      </c>
      <c r="D73" s="8" t="inlineStr">
        <is>
          <t>tipologias[2].vagas</t>
        </is>
      </c>
    </row>
    <row r="74">
      <c r="A74" s="5" t="inlineStr">
        <is>
          <t>Tipologia 2 — Unidades</t>
        </is>
      </c>
      <c r="B74" s="15" t="n"/>
      <c r="C74" s="7" t="inlineStr">
        <is>
          <t>unidades (inteiro &gt; 0)</t>
        </is>
      </c>
      <c r="D74" s="8" t="inlineStr">
        <is>
          <t>tipologias[2].quantidade</t>
        </is>
      </c>
    </row>
    <row r="75">
      <c r="A75" s="5" t="inlineStr">
        <is>
          <t>Tipologia 2 — Preço/m² sugerido</t>
        </is>
      </c>
      <c r="B75" s="17" t="n"/>
      <c r="C75" s="7" t="inlineStr">
        <is>
          <t>R$/m² (preço padrão da alocação)</t>
        </is>
      </c>
      <c r="D75" s="8" t="inlineStr">
        <is>
          <t>tipologias[2].preco_m2</t>
        </is>
      </c>
    </row>
    <row r="76">
      <c r="A76" s="16" t="inlineStr">
        <is>
          <t>Tipologia 3</t>
        </is>
      </c>
    </row>
    <row r="77">
      <c r="A77" s="5" t="inlineStr">
        <is>
          <t>Tipologia 3 — Nome</t>
        </is>
      </c>
      <c r="B77" s="6" t="n"/>
      <c r="C77" s="7" t="inlineStr">
        <is>
          <t>texto (até 100)</t>
        </is>
      </c>
      <c r="D77" s="8" t="inlineStr">
        <is>
          <t>tipologias[3].nome</t>
        </is>
      </c>
    </row>
    <row r="78">
      <c r="A78" s="5" t="inlineStr">
        <is>
          <t>Tipologia 3 — Tipo</t>
        </is>
      </c>
      <c r="B78" s="6" t="n"/>
      <c r="C78" s="7" t="inlineStr">
        <is>
          <t>lista: apartamento | cobertura | loja | outro</t>
        </is>
      </c>
      <c r="D78" s="8" t="inlineStr">
        <is>
          <t>tipologias[3].tipo_unidade</t>
        </is>
      </c>
    </row>
    <row r="79">
      <c r="A79" s="5" t="inlineStr">
        <is>
          <t>Tipologia 3 — Área privativa (fechada)</t>
        </is>
      </c>
      <c r="B79" s="10" t="n"/>
      <c r="C79" s="7" t="inlineStr">
        <is>
          <t>m²</t>
        </is>
      </c>
      <c r="D79" s="8" t="inlineStr">
        <is>
          <t>tipologias[3].area_privativa_m2</t>
        </is>
      </c>
    </row>
    <row r="80">
      <c r="A80" s="5" t="inlineStr">
        <is>
          <t>Tipologia 3 — Área aberta</t>
        </is>
      </c>
      <c r="B80" s="10" t="n"/>
      <c r="C80" s="7" t="inlineStr">
        <is>
          <t>m² (entra no VGV)</t>
        </is>
      </c>
      <c r="D80" s="8" t="inlineStr">
        <is>
          <t>tipologias[3].area_privativa_aberta_m2</t>
        </is>
      </c>
    </row>
    <row r="81">
      <c r="A81" s="5" t="inlineStr">
        <is>
          <t>Tipologia 3 — Dormitórios</t>
        </is>
      </c>
      <c r="B81" s="15" t="n"/>
      <c r="C81" s="7" t="inlineStr">
        <is>
          <t>inteiro</t>
        </is>
      </c>
      <c r="D81" s="8" t="inlineStr">
        <is>
          <t>tipologias[3].dormitorios</t>
        </is>
      </c>
    </row>
    <row r="82">
      <c r="A82" s="5" t="inlineStr">
        <is>
          <t>Tipologia 3 — Vagas</t>
        </is>
      </c>
      <c r="B82" s="15" t="n"/>
      <c r="C82" s="7" t="inlineStr">
        <is>
          <t>inteiro</t>
        </is>
      </c>
      <c r="D82" s="8" t="inlineStr">
        <is>
          <t>tipologias[3].vagas</t>
        </is>
      </c>
    </row>
    <row r="83">
      <c r="A83" s="5" t="inlineStr">
        <is>
          <t>Tipologia 3 — Unidades</t>
        </is>
      </c>
      <c r="B83" s="15" t="n"/>
      <c r="C83" s="7" t="inlineStr">
        <is>
          <t>unidades (inteiro &gt; 0)</t>
        </is>
      </c>
      <c r="D83" s="8" t="inlineStr">
        <is>
          <t>tipologias[3].quantidade</t>
        </is>
      </c>
    </row>
    <row r="84">
      <c r="A84" s="5" t="inlineStr">
        <is>
          <t>Tipologia 3 — Preço/m² sugerido</t>
        </is>
      </c>
      <c r="B84" s="17" t="n"/>
      <c r="C84" s="7" t="inlineStr">
        <is>
          <t>R$/m² (preço padrão da alocação)</t>
        </is>
      </c>
      <c r="D84" s="8" t="inlineStr">
        <is>
          <t>tipologias[3].preco_m2</t>
        </is>
      </c>
    </row>
    <row r="85">
      <c r="A85" s="16" t="inlineStr">
        <is>
          <t>Tipologia 4</t>
        </is>
      </c>
    </row>
    <row r="86">
      <c r="A86" s="5" t="inlineStr">
        <is>
          <t>Tipologia 4 — Nome</t>
        </is>
      </c>
      <c r="B86" s="6" t="n"/>
      <c r="C86" s="7" t="inlineStr">
        <is>
          <t>texto (até 100)</t>
        </is>
      </c>
      <c r="D86" s="8" t="inlineStr">
        <is>
          <t>tipologias[4].nome</t>
        </is>
      </c>
    </row>
    <row r="87">
      <c r="A87" s="5" t="inlineStr">
        <is>
          <t>Tipologia 4 — Tipo</t>
        </is>
      </c>
      <c r="B87" s="6" t="n"/>
      <c r="C87" s="7" t="inlineStr">
        <is>
          <t>lista: apartamento | cobertura | loja | outro</t>
        </is>
      </c>
      <c r="D87" s="8" t="inlineStr">
        <is>
          <t>tipologias[4].tipo_unidade</t>
        </is>
      </c>
    </row>
    <row r="88">
      <c r="A88" s="5" t="inlineStr">
        <is>
          <t>Tipologia 4 — Área privativa (fechada)</t>
        </is>
      </c>
      <c r="B88" s="10" t="n"/>
      <c r="C88" s="7" t="inlineStr">
        <is>
          <t>m²</t>
        </is>
      </c>
      <c r="D88" s="8" t="inlineStr">
        <is>
          <t>tipologias[4].area_privativa_m2</t>
        </is>
      </c>
    </row>
    <row r="89">
      <c r="A89" s="5" t="inlineStr">
        <is>
          <t>Tipologia 4 — Área aberta</t>
        </is>
      </c>
      <c r="B89" s="10" t="n"/>
      <c r="C89" s="7" t="inlineStr">
        <is>
          <t>m² (entra no VGV)</t>
        </is>
      </c>
      <c r="D89" s="8" t="inlineStr">
        <is>
          <t>tipologias[4].area_privativa_aberta_m2</t>
        </is>
      </c>
    </row>
    <row r="90">
      <c r="A90" s="5" t="inlineStr">
        <is>
          <t>Tipologia 4 — Dormitórios</t>
        </is>
      </c>
      <c r="B90" s="15" t="n"/>
      <c r="C90" s="7" t="inlineStr">
        <is>
          <t>inteiro</t>
        </is>
      </c>
      <c r="D90" s="8" t="inlineStr">
        <is>
          <t>tipologias[4].dormitorios</t>
        </is>
      </c>
    </row>
    <row r="91">
      <c r="A91" s="5" t="inlineStr">
        <is>
          <t>Tipologia 4 — Vagas</t>
        </is>
      </c>
      <c r="B91" s="15" t="n"/>
      <c r="C91" s="7" t="inlineStr">
        <is>
          <t>inteiro</t>
        </is>
      </c>
      <c r="D91" s="8" t="inlineStr">
        <is>
          <t>tipologias[4].vagas</t>
        </is>
      </c>
    </row>
    <row r="92">
      <c r="A92" s="5" t="inlineStr">
        <is>
          <t>Tipologia 4 — Unidades</t>
        </is>
      </c>
      <c r="B92" s="15" t="n"/>
      <c r="C92" s="7" t="inlineStr">
        <is>
          <t>unidades (inteiro &gt; 0)</t>
        </is>
      </c>
      <c r="D92" s="8" t="inlineStr">
        <is>
          <t>tipologias[4].quantidade</t>
        </is>
      </c>
    </row>
    <row r="93">
      <c r="A93" s="5" t="inlineStr">
        <is>
          <t>Tipologia 4 — Preço/m² sugerido</t>
        </is>
      </c>
      <c r="B93" s="17" t="n"/>
      <c r="C93" s="7" t="inlineStr">
        <is>
          <t>R$/m² (preço padrão da alocação)</t>
        </is>
      </c>
      <c r="D93" s="8" t="inlineStr">
        <is>
          <t>tipologias[4].preco_m2</t>
        </is>
      </c>
    </row>
    <row r="94">
      <c r="A94" s="16" t="inlineStr">
        <is>
          <t>Tipologia 5</t>
        </is>
      </c>
    </row>
    <row r="95">
      <c r="A95" s="5" t="inlineStr">
        <is>
          <t>Tipologia 5 — Nome</t>
        </is>
      </c>
      <c r="B95" s="6" t="n"/>
      <c r="C95" s="7" t="inlineStr">
        <is>
          <t>texto (até 100)</t>
        </is>
      </c>
      <c r="D95" s="8" t="inlineStr">
        <is>
          <t>tipologias[5].nome</t>
        </is>
      </c>
    </row>
    <row r="96">
      <c r="A96" s="5" t="inlineStr">
        <is>
          <t>Tipologia 5 — Tipo</t>
        </is>
      </c>
      <c r="B96" s="6" t="n"/>
      <c r="C96" s="7" t="inlineStr">
        <is>
          <t>lista: apartamento | cobertura | loja | outro</t>
        </is>
      </c>
      <c r="D96" s="8" t="inlineStr">
        <is>
          <t>tipologias[5].tipo_unidade</t>
        </is>
      </c>
    </row>
    <row r="97">
      <c r="A97" s="5" t="inlineStr">
        <is>
          <t>Tipologia 5 — Área privativa (fechada)</t>
        </is>
      </c>
      <c r="B97" s="10" t="n"/>
      <c r="C97" s="7" t="inlineStr">
        <is>
          <t>m²</t>
        </is>
      </c>
      <c r="D97" s="8" t="inlineStr">
        <is>
          <t>tipologias[5].area_privativa_m2</t>
        </is>
      </c>
    </row>
    <row r="98">
      <c r="A98" s="5" t="inlineStr">
        <is>
          <t>Tipologia 5 — Área aberta</t>
        </is>
      </c>
      <c r="B98" s="10" t="n"/>
      <c r="C98" s="7" t="inlineStr">
        <is>
          <t>m² (entra no VGV)</t>
        </is>
      </c>
      <c r="D98" s="8" t="inlineStr">
        <is>
          <t>tipologias[5].area_privativa_aberta_m2</t>
        </is>
      </c>
    </row>
    <row r="99">
      <c r="A99" s="5" t="inlineStr">
        <is>
          <t>Tipologia 5 — Dormitórios</t>
        </is>
      </c>
      <c r="B99" s="15" t="n"/>
      <c r="C99" s="7" t="inlineStr">
        <is>
          <t>inteiro</t>
        </is>
      </c>
      <c r="D99" s="8" t="inlineStr">
        <is>
          <t>tipologias[5].dormitorios</t>
        </is>
      </c>
    </row>
    <row r="100">
      <c r="A100" s="5" t="inlineStr">
        <is>
          <t>Tipologia 5 — Vagas</t>
        </is>
      </c>
      <c r="B100" s="15" t="n"/>
      <c r="C100" s="7" t="inlineStr">
        <is>
          <t>inteiro</t>
        </is>
      </c>
      <c r="D100" s="8" t="inlineStr">
        <is>
          <t>tipologias[5].vagas</t>
        </is>
      </c>
    </row>
    <row r="101">
      <c r="A101" s="5" t="inlineStr">
        <is>
          <t>Tipologia 5 — Unidades</t>
        </is>
      </c>
      <c r="B101" s="15" t="n"/>
      <c r="C101" s="7" t="inlineStr">
        <is>
          <t>unidades (inteiro &gt; 0)</t>
        </is>
      </c>
      <c r="D101" s="8" t="inlineStr">
        <is>
          <t>tipologias[5].quantidade</t>
        </is>
      </c>
    </row>
    <row r="102">
      <c r="A102" s="5" t="inlineStr">
        <is>
          <t>Tipologia 5 — Preço/m² sugerido</t>
        </is>
      </c>
      <c r="B102" s="17" t="n"/>
      <c r="C102" s="7" t="inlineStr">
        <is>
          <t>R$/m² (preço padrão da alocação)</t>
        </is>
      </c>
      <c r="D102" s="8" t="inlineStr">
        <is>
          <t>tipologias[5].preco_m2</t>
        </is>
      </c>
    </row>
    <row r="103">
      <c r="A103" s="16" t="inlineStr">
        <is>
          <t>Tipologia 6</t>
        </is>
      </c>
    </row>
    <row r="104">
      <c r="A104" s="5" t="inlineStr">
        <is>
          <t>Tipologia 6 — Nome</t>
        </is>
      </c>
      <c r="B104" s="6" t="n"/>
      <c r="C104" s="7" t="inlineStr">
        <is>
          <t>texto (até 100)</t>
        </is>
      </c>
      <c r="D104" s="8" t="inlineStr">
        <is>
          <t>tipologias[6].nome</t>
        </is>
      </c>
    </row>
    <row r="105">
      <c r="A105" s="5" t="inlineStr">
        <is>
          <t>Tipologia 6 — Tipo</t>
        </is>
      </c>
      <c r="B105" s="6" t="n"/>
      <c r="C105" s="7" t="inlineStr">
        <is>
          <t>lista: apartamento | cobertura | loja | outro</t>
        </is>
      </c>
      <c r="D105" s="8" t="inlineStr">
        <is>
          <t>tipologias[6].tipo_unidade</t>
        </is>
      </c>
    </row>
    <row r="106">
      <c r="A106" s="5" t="inlineStr">
        <is>
          <t>Tipologia 6 — Área privativa (fechada)</t>
        </is>
      </c>
      <c r="B106" s="10" t="n"/>
      <c r="C106" s="7" t="inlineStr">
        <is>
          <t>m²</t>
        </is>
      </c>
      <c r="D106" s="8" t="inlineStr">
        <is>
          <t>tipologias[6].area_privativa_m2</t>
        </is>
      </c>
    </row>
    <row r="107">
      <c r="A107" s="5" t="inlineStr">
        <is>
          <t>Tipologia 6 — Área aberta</t>
        </is>
      </c>
      <c r="B107" s="10" t="n"/>
      <c r="C107" s="7" t="inlineStr">
        <is>
          <t>m² (entra no VGV)</t>
        </is>
      </c>
      <c r="D107" s="8" t="inlineStr">
        <is>
          <t>tipologias[6].area_privativa_aberta_m2</t>
        </is>
      </c>
    </row>
    <row r="108">
      <c r="A108" s="5" t="inlineStr">
        <is>
          <t>Tipologia 6 — Dormitórios</t>
        </is>
      </c>
      <c r="B108" s="15" t="n"/>
      <c r="C108" s="7" t="inlineStr">
        <is>
          <t>inteiro</t>
        </is>
      </c>
      <c r="D108" s="8" t="inlineStr">
        <is>
          <t>tipologias[6].dormitorios</t>
        </is>
      </c>
    </row>
    <row r="109">
      <c r="A109" s="5" t="inlineStr">
        <is>
          <t>Tipologia 6 — Vagas</t>
        </is>
      </c>
      <c r="B109" s="15" t="n"/>
      <c r="C109" s="7" t="inlineStr">
        <is>
          <t>inteiro</t>
        </is>
      </c>
      <c r="D109" s="8" t="inlineStr">
        <is>
          <t>tipologias[6].vagas</t>
        </is>
      </c>
    </row>
    <row r="110">
      <c r="A110" s="5" t="inlineStr">
        <is>
          <t>Tipologia 6 — Unidades</t>
        </is>
      </c>
      <c r="B110" s="15" t="n"/>
      <c r="C110" s="7" t="inlineStr">
        <is>
          <t>unidades (inteiro &gt; 0)</t>
        </is>
      </c>
      <c r="D110" s="8" t="inlineStr">
        <is>
          <t>tipologias[6].quantidade</t>
        </is>
      </c>
    </row>
    <row r="111">
      <c r="A111" s="5" t="inlineStr">
        <is>
          <t>Tipologia 6 — Preço/m² sugerido</t>
        </is>
      </c>
      <c r="B111" s="17" t="n"/>
      <c r="C111" s="7" t="inlineStr">
        <is>
          <t>R$/m² (preço padrão da alocação)</t>
        </is>
      </c>
      <c r="D111" s="8" t="inlineStr">
        <is>
          <t>tipologias[6].preco_m2</t>
        </is>
      </c>
    </row>
    <row r="112">
      <c r="A112" s="16" t="inlineStr">
        <is>
          <t>Tipologia 7</t>
        </is>
      </c>
    </row>
    <row r="113">
      <c r="A113" s="5" t="inlineStr">
        <is>
          <t>Tipologia 7 — Nome</t>
        </is>
      </c>
      <c r="B113" s="6" t="n"/>
      <c r="C113" s="7" t="inlineStr">
        <is>
          <t>texto (até 100)</t>
        </is>
      </c>
      <c r="D113" s="8" t="inlineStr">
        <is>
          <t>tipologias[7].nome</t>
        </is>
      </c>
    </row>
    <row r="114">
      <c r="A114" s="5" t="inlineStr">
        <is>
          <t>Tipologia 7 — Tipo</t>
        </is>
      </c>
      <c r="B114" s="6" t="n"/>
      <c r="C114" s="7" t="inlineStr">
        <is>
          <t>lista: apartamento | cobertura | loja | outro</t>
        </is>
      </c>
      <c r="D114" s="8" t="inlineStr">
        <is>
          <t>tipologias[7].tipo_unidade</t>
        </is>
      </c>
    </row>
    <row r="115">
      <c r="A115" s="5" t="inlineStr">
        <is>
          <t>Tipologia 7 — Área privativa (fechada)</t>
        </is>
      </c>
      <c r="B115" s="10" t="n"/>
      <c r="C115" s="7" t="inlineStr">
        <is>
          <t>m²</t>
        </is>
      </c>
      <c r="D115" s="8" t="inlineStr">
        <is>
          <t>tipologias[7].area_privativa_m2</t>
        </is>
      </c>
    </row>
    <row r="116">
      <c r="A116" s="5" t="inlineStr">
        <is>
          <t>Tipologia 7 — Área aberta</t>
        </is>
      </c>
      <c r="B116" s="10" t="n"/>
      <c r="C116" s="7" t="inlineStr">
        <is>
          <t>m² (entra no VGV)</t>
        </is>
      </c>
      <c r="D116" s="8" t="inlineStr">
        <is>
          <t>tipologias[7].area_privativa_aberta_m2</t>
        </is>
      </c>
    </row>
    <row r="117">
      <c r="A117" s="5" t="inlineStr">
        <is>
          <t>Tipologia 7 — Dormitórios</t>
        </is>
      </c>
      <c r="B117" s="15" t="n"/>
      <c r="C117" s="7" t="inlineStr">
        <is>
          <t>inteiro</t>
        </is>
      </c>
      <c r="D117" s="8" t="inlineStr">
        <is>
          <t>tipologias[7].dormitorios</t>
        </is>
      </c>
    </row>
    <row r="118">
      <c r="A118" s="5" t="inlineStr">
        <is>
          <t>Tipologia 7 — Vagas</t>
        </is>
      </c>
      <c r="B118" s="15" t="n"/>
      <c r="C118" s="7" t="inlineStr">
        <is>
          <t>inteiro</t>
        </is>
      </c>
      <c r="D118" s="8" t="inlineStr">
        <is>
          <t>tipologias[7].vagas</t>
        </is>
      </c>
    </row>
    <row r="119">
      <c r="A119" s="5" t="inlineStr">
        <is>
          <t>Tipologia 7 — Unidades</t>
        </is>
      </c>
      <c r="B119" s="15" t="n"/>
      <c r="C119" s="7" t="inlineStr">
        <is>
          <t>unidades (inteiro &gt; 0)</t>
        </is>
      </c>
      <c r="D119" s="8" t="inlineStr">
        <is>
          <t>tipologias[7].quantidade</t>
        </is>
      </c>
    </row>
    <row r="120">
      <c r="A120" s="5" t="inlineStr">
        <is>
          <t>Tipologia 7 — Preço/m² sugerido</t>
        </is>
      </c>
      <c r="B120" s="17" t="n"/>
      <c r="C120" s="7" t="inlineStr">
        <is>
          <t>R$/m² (preço padrão da alocação)</t>
        </is>
      </c>
      <c r="D120" s="8" t="inlineStr">
        <is>
          <t>tipologias[7].preco_m2</t>
        </is>
      </c>
    </row>
    <row r="121">
      <c r="A121" s="16" t="inlineStr">
        <is>
          <t>Tipologia 8</t>
        </is>
      </c>
    </row>
    <row r="122">
      <c r="A122" s="5" t="inlineStr">
        <is>
          <t>Tipologia 8 — Nome</t>
        </is>
      </c>
      <c r="B122" s="6" t="n"/>
      <c r="C122" s="7" t="inlineStr">
        <is>
          <t>texto (até 100)</t>
        </is>
      </c>
      <c r="D122" s="8" t="inlineStr">
        <is>
          <t>tipologias[8].nome</t>
        </is>
      </c>
    </row>
    <row r="123">
      <c r="A123" s="5" t="inlineStr">
        <is>
          <t>Tipologia 8 — Tipo</t>
        </is>
      </c>
      <c r="B123" s="6" t="n"/>
      <c r="C123" s="7" t="inlineStr">
        <is>
          <t>lista: apartamento | cobertura | loja | outro</t>
        </is>
      </c>
      <c r="D123" s="8" t="inlineStr">
        <is>
          <t>tipologias[8].tipo_unidade</t>
        </is>
      </c>
    </row>
    <row r="124">
      <c r="A124" s="5" t="inlineStr">
        <is>
          <t>Tipologia 8 — Área privativa (fechada)</t>
        </is>
      </c>
      <c r="B124" s="10" t="n"/>
      <c r="C124" s="7" t="inlineStr">
        <is>
          <t>m²</t>
        </is>
      </c>
      <c r="D124" s="8" t="inlineStr">
        <is>
          <t>tipologias[8].area_privativa_m2</t>
        </is>
      </c>
    </row>
    <row r="125">
      <c r="A125" s="5" t="inlineStr">
        <is>
          <t>Tipologia 8 — Área aberta</t>
        </is>
      </c>
      <c r="B125" s="10" t="n"/>
      <c r="C125" s="7" t="inlineStr">
        <is>
          <t>m² (entra no VGV)</t>
        </is>
      </c>
      <c r="D125" s="8" t="inlineStr">
        <is>
          <t>tipologias[8].area_privativa_aberta_m2</t>
        </is>
      </c>
    </row>
    <row r="126">
      <c r="A126" s="5" t="inlineStr">
        <is>
          <t>Tipologia 8 — Dormitórios</t>
        </is>
      </c>
      <c r="B126" s="15" t="n"/>
      <c r="C126" s="7" t="inlineStr">
        <is>
          <t>inteiro</t>
        </is>
      </c>
      <c r="D126" s="8" t="inlineStr">
        <is>
          <t>tipologias[8].dormitorios</t>
        </is>
      </c>
    </row>
    <row r="127">
      <c r="A127" s="5" t="inlineStr">
        <is>
          <t>Tipologia 8 — Vagas</t>
        </is>
      </c>
      <c r="B127" s="15" t="n"/>
      <c r="C127" s="7" t="inlineStr">
        <is>
          <t>inteiro</t>
        </is>
      </c>
      <c r="D127" s="8" t="inlineStr">
        <is>
          <t>tipologias[8].vagas</t>
        </is>
      </c>
    </row>
    <row r="128">
      <c r="A128" s="5" t="inlineStr">
        <is>
          <t>Tipologia 8 — Unidades</t>
        </is>
      </c>
      <c r="B128" s="15" t="n"/>
      <c r="C128" s="7" t="inlineStr">
        <is>
          <t>unidades (inteiro &gt; 0)</t>
        </is>
      </c>
      <c r="D128" s="8" t="inlineStr">
        <is>
          <t>tipologias[8].quantidade</t>
        </is>
      </c>
    </row>
    <row r="129">
      <c r="A129" s="5" t="inlineStr">
        <is>
          <t>Tipologia 8 — Preço/m² sugerido</t>
        </is>
      </c>
      <c r="B129" s="17" t="n"/>
      <c r="C129" s="7" t="inlineStr">
        <is>
          <t>R$/m² (preço padrão da alocação)</t>
        </is>
      </c>
      <c r="D129" s="8" t="inlineStr">
        <is>
          <t>tipologias[8].preco_m2</t>
        </is>
      </c>
    </row>
    <row r="130">
      <c r="A130" s="16" t="inlineStr">
        <is>
          <t>Tipologia 9</t>
        </is>
      </c>
    </row>
    <row r="131">
      <c r="A131" s="5" t="inlineStr">
        <is>
          <t>Tipologia 9 — Nome</t>
        </is>
      </c>
      <c r="B131" s="6" t="n"/>
      <c r="C131" s="7" t="inlineStr">
        <is>
          <t>texto (até 100)</t>
        </is>
      </c>
      <c r="D131" s="8" t="inlineStr">
        <is>
          <t>tipologias[9].nome</t>
        </is>
      </c>
    </row>
    <row r="132">
      <c r="A132" s="5" t="inlineStr">
        <is>
          <t>Tipologia 9 — Tipo</t>
        </is>
      </c>
      <c r="B132" s="6" t="n"/>
      <c r="C132" s="7" t="inlineStr">
        <is>
          <t>lista: apartamento | cobertura | loja | outro</t>
        </is>
      </c>
      <c r="D132" s="8" t="inlineStr">
        <is>
          <t>tipologias[9].tipo_unidade</t>
        </is>
      </c>
    </row>
    <row r="133">
      <c r="A133" s="5" t="inlineStr">
        <is>
          <t>Tipologia 9 — Área privativa (fechada)</t>
        </is>
      </c>
      <c r="B133" s="10" t="n"/>
      <c r="C133" s="7" t="inlineStr">
        <is>
          <t>m²</t>
        </is>
      </c>
      <c r="D133" s="8" t="inlineStr">
        <is>
          <t>tipologias[9].area_privativa_m2</t>
        </is>
      </c>
    </row>
    <row r="134">
      <c r="A134" s="5" t="inlineStr">
        <is>
          <t>Tipologia 9 — Área aberta</t>
        </is>
      </c>
      <c r="B134" s="10" t="n"/>
      <c r="C134" s="7" t="inlineStr">
        <is>
          <t>m² (entra no VGV)</t>
        </is>
      </c>
      <c r="D134" s="8" t="inlineStr">
        <is>
          <t>tipologias[9].area_privativa_aberta_m2</t>
        </is>
      </c>
    </row>
    <row r="135">
      <c r="A135" s="5" t="inlineStr">
        <is>
          <t>Tipologia 9 — Dormitórios</t>
        </is>
      </c>
      <c r="B135" s="15" t="n"/>
      <c r="C135" s="7" t="inlineStr">
        <is>
          <t>inteiro</t>
        </is>
      </c>
      <c r="D135" s="8" t="inlineStr">
        <is>
          <t>tipologias[9].dormitorios</t>
        </is>
      </c>
    </row>
    <row r="136">
      <c r="A136" s="5" t="inlineStr">
        <is>
          <t>Tipologia 9 — Vagas</t>
        </is>
      </c>
      <c r="B136" s="15" t="n"/>
      <c r="C136" s="7" t="inlineStr">
        <is>
          <t>inteiro</t>
        </is>
      </c>
      <c r="D136" s="8" t="inlineStr">
        <is>
          <t>tipologias[9].vagas</t>
        </is>
      </c>
    </row>
    <row r="137">
      <c r="A137" s="5" t="inlineStr">
        <is>
          <t>Tipologia 9 — Unidades</t>
        </is>
      </c>
      <c r="B137" s="15" t="n"/>
      <c r="C137" s="7" t="inlineStr">
        <is>
          <t>unidades (inteiro &gt; 0)</t>
        </is>
      </c>
      <c r="D137" s="8" t="inlineStr">
        <is>
          <t>tipologias[9].quantidade</t>
        </is>
      </c>
    </row>
    <row r="138">
      <c r="A138" s="5" t="inlineStr">
        <is>
          <t>Tipologia 9 — Preço/m² sugerido</t>
        </is>
      </c>
      <c r="B138" s="17" t="n"/>
      <c r="C138" s="7" t="inlineStr">
        <is>
          <t>R$/m² (preço padrão da alocação)</t>
        </is>
      </c>
      <c r="D138" s="8" t="inlineStr">
        <is>
          <t>tipologias[9].preco_m2</t>
        </is>
      </c>
    </row>
    <row r="139">
      <c r="A139" s="16" t="inlineStr">
        <is>
          <t>Tipologia 10</t>
        </is>
      </c>
    </row>
    <row r="140">
      <c r="A140" s="5" t="inlineStr">
        <is>
          <t>Tipologia 10 — Nome</t>
        </is>
      </c>
      <c r="B140" s="6" t="n"/>
      <c r="C140" s="7" t="inlineStr">
        <is>
          <t>texto (até 100)</t>
        </is>
      </c>
      <c r="D140" s="8" t="inlineStr">
        <is>
          <t>tipologias[10].nome</t>
        </is>
      </c>
    </row>
    <row r="141">
      <c r="A141" s="5" t="inlineStr">
        <is>
          <t>Tipologia 10 — Tipo</t>
        </is>
      </c>
      <c r="B141" s="6" t="n"/>
      <c r="C141" s="7" t="inlineStr">
        <is>
          <t>lista: apartamento | cobertura | loja | outro</t>
        </is>
      </c>
      <c r="D141" s="8" t="inlineStr">
        <is>
          <t>tipologias[10].tipo_unidade</t>
        </is>
      </c>
    </row>
    <row r="142">
      <c r="A142" s="5" t="inlineStr">
        <is>
          <t>Tipologia 10 — Área privativa (fechada)</t>
        </is>
      </c>
      <c r="B142" s="10" t="n"/>
      <c r="C142" s="7" t="inlineStr">
        <is>
          <t>m²</t>
        </is>
      </c>
      <c r="D142" s="8" t="inlineStr">
        <is>
          <t>tipologias[10].area_privativa_m2</t>
        </is>
      </c>
    </row>
    <row r="143">
      <c r="A143" s="5" t="inlineStr">
        <is>
          <t>Tipologia 10 — Área aberta</t>
        </is>
      </c>
      <c r="B143" s="10" t="n"/>
      <c r="C143" s="7" t="inlineStr">
        <is>
          <t>m² (entra no VGV)</t>
        </is>
      </c>
      <c r="D143" s="8" t="inlineStr">
        <is>
          <t>tipologias[10].area_privativa_aberta_m2</t>
        </is>
      </c>
    </row>
    <row r="144">
      <c r="A144" s="5" t="inlineStr">
        <is>
          <t>Tipologia 10 — Dormitórios</t>
        </is>
      </c>
      <c r="B144" s="15" t="n"/>
      <c r="C144" s="7" t="inlineStr">
        <is>
          <t>inteiro</t>
        </is>
      </c>
      <c r="D144" s="8" t="inlineStr">
        <is>
          <t>tipologias[10].dormitorios</t>
        </is>
      </c>
    </row>
    <row r="145">
      <c r="A145" s="5" t="inlineStr">
        <is>
          <t>Tipologia 10 — Vagas</t>
        </is>
      </c>
      <c r="B145" s="15" t="n"/>
      <c r="C145" s="7" t="inlineStr">
        <is>
          <t>inteiro</t>
        </is>
      </c>
      <c r="D145" s="8" t="inlineStr">
        <is>
          <t>tipologias[10].vagas</t>
        </is>
      </c>
    </row>
    <row r="146">
      <c r="A146" s="5" t="inlineStr">
        <is>
          <t>Tipologia 10 — Unidades</t>
        </is>
      </c>
      <c r="B146" s="15" t="n"/>
      <c r="C146" s="7" t="inlineStr">
        <is>
          <t>unidades (inteiro &gt; 0)</t>
        </is>
      </c>
      <c r="D146" s="8" t="inlineStr">
        <is>
          <t>tipologias[10].quantidade</t>
        </is>
      </c>
    </row>
    <row r="147">
      <c r="A147" s="5" t="inlineStr">
        <is>
          <t>Tipologia 10 — Preço/m² sugerido</t>
        </is>
      </c>
      <c r="B147" s="17" t="n"/>
      <c r="C147" s="7" t="inlineStr">
        <is>
          <t>R$/m² (preço padrão da alocação)</t>
        </is>
      </c>
      <c r="D147" s="8" t="inlineStr">
        <is>
          <t>tipologias[10].preco_m2</t>
        </is>
      </c>
    </row>
    <row r="148" ht="20" customHeight="1">
      <c r="A148" s="4" t="inlineStr">
        <is>
          <t>6 · Grupos de venda (Viabilidade › Receitas) — 5 vagas; absorção = % das unidades vendido em cada período</t>
        </is>
      </c>
    </row>
    <row r="149" ht="26" customHeight="1">
      <c r="A149" s="13" t="inlineStr">
        <is>
          <t>Pós-chaves = 100% − Pré − Lançamento − Obra e Repasse = 100% − Σ % do grupo na seção de Pagamento: ambos calculados (zona de referência). Sem pré-lançamento, deixe a absorção de pré em branco.</t>
        </is>
      </c>
    </row>
    <row r="150" ht="39" customHeight="1">
      <c r="A150" s="13" t="inlineStr">
        <is>
          <t>Saldo de chaves = o Repasse acima. "Repasse bancário" é a parte dele paga pelo banco no mês seguinte ao fim da obra (vazio = 100%, tudo no banco). O resto vira carteira própria: a empresa financia o comprador em N parcelas mensais Price com os Juros de tabela, a partir do mês seguinte ao fim da obra + a carência. Loteamento sem banco: 0%.</t>
        </is>
      </c>
    </row>
    <row r="151">
      <c r="A151" s="16" t="inlineStr">
        <is>
          <t>Grupo de venda 1</t>
        </is>
      </c>
    </row>
    <row r="152">
      <c r="A152" s="5" t="inlineStr">
        <is>
          <t>Grupo 1 — Nome</t>
        </is>
      </c>
      <c r="B152" s="6" t="n"/>
      <c r="C152" s="7" t="inlineStr">
        <is>
          <t>texto</t>
        </is>
      </c>
      <c r="D152" s="8" t="inlineStr">
        <is>
          <t>grupos[1].nome</t>
        </is>
      </c>
    </row>
    <row r="153">
      <c r="A153" s="5" t="inlineStr">
        <is>
          <t>Grupo 1 — Absorção no Pré-lançamento (só com pré)</t>
        </is>
      </c>
      <c r="B153" s="12" t="n"/>
      <c r="C153" s="7" t="inlineStr">
        <is>
          <t>% das unidades</t>
        </is>
      </c>
      <c r="D153" s="8" t="inlineStr">
        <is>
          <t>grupos[1].pre_lancamento_pct</t>
        </is>
      </c>
    </row>
    <row r="154">
      <c r="A154" s="5" t="inlineStr">
        <is>
          <t>Grupo 1 — Absorção no Lançamento</t>
        </is>
      </c>
      <c r="B154" s="12" t="n"/>
      <c r="C154" s="7" t="inlineStr">
        <is>
          <t>% das unidades</t>
        </is>
      </c>
      <c r="D154" s="8" t="inlineStr">
        <is>
          <t>grupos[1].lancamento_pct</t>
        </is>
      </c>
    </row>
    <row r="155">
      <c r="A155" s="5" t="inlineStr">
        <is>
          <t>Grupo 1 — Absorção Durante a obra</t>
        </is>
      </c>
      <c r="B155" s="12" t="n"/>
      <c r="C155" s="7" t="inlineStr">
        <is>
          <t>% das unidades</t>
        </is>
      </c>
      <c r="D155" s="8" t="inlineStr">
        <is>
          <t>grupos[1].obra_pct</t>
        </is>
      </c>
    </row>
    <row r="156">
      <c r="A156" s="5" t="inlineStr">
        <is>
          <t>Grupo 1 — Janela pós-chaves</t>
        </is>
      </c>
      <c r="B156" s="15" t="n"/>
      <c r="C156" s="7" t="inlineStr">
        <is>
          <t>meses (1 a 12)</t>
        </is>
      </c>
      <c r="D156" s="8" t="inlineStr">
        <is>
          <t>grupos[1].pos_chaves_meses</t>
        </is>
      </c>
    </row>
    <row r="157">
      <c r="A157" s="5" t="inlineStr">
        <is>
          <t>Grupo 1 — Correção de estoque</t>
        </is>
      </c>
      <c r="B157" s="6" t="n"/>
      <c r="C157" s="7" t="inlineStr">
        <is>
          <t>Sim/Não</t>
        </is>
      </c>
      <c r="D157" s="8" t="inlineStr">
        <is>
          <t>grupos[1].correcao_estoque</t>
        </is>
      </c>
    </row>
    <row r="158">
      <c r="A158" s="5" t="inlineStr">
        <is>
          <t>Grupo 1 — Resíduo sem prazo</t>
        </is>
      </c>
      <c r="B158" s="6" t="n"/>
      <c r="C158" s="7" t="inlineStr">
        <is>
          <t>lista: imediato | concentrado</t>
        </is>
      </c>
      <c r="D158" s="8" t="inlineStr">
        <is>
          <t>grupos[1].residuo_sem_prazo</t>
        </is>
      </c>
    </row>
    <row r="159">
      <c r="A159" s="5" t="inlineStr">
        <is>
          <t>Grupo 1 — Repasse bancário</t>
        </is>
      </c>
      <c r="B159" s="12" t="n"/>
      <c r="C159" s="7" t="inlineStr">
        <is>
          <t>% do saldo de chaves (vazio = 100%)</t>
        </is>
      </c>
      <c r="D159" s="8" t="inlineStr">
        <is>
          <t>grupos[1].repasse_banco_pct</t>
        </is>
      </c>
    </row>
    <row r="160">
      <c r="A160" s="5" t="inlineStr">
        <is>
          <t>Grupo 1 — Carteira própria: nº de parcelas (só com repasse &lt; 100%)</t>
        </is>
      </c>
      <c r="B160" s="15" t="n"/>
      <c r="C160" s="7" t="inlineStr">
        <is>
          <t>inteiro (≥ 1)</t>
        </is>
      </c>
      <c r="D160" s="8" t="inlineStr">
        <is>
          <t>grupos[1].carteira_parcelas</t>
        </is>
      </c>
    </row>
    <row r="161">
      <c r="A161" s="5" t="inlineStr">
        <is>
          <t>Grupo 1 — Carteira própria: carência após a entrega</t>
        </is>
      </c>
      <c r="B161" s="15" t="n"/>
      <c r="C161" s="7" t="inlineStr">
        <is>
          <t>meses (inteiro ≥ 0; vazio = 0)</t>
        </is>
      </c>
      <c r="D161" s="8" t="inlineStr">
        <is>
          <t>grupos[1].carteira_carencia_meses</t>
        </is>
      </c>
    </row>
    <row r="162">
      <c r="A162" s="16" t="inlineStr">
        <is>
          <t>Grupo de venda 2</t>
        </is>
      </c>
    </row>
    <row r="163">
      <c r="A163" s="5" t="inlineStr">
        <is>
          <t>Grupo 2 — Nome</t>
        </is>
      </c>
      <c r="B163" s="6" t="n"/>
      <c r="C163" s="7" t="inlineStr">
        <is>
          <t>texto</t>
        </is>
      </c>
      <c r="D163" s="8" t="inlineStr">
        <is>
          <t>grupos[2].nome</t>
        </is>
      </c>
    </row>
    <row r="164">
      <c r="A164" s="5" t="inlineStr">
        <is>
          <t>Grupo 2 — Absorção no Pré-lançamento (só com pré)</t>
        </is>
      </c>
      <c r="B164" s="12" t="n"/>
      <c r="C164" s="7" t="inlineStr">
        <is>
          <t>% das unidades</t>
        </is>
      </c>
      <c r="D164" s="8" t="inlineStr">
        <is>
          <t>grupos[2].pre_lancamento_pct</t>
        </is>
      </c>
    </row>
    <row r="165">
      <c r="A165" s="5" t="inlineStr">
        <is>
          <t>Grupo 2 — Absorção no Lançamento</t>
        </is>
      </c>
      <c r="B165" s="12" t="n"/>
      <c r="C165" s="7" t="inlineStr">
        <is>
          <t>% das unidades</t>
        </is>
      </c>
      <c r="D165" s="8" t="inlineStr">
        <is>
          <t>grupos[2].lancamento_pct</t>
        </is>
      </c>
    </row>
    <row r="166">
      <c r="A166" s="5" t="inlineStr">
        <is>
          <t>Grupo 2 — Absorção Durante a obra</t>
        </is>
      </c>
      <c r="B166" s="12" t="n"/>
      <c r="C166" s="7" t="inlineStr">
        <is>
          <t>% das unidades</t>
        </is>
      </c>
      <c r="D166" s="8" t="inlineStr">
        <is>
          <t>grupos[2].obra_pct</t>
        </is>
      </c>
    </row>
    <row r="167">
      <c r="A167" s="5" t="inlineStr">
        <is>
          <t>Grupo 2 — Janela pós-chaves</t>
        </is>
      </c>
      <c r="B167" s="15" t="n"/>
      <c r="C167" s="7" t="inlineStr">
        <is>
          <t>meses (1 a 12)</t>
        </is>
      </c>
      <c r="D167" s="8" t="inlineStr">
        <is>
          <t>grupos[2].pos_chaves_meses</t>
        </is>
      </c>
    </row>
    <row r="168">
      <c r="A168" s="5" t="inlineStr">
        <is>
          <t>Grupo 2 — Correção de estoque</t>
        </is>
      </c>
      <c r="B168" s="6" t="n"/>
      <c r="C168" s="7" t="inlineStr">
        <is>
          <t>Sim/Não</t>
        </is>
      </c>
      <c r="D168" s="8" t="inlineStr">
        <is>
          <t>grupos[2].correcao_estoque</t>
        </is>
      </c>
    </row>
    <row r="169">
      <c r="A169" s="5" t="inlineStr">
        <is>
          <t>Grupo 2 — Resíduo sem prazo</t>
        </is>
      </c>
      <c r="B169" s="6" t="n"/>
      <c r="C169" s="7" t="inlineStr">
        <is>
          <t>lista: imediato | concentrado</t>
        </is>
      </c>
      <c r="D169" s="8" t="inlineStr">
        <is>
          <t>grupos[2].residuo_sem_prazo</t>
        </is>
      </c>
    </row>
    <row r="170">
      <c r="A170" s="5" t="inlineStr">
        <is>
          <t>Grupo 2 — Repasse bancário</t>
        </is>
      </c>
      <c r="B170" s="12" t="n"/>
      <c r="C170" s="7" t="inlineStr">
        <is>
          <t>% do saldo de chaves (vazio = 100%)</t>
        </is>
      </c>
      <c r="D170" s="8" t="inlineStr">
        <is>
          <t>grupos[2].repasse_banco_pct</t>
        </is>
      </c>
    </row>
    <row r="171">
      <c r="A171" s="5" t="inlineStr">
        <is>
          <t>Grupo 2 — Carteira própria: nº de parcelas (só com repasse &lt; 100%)</t>
        </is>
      </c>
      <c r="B171" s="15" t="n"/>
      <c r="C171" s="7" t="inlineStr">
        <is>
          <t>inteiro (≥ 1)</t>
        </is>
      </c>
      <c r="D171" s="8" t="inlineStr">
        <is>
          <t>grupos[2].carteira_parcelas</t>
        </is>
      </c>
    </row>
    <row r="172">
      <c r="A172" s="5" t="inlineStr">
        <is>
          <t>Grupo 2 — Carteira própria: carência após a entrega</t>
        </is>
      </c>
      <c r="B172" s="15" t="n"/>
      <c r="C172" s="7" t="inlineStr">
        <is>
          <t>meses (inteiro ≥ 0; vazio = 0)</t>
        </is>
      </c>
      <c r="D172" s="8" t="inlineStr">
        <is>
          <t>grupos[2].carteira_carencia_meses</t>
        </is>
      </c>
    </row>
    <row r="173">
      <c r="A173" s="16" t="inlineStr">
        <is>
          <t>Grupo de venda 3</t>
        </is>
      </c>
    </row>
    <row r="174">
      <c r="A174" s="5" t="inlineStr">
        <is>
          <t>Grupo 3 — Nome</t>
        </is>
      </c>
      <c r="B174" s="6" t="n"/>
      <c r="C174" s="7" t="inlineStr">
        <is>
          <t>texto</t>
        </is>
      </c>
      <c r="D174" s="8" t="inlineStr">
        <is>
          <t>grupos[3].nome</t>
        </is>
      </c>
    </row>
    <row r="175">
      <c r="A175" s="5" t="inlineStr">
        <is>
          <t>Grupo 3 — Absorção no Pré-lançamento (só com pré)</t>
        </is>
      </c>
      <c r="B175" s="12" t="n"/>
      <c r="C175" s="7" t="inlineStr">
        <is>
          <t>% das unidades</t>
        </is>
      </c>
      <c r="D175" s="8" t="inlineStr">
        <is>
          <t>grupos[3].pre_lancamento_pct</t>
        </is>
      </c>
    </row>
    <row r="176">
      <c r="A176" s="5" t="inlineStr">
        <is>
          <t>Grupo 3 — Absorção no Lançamento</t>
        </is>
      </c>
      <c r="B176" s="12" t="n"/>
      <c r="C176" s="7" t="inlineStr">
        <is>
          <t>% das unidades</t>
        </is>
      </c>
      <c r="D176" s="8" t="inlineStr">
        <is>
          <t>grupos[3].lancamento_pct</t>
        </is>
      </c>
    </row>
    <row r="177">
      <c r="A177" s="5" t="inlineStr">
        <is>
          <t>Grupo 3 — Absorção Durante a obra</t>
        </is>
      </c>
      <c r="B177" s="12" t="n"/>
      <c r="C177" s="7" t="inlineStr">
        <is>
          <t>% das unidades</t>
        </is>
      </c>
      <c r="D177" s="8" t="inlineStr">
        <is>
          <t>grupos[3].obra_pct</t>
        </is>
      </c>
    </row>
    <row r="178">
      <c r="A178" s="5" t="inlineStr">
        <is>
          <t>Grupo 3 — Janela pós-chaves</t>
        </is>
      </c>
      <c r="B178" s="15" t="n"/>
      <c r="C178" s="7" t="inlineStr">
        <is>
          <t>meses (1 a 12)</t>
        </is>
      </c>
      <c r="D178" s="8" t="inlineStr">
        <is>
          <t>grupos[3].pos_chaves_meses</t>
        </is>
      </c>
    </row>
    <row r="179">
      <c r="A179" s="5" t="inlineStr">
        <is>
          <t>Grupo 3 — Correção de estoque</t>
        </is>
      </c>
      <c r="B179" s="6" t="n"/>
      <c r="C179" s="7" t="inlineStr">
        <is>
          <t>Sim/Não</t>
        </is>
      </c>
      <c r="D179" s="8" t="inlineStr">
        <is>
          <t>grupos[3].correcao_estoque</t>
        </is>
      </c>
    </row>
    <row r="180">
      <c r="A180" s="5" t="inlineStr">
        <is>
          <t>Grupo 3 — Resíduo sem prazo</t>
        </is>
      </c>
      <c r="B180" s="6" t="n"/>
      <c r="C180" s="7" t="inlineStr">
        <is>
          <t>lista: imediato | concentrado</t>
        </is>
      </c>
      <c r="D180" s="8" t="inlineStr">
        <is>
          <t>grupos[3].residuo_sem_prazo</t>
        </is>
      </c>
    </row>
    <row r="181">
      <c r="A181" s="5" t="inlineStr">
        <is>
          <t>Grupo 3 — Repasse bancário</t>
        </is>
      </c>
      <c r="B181" s="12" t="n"/>
      <c r="C181" s="7" t="inlineStr">
        <is>
          <t>% do saldo de chaves (vazio = 100%)</t>
        </is>
      </c>
      <c r="D181" s="8" t="inlineStr">
        <is>
          <t>grupos[3].repasse_banco_pct</t>
        </is>
      </c>
    </row>
    <row r="182">
      <c r="A182" s="5" t="inlineStr">
        <is>
          <t>Grupo 3 — Carteira própria: nº de parcelas (só com repasse &lt; 100%)</t>
        </is>
      </c>
      <c r="B182" s="15" t="n"/>
      <c r="C182" s="7" t="inlineStr">
        <is>
          <t>inteiro (≥ 1)</t>
        </is>
      </c>
      <c r="D182" s="8" t="inlineStr">
        <is>
          <t>grupos[3].carteira_parcelas</t>
        </is>
      </c>
    </row>
    <row r="183">
      <c r="A183" s="5" t="inlineStr">
        <is>
          <t>Grupo 3 — Carteira própria: carência após a entrega</t>
        </is>
      </c>
      <c r="B183" s="15" t="n"/>
      <c r="C183" s="7" t="inlineStr">
        <is>
          <t>meses (inteiro ≥ 0; vazio = 0)</t>
        </is>
      </c>
      <c r="D183" s="8" t="inlineStr">
        <is>
          <t>grupos[3].carteira_carencia_meses</t>
        </is>
      </c>
    </row>
    <row r="184">
      <c r="A184" s="16" t="inlineStr">
        <is>
          <t>Grupo de venda 4</t>
        </is>
      </c>
    </row>
    <row r="185">
      <c r="A185" s="5" t="inlineStr">
        <is>
          <t>Grupo 4 — Nome</t>
        </is>
      </c>
      <c r="B185" s="6" t="n"/>
      <c r="C185" s="7" t="inlineStr">
        <is>
          <t>texto</t>
        </is>
      </c>
      <c r="D185" s="8" t="inlineStr">
        <is>
          <t>grupos[4].nome</t>
        </is>
      </c>
    </row>
    <row r="186">
      <c r="A186" s="5" t="inlineStr">
        <is>
          <t>Grupo 4 — Absorção no Pré-lançamento (só com pré)</t>
        </is>
      </c>
      <c r="B186" s="12" t="n"/>
      <c r="C186" s="7" t="inlineStr">
        <is>
          <t>% das unidades</t>
        </is>
      </c>
      <c r="D186" s="8" t="inlineStr">
        <is>
          <t>grupos[4].pre_lancamento_pct</t>
        </is>
      </c>
    </row>
    <row r="187">
      <c r="A187" s="5" t="inlineStr">
        <is>
          <t>Grupo 4 — Absorção no Lançamento</t>
        </is>
      </c>
      <c r="B187" s="12" t="n"/>
      <c r="C187" s="7" t="inlineStr">
        <is>
          <t>% das unidades</t>
        </is>
      </c>
      <c r="D187" s="8" t="inlineStr">
        <is>
          <t>grupos[4].lancamento_pct</t>
        </is>
      </c>
    </row>
    <row r="188">
      <c r="A188" s="5" t="inlineStr">
        <is>
          <t>Grupo 4 — Absorção Durante a obra</t>
        </is>
      </c>
      <c r="B188" s="12" t="n"/>
      <c r="C188" s="7" t="inlineStr">
        <is>
          <t>% das unidades</t>
        </is>
      </c>
      <c r="D188" s="8" t="inlineStr">
        <is>
          <t>grupos[4].obra_pct</t>
        </is>
      </c>
    </row>
    <row r="189">
      <c r="A189" s="5" t="inlineStr">
        <is>
          <t>Grupo 4 — Janela pós-chaves</t>
        </is>
      </c>
      <c r="B189" s="15" t="n"/>
      <c r="C189" s="7" t="inlineStr">
        <is>
          <t>meses (1 a 12)</t>
        </is>
      </c>
      <c r="D189" s="8" t="inlineStr">
        <is>
          <t>grupos[4].pos_chaves_meses</t>
        </is>
      </c>
    </row>
    <row r="190">
      <c r="A190" s="5" t="inlineStr">
        <is>
          <t>Grupo 4 — Correção de estoque</t>
        </is>
      </c>
      <c r="B190" s="6" t="n"/>
      <c r="C190" s="7" t="inlineStr">
        <is>
          <t>Sim/Não</t>
        </is>
      </c>
      <c r="D190" s="8" t="inlineStr">
        <is>
          <t>grupos[4].correcao_estoque</t>
        </is>
      </c>
    </row>
    <row r="191">
      <c r="A191" s="5" t="inlineStr">
        <is>
          <t>Grupo 4 — Resíduo sem prazo</t>
        </is>
      </c>
      <c r="B191" s="6" t="n"/>
      <c r="C191" s="7" t="inlineStr">
        <is>
          <t>lista: imediato | concentrado</t>
        </is>
      </c>
      <c r="D191" s="8" t="inlineStr">
        <is>
          <t>grupos[4].residuo_sem_prazo</t>
        </is>
      </c>
    </row>
    <row r="192">
      <c r="A192" s="5" t="inlineStr">
        <is>
          <t>Grupo 4 — Repasse bancário</t>
        </is>
      </c>
      <c r="B192" s="12" t="n"/>
      <c r="C192" s="7" t="inlineStr">
        <is>
          <t>% do saldo de chaves (vazio = 100%)</t>
        </is>
      </c>
      <c r="D192" s="8" t="inlineStr">
        <is>
          <t>grupos[4].repasse_banco_pct</t>
        </is>
      </c>
    </row>
    <row r="193">
      <c r="A193" s="5" t="inlineStr">
        <is>
          <t>Grupo 4 — Carteira própria: nº de parcelas (só com repasse &lt; 100%)</t>
        </is>
      </c>
      <c r="B193" s="15" t="n"/>
      <c r="C193" s="7" t="inlineStr">
        <is>
          <t>inteiro (≥ 1)</t>
        </is>
      </c>
      <c r="D193" s="8" t="inlineStr">
        <is>
          <t>grupos[4].carteira_parcelas</t>
        </is>
      </c>
    </row>
    <row r="194">
      <c r="A194" s="5" t="inlineStr">
        <is>
          <t>Grupo 4 — Carteira própria: carência após a entrega</t>
        </is>
      </c>
      <c r="B194" s="15" t="n"/>
      <c r="C194" s="7" t="inlineStr">
        <is>
          <t>meses (inteiro ≥ 0; vazio = 0)</t>
        </is>
      </c>
      <c r="D194" s="8" t="inlineStr">
        <is>
          <t>grupos[4].carteira_carencia_meses</t>
        </is>
      </c>
    </row>
    <row r="195">
      <c r="A195" s="16" t="inlineStr">
        <is>
          <t>Grupo de venda 5</t>
        </is>
      </c>
    </row>
    <row r="196">
      <c r="A196" s="5" t="inlineStr">
        <is>
          <t>Grupo 5 — Nome</t>
        </is>
      </c>
      <c r="B196" s="6" t="n"/>
      <c r="C196" s="7" t="inlineStr">
        <is>
          <t>texto</t>
        </is>
      </c>
      <c r="D196" s="8" t="inlineStr">
        <is>
          <t>grupos[5].nome</t>
        </is>
      </c>
    </row>
    <row r="197">
      <c r="A197" s="5" t="inlineStr">
        <is>
          <t>Grupo 5 — Absorção no Pré-lançamento (só com pré)</t>
        </is>
      </c>
      <c r="B197" s="12" t="n"/>
      <c r="C197" s="7" t="inlineStr">
        <is>
          <t>% das unidades</t>
        </is>
      </c>
      <c r="D197" s="8" t="inlineStr">
        <is>
          <t>grupos[5].pre_lancamento_pct</t>
        </is>
      </c>
    </row>
    <row r="198">
      <c r="A198" s="5" t="inlineStr">
        <is>
          <t>Grupo 5 — Absorção no Lançamento</t>
        </is>
      </c>
      <c r="B198" s="12" t="n"/>
      <c r="C198" s="7" t="inlineStr">
        <is>
          <t>% das unidades</t>
        </is>
      </c>
      <c r="D198" s="8" t="inlineStr">
        <is>
          <t>grupos[5].lancamento_pct</t>
        </is>
      </c>
    </row>
    <row r="199">
      <c r="A199" s="5" t="inlineStr">
        <is>
          <t>Grupo 5 — Absorção Durante a obra</t>
        </is>
      </c>
      <c r="B199" s="12" t="n"/>
      <c r="C199" s="7" t="inlineStr">
        <is>
          <t>% das unidades</t>
        </is>
      </c>
      <c r="D199" s="8" t="inlineStr">
        <is>
          <t>grupos[5].obra_pct</t>
        </is>
      </c>
    </row>
    <row r="200">
      <c r="A200" s="5" t="inlineStr">
        <is>
          <t>Grupo 5 — Janela pós-chaves</t>
        </is>
      </c>
      <c r="B200" s="15" t="n"/>
      <c r="C200" s="7" t="inlineStr">
        <is>
          <t>meses (1 a 12)</t>
        </is>
      </c>
      <c r="D200" s="8" t="inlineStr">
        <is>
          <t>grupos[5].pos_chaves_meses</t>
        </is>
      </c>
    </row>
    <row r="201">
      <c r="A201" s="5" t="inlineStr">
        <is>
          <t>Grupo 5 — Correção de estoque</t>
        </is>
      </c>
      <c r="B201" s="6" t="n"/>
      <c r="C201" s="7" t="inlineStr">
        <is>
          <t>Sim/Não</t>
        </is>
      </c>
      <c r="D201" s="8" t="inlineStr">
        <is>
          <t>grupos[5].correcao_estoque</t>
        </is>
      </c>
    </row>
    <row r="202">
      <c r="A202" s="5" t="inlineStr">
        <is>
          <t>Grupo 5 — Resíduo sem prazo</t>
        </is>
      </c>
      <c r="B202" s="6" t="n"/>
      <c r="C202" s="7" t="inlineStr">
        <is>
          <t>lista: imediato | concentrado</t>
        </is>
      </c>
      <c r="D202" s="8" t="inlineStr">
        <is>
          <t>grupos[5].residuo_sem_prazo</t>
        </is>
      </c>
    </row>
    <row r="203">
      <c r="A203" s="5" t="inlineStr">
        <is>
          <t>Grupo 5 — Repasse bancário</t>
        </is>
      </c>
      <c r="B203" s="12" t="n"/>
      <c r="C203" s="7" t="inlineStr">
        <is>
          <t>% do saldo de chaves (vazio = 100%)</t>
        </is>
      </c>
      <c r="D203" s="8" t="inlineStr">
        <is>
          <t>grupos[5].repasse_banco_pct</t>
        </is>
      </c>
    </row>
    <row r="204">
      <c r="A204" s="5" t="inlineStr">
        <is>
          <t>Grupo 5 — Carteira própria: nº de parcelas (só com repasse &lt; 100%)</t>
        </is>
      </c>
      <c r="B204" s="15" t="n"/>
      <c r="C204" s="7" t="inlineStr">
        <is>
          <t>inteiro (≥ 1)</t>
        </is>
      </c>
      <c r="D204" s="8" t="inlineStr">
        <is>
          <t>grupos[5].carteira_parcelas</t>
        </is>
      </c>
    </row>
    <row r="205">
      <c r="A205" s="5" t="inlineStr">
        <is>
          <t>Grupo 5 — Carteira própria: carência após a entrega</t>
        </is>
      </c>
      <c r="B205" s="15" t="n"/>
      <c r="C205" s="7" t="inlineStr">
        <is>
          <t>meses (inteiro ≥ 0; vazio = 0)</t>
        </is>
      </c>
      <c r="D205" s="8" t="inlineStr">
        <is>
          <t>grupos[5].carteira_carencia_meses</t>
        </is>
      </c>
    </row>
    <row r="206" ht="20" customHeight="1">
      <c r="A206" s="4" t="inlineStr">
        <is>
          <t>7 · Fluxo de pagamento por grupo — 10 vagas (uma linha por condição; até 4 de Parcelamento por grupo)</t>
        </is>
      </c>
    </row>
    <row r="207" ht="26" customHeight="1">
      <c r="A207" s="13" t="inlineStr">
        <is>
          <t>Os juros vêm do campo "Juros de tabela". Nome do grupo exatamente como na seção 6. Σ % do grupo ≤ 100%; o que sobrar é o saldo de chaves (banco × carteira própria: seção 6).</t>
        </is>
      </c>
    </row>
    <row r="208">
      <c r="A208" s="16" t="inlineStr">
        <is>
          <t>Condição de pagamento 1</t>
        </is>
      </c>
    </row>
    <row r="209">
      <c r="A209" s="5" t="inlineStr">
        <is>
          <t>Condição 1 — Grupo</t>
        </is>
      </c>
      <c r="B209" s="6" t="n"/>
      <c r="C209" s="7" t="inlineStr">
        <is>
          <t>nome do grupo (seção 6)</t>
        </is>
      </c>
      <c r="D209" s="8" t="inlineStr">
        <is>
          <t>pagamento[1].grupo</t>
        </is>
      </c>
    </row>
    <row r="210">
      <c r="A210" s="5" t="inlineStr">
        <is>
          <t>Condição 1 — Linha</t>
        </is>
      </c>
      <c r="B210" s="6" t="n"/>
      <c r="C210" s="7" t="inlineStr">
        <is>
          <t>lista: Entrada | Parcelamento</t>
        </is>
      </c>
      <c r="D210" s="8" t="inlineStr">
        <is>
          <t>pagamento[1].linha</t>
        </is>
      </c>
    </row>
    <row r="211">
      <c r="A211" s="5" t="inlineStr">
        <is>
          <t>Condição 1 — % do total</t>
        </is>
      </c>
      <c r="B211" s="12" t="n"/>
      <c r="C211" s="7" t="inlineStr">
        <is>
          <t>% do preço</t>
        </is>
      </c>
      <c r="D211" s="8" t="inlineStr">
        <is>
          <t>pagamento[1].pct</t>
        </is>
      </c>
    </row>
    <row r="212">
      <c r="A212" s="5" t="inlineStr">
        <is>
          <t>Condição 1 — Nº de parcelas</t>
        </is>
      </c>
      <c r="B212" s="15" t="n"/>
      <c r="C212" s="7" t="inlineStr">
        <is>
          <t>inteiro (vazio se ao longo da obra)</t>
        </is>
      </c>
      <c r="D212" s="8" t="inlineStr">
        <is>
          <t>pagamento[1].parcelas</t>
        </is>
      </c>
    </row>
    <row r="213">
      <c r="A213" s="5" t="inlineStr">
        <is>
          <t>Condição 1 — Desconto (só Entrada)</t>
        </is>
      </c>
      <c r="B213" s="12" t="n"/>
      <c r="C213" s="7" t="inlineStr">
        <is>
          <t>% sobre a entrada</t>
        </is>
      </c>
      <c r="D213" s="8" t="inlineStr">
        <is>
          <t>pagamento[1].desconto_pct</t>
        </is>
      </c>
    </row>
    <row r="214">
      <c r="A214" s="5" t="inlineStr">
        <is>
          <t>Condição 1 — Sinal (só Parcelamento)</t>
        </is>
      </c>
      <c r="B214" s="12" t="n"/>
      <c r="C214" s="7" t="inlineStr">
        <is>
          <t>% do parcelamento</t>
        </is>
      </c>
      <c r="D214" s="8" t="inlineStr">
        <is>
          <t>pagamento[1].sinal_pct</t>
        </is>
      </c>
    </row>
    <row r="215">
      <c r="A215" s="5" t="inlineStr">
        <is>
          <t>Condição 1 — Ao longo da obra (só Parcelamento)</t>
        </is>
      </c>
      <c r="B215" s="6" t="n"/>
      <c r="C215" s="7" t="inlineStr">
        <is>
          <t>Sim/Não</t>
        </is>
      </c>
      <c r="D215" s="8" t="inlineStr">
        <is>
          <t>pagamento[1].ao_longo_obra</t>
        </is>
      </c>
    </row>
    <row r="216">
      <c r="A216" s="16" t="inlineStr">
        <is>
          <t>Condição de pagamento 2</t>
        </is>
      </c>
    </row>
    <row r="217">
      <c r="A217" s="5" t="inlineStr">
        <is>
          <t>Condição 2 — Grupo</t>
        </is>
      </c>
      <c r="B217" s="6" t="n"/>
      <c r="C217" s="7" t="inlineStr">
        <is>
          <t>nome do grupo (seção 6)</t>
        </is>
      </c>
      <c r="D217" s="8" t="inlineStr">
        <is>
          <t>pagamento[2].grupo</t>
        </is>
      </c>
    </row>
    <row r="218">
      <c r="A218" s="5" t="inlineStr">
        <is>
          <t>Condição 2 — Linha</t>
        </is>
      </c>
      <c r="B218" s="6" t="n"/>
      <c r="C218" s="7" t="inlineStr">
        <is>
          <t>lista: Entrada | Parcelamento</t>
        </is>
      </c>
      <c r="D218" s="8" t="inlineStr">
        <is>
          <t>pagamento[2].linha</t>
        </is>
      </c>
    </row>
    <row r="219">
      <c r="A219" s="5" t="inlineStr">
        <is>
          <t>Condição 2 — % do total</t>
        </is>
      </c>
      <c r="B219" s="12" t="n"/>
      <c r="C219" s="7" t="inlineStr">
        <is>
          <t>% do preço</t>
        </is>
      </c>
      <c r="D219" s="8" t="inlineStr">
        <is>
          <t>pagamento[2].pct</t>
        </is>
      </c>
    </row>
    <row r="220">
      <c r="A220" s="5" t="inlineStr">
        <is>
          <t>Condição 2 — Nº de parcelas</t>
        </is>
      </c>
      <c r="B220" s="15" t="n"/>
      <c r="C220" s="7" t="inlineStr">
        <is>
          <t>inteiro (vazio se ao longo da obra)</t>
        </is>
      </c>
      <c r="D220" s="8" t="inlineStr">
        <is>
          <t>pagamento[2].parcelas</t>
        </is>
      </c>
    </row>
    <row r="221">
      <c r="A221" s="5" t="inlineStr">
        <is>
          <t>Condição 2 — Desconto (só Entrada)</t>
        </is>
      </c>
      <c r="B221" s="12" t="n"/>
      <c r="C221" s="7" t="inlineStr">
        <is>
          <t>% sobre a entrada</t>
        </is>
      </c>
      <c r="D221" s="8" t="inlineStr">
        <is>
          <t>pagamento[2].desconto_pct</t>
        </is>
      </c>
    </row>
    <row r="222">
      <c r="A222" s="5" t="inlineStr">
        <is>
          <t>Condição 2 — Sinal (só Parcelamento)</t>
        </is>
      </c>
      <c r="B222" s="12" t="n"/>
      <c r="C222" s="7" t="inlineStr">
        <is>
          <t>% do parcelamento</t>
        </is>
      </c>
      <c r="D222" s="8" t="inlineStr">
        <is>
          <t>pagamento[2].sinal_pct</t>
        </is>
      </c>
    </row>
    <row r="223">
      <c r="A223" s="5" t="inlineStr">
        <is>
          <t>Condição 2 — Ao longo da obra (só Parcelamento)</t>
        </is>
      </c>
      <c r="B223" s="6" t="n"/>
      <c r="C223" s="7" t="inlineStr">
        <is>
          <t>Sim/Não</t>
        </is>
      </c>
      <c r="D223" s="8" t="inlineStr">
        <is>
          <t>pagamento[2].ao_longo_obra</t>
        </is>
      </c>
    </row>
    <row r="224">
      <c r="A224" s="16" t="inlineStr">
        <is>
          <t>Condição de pagamento 3</t>
        </is>
      </c>
    </row>
    <row r="225">
      <c r="A225" s="5" t="inlineStr">
        <is>
          <t>Condição 3 — Grupo</t>
        </is>
      </c>
      <c r="B225" s="6" t="n"/>
      <c r="C225" s="7" t="inlineStr">
        <is>
          <t>nome do grupo (seção 6)</t>
        </is>
      </c>
      <c r="D225" s="8" t="inlineStr">
        <is>
          <t>pagamento[3].grupo</t>
        </is>
      </c>
    </row>
    <row r="226">
      <c r="A226" s="5" t="inlineStr">
        <is>
          <t>Condição 3 — Linha</t>
        </is>
      </c>
      <c r="B226" s="6" t="n"/>
      <c r="C226" s="7" t="inlineStr">
        <is>
          <t>lista: Entrada | Parcelamento</t>
        </is>
      </c>
      <c r="D226" s="8" t="inlineStr">
        <is>
          <t>pagamento[3].linha</t>
        </is>
      </c>
    </row>
    <row r="227">
      <c r="A227" s="5" t="inlineStr">
        <is>
          <t>Condição 3 — % do total</t>
        </is>
      </c>
      <c r="B227" s="12" t="n"/>
      <c r="C227" s="7" t="inlineStr">
        <is>
          <t>% do preço</t>
        </is>
      </c>
      <c r="D227" s="8" t="inlineStr">
        <is>
          <t>pagamento[3].pct</t>
        </is>
      </c>
    </row>
    <row r="228">
      <c r="A228" s="5" t="inlineStr">
        <is>
          <t>Condição 3 — Nº de parcelas</t>
        </is>
      </c>
      <c r="B228" s="15" t="n"/>
      <c r="C228" s="7" t="inlineStr">
        <is>
          <t>inteiro (vazio se ao longo da obra)</t>
        </is>
      </c>
      <c r="D228" s="8" t="inlineStr">
        <is>
          <t>pagamento[3].parcelas</t>
        </is>
      </c>
    </row>
    <row r="229">
      <c r="A229" s="5" t="inlineStr">
        <is>
          <t>Condição 3 — Desconto (só Entrada)</t>
        </is>
      </c>
      <c r="B229" s="12" t="n"/>
      <c r="C229" s="7" t="inlineStr">
        <is>
          <t>% sobre a entrada</t>
        </is>
      </c>
      <c r="D229" s="8" t="inlineStr">
        <is>
          <t>pagamento[3].desconto_pct</t>
        </is>
      </c>
    </row>
    <row r="230">
      <c r="A230" s="5" t="inlineStr">
        <is>
          <t>Condição 3 — Sinal (só Parcelamento)</t>
        </is>
      </c>
      <c r="B230" s="12" t="n"/>
      <c r="C230" s="7" t="inlineStr">
        <is>
          <t>% do parcelamento</t>
        </is>
      </c>
      <c r="D230" s="8" t="inlineStr">
        <is>
          <t>pagamento[3].sinal_pct</t>
        </is>
      </c>
    </row>
    <row r="231">
      <c r="A231" s="5" t="inlineStr">
        <is>
          <t>Condição 3 — Ao longo da obra (só Parcelamento)</t>
        </is>
      </c>
      <c r="B231" s="6" t="n"/>
      <c r="C231" s="7" t="inlineStr">
        <is>
          <t>Sim/Não</t>
        </is>
      </c>
      <c r="D231" s="8" t="inlineStr">
        <is>
          <t>pagamento[3].ao_longo_obra</t>
        </is>
      </c>
    </row>
    <row r="232">
      <c r="A232" s="16" t="inlineStr">
        <is>
          <t>Condição de pagamento 4</t>
        </is>
      </c>
    </row>
    <row r="233">
      <c r="A233" s="5" t="inlineStr">
        <is>
          <t>Condição 4 — Grupo</t>
        </is>
      </c>
      <c r="B233" s="6" t="n"/>
      <c r="C233" s="7" t="inlineStr">
        <is>
          <t>nome do grupo (seção 6)</t>
        </is>
      </c>
      <c r="D233" s="8" t="inlineStr">
        <is>
          <t>pagamento[4].grupo</t>
        </is>
      </c>
    </row>
    <row r="234">
      <c r="A234" s="5" t="inlineStr">
        <is>
          <t>Condição 4 — Linha</t>
        </is>
      </c>
      <c r="B234" s="6" t="n"/>
      <c r="C234" s="7" t="inlineStr">
        <is>
          <t>lista: Entrada | Parcelamento</t>
        </is>
      </c>
      <c r="D234" s="8" t="inlineStr">
        <is>
          <t>pagamento[4].linha</t>
        </is>
      </c>
    </row>
    <row r="235">
      <c r="A235" s="5" t="inlineStr">
        <is>
          <t>Condição 4 — % do total</t>
        </is>
      </c>
      <c r="B235" s="12" t="n"/>
      <c r="C235" s="7" t="inlineStr">
        <is>
          <t>% do preço</t>
        </is>
      </c>
      <c r="D235" s="8" t="inlineStr">
        <is>
          <t>pagamento[4].pct</t>
        </is>
      </c>
    </row>
    <row r="236">
      <c r="A236" s="5" t="inlineStr">
        <is>
          <t>Condição 4 — Nº de parcelas</t>
        </is>
      </c>
      <c r="B236" s="15" t="n"/>
      <c r="C236" s="7" t="inlineStr">
        <is>
          <t>inteiro (vazio se ao longo da obra)</t>
        </is>
      </c>
      <c r="D236" s="8" t="inlineStr">
        <is>
          <t>pagamento[4].parcelas</t>
        </is>
      </c>
    </row>
    <row r="237">
      <c r="A237" s="5" t="inlineStr">
        <is>
          <t>Condição 4 — Desconto (só Entrada)</t>
        </is>
      </c>
      <c r="B237" s="12" t="n"/>
      <c r="C237" s="7" t="inlineStr">
        <is>
          <t>% sobre a entrada</t>
        </is>
      </c>
      <c r="D237" s="8" t="inlineStr">
        <is>
          <t>pagamento[4].desconto_pct</t>
        </is>
      </c>
    </row>
    <row r="238">
      <c r="A238" s="5" t="inlineStr">
        <is>
          <t>Condição 4 — Sinal (só Parcelamento)</t>
        </is>
      </c>
      <c r="B238" s="12" t="n"/>
      <c r="C238" s="7" t="inlineStr">
        <is>
          <t>% do parcelamento</t>
        </is>
      </c>
      <c r="D238" s="8" t="inlineStr">
        <is>
          <t>pagamento[4].sinal_pct</t>
        </is>
      </c>
    </row>
    <row r="239">
      <c r="A239" s="5" t="inlineStr">
        <is>
          <t>Condição 4 — Ao longo da obra (só Parcelamento)</t>
        </is>
      </c>
      <c r="B239" s="6" t="n"/>
      <c r="C239" s="7" t="inlineStr">
        <is>
          <t>Sim/Não</t>
        </is>
      </c>
      <c r="D239" s="8" t="inlineStr">
        <is>
          <t>pagamento[4].ao_longo_obra</t>
        </is>
      </c>
    </row>
    <row r="240">
      <c r="A240" s="16" t="inlineStr">
        <is>
          <t>Condição de pagamento 5</t>
        </is>
      </c>
    </row>
    <row r="241">
      <c r="A241" s="5" t="inlineStr">
        <is>
          <t>Condição 5 — Grupo</t>
        </is>
      </c>
      <c r="B241" s="6" t="n"/>
      <c r="C241" s="7" t="inlineStr">
        <is>
          <t>nome do grupo (seção 6)</t>
        </is>
      </c>
      <c r="D241" s="8" t="inlineStr">
        <is>
          <t>pagamento[5].grupo</t>
        </is>
      </c>
    </row>
    <row r="242">
      <c r="A242" s="5" t="inlineStr">
        <is>
          <t>Condição 5 — Linha</t>
        </is>
      </c>
      <c r="B242" s="6" t="n"/>
      <c r="C242" s="7" t="inlineStr">
        <is>
          <t>lista: Entrada | Parcelamento</t>
        </is>
      </c>
      <c r="D242" s="8" t="inlineStr">
        <is>
          <t>pagamento[5].linha</t>
        </is>
      </c>
    </row>
    <row r="243">
      <c r="A243" s="5" t="inlineStr">
        <is>
          <t>Condição 5 — % do total</t>
        </is>
      </c>
      <c r="B243" s="12" t="n"/>
      <c r="C243" s="7" t="inlineStr">
        <is>
          <t>% do preço</t>
        </is>
      </c>
      <c r="D243" s="8" t="inlineStr">
        <is>
          <t>pagamento[5].pct</t>
        </is>
      </c>
    </row>
    <row r="244">
      <c r="A244" s="5" t="inlineStr">
        <is>
          <t>Condição 5 — Nº de parcelas</t>
        </is>
      </c>
      <c r="B244" s="15" t="n"/>
      <c r="C244" s="7" t="inlineStr">
        <is>
          <t>inteiro (vazio se ao longo da obra)</t>
        </is>
      </c>
      <c r="D244" s="8" t="inlineStr">
        <is>
          <t>pagamento[5].parcelas</t>
        </is>
      </c>
    </row>
    <row r="245">
      <c r="A245" s="5" t="inlineStr">
        <is>
          <t>Condição 5 — Desconto (só Entrada)</t>
        </is>
      </c>
      <c r="B245" s="12" t="n"/>
      <c r="C245" s="7" t="inlineStr">
        <is>
          <t>% sobre a entrada</t>
        </is>
      </c>
      <c r="D245" s="8" t="inlineStr">
        <is>
          <t>pagamento[5].desconto_pct</t>
        </is>
      </c>
    </row>
    <row r="246">
      <c r="A246" s="5" t="inlineStr">
        <is>
          <t>Condição 5 — Sinal (só Parcelamento)</t>
        </is>
      </c>
      <c r="B246" s="12" t="n"/>
      <c r="C246" s="7" t="inlineStr">
        <is>
          <t>% do parcelamento</t>
        </is>
      </c>
      <c r="D246" s="8" t="inlineStr">
        <is>
          <t>pagamento[5].sinal_pct</t>
        </is>
      </c>
    </row>
    <row r="247">
      <c r="A247" s="5" t="inlineStr">
        <is>
          <t>Condição 5 — Ao longo da obra (só Parcelamento)</t>
        </is>
      </c>
      <c r="B247" s="6" t="n"/>
      <c r="C247" s="7" t="inlineStr">
        <is>
          <t>Sim/Não</t>
        </is>
      </c>
      <c r="D247" s="8" t="inlineStr">
        <is>
          <t>pagamento[5].ao_longo_obra</t>
        </is>
      </c>
    </row>
    <row r="248">
      <c r="A248" s="16" t="inlineStr">
        <is>
          <t>Condição de pagamento 6</t>
        </is>
      </c>
    </row>
    <row r="249">
      <c r="A249" s="5" t="inlineStr">
        <is>
          <t>Condição 6 — Grupo</t>
        </is>
      </c>
      <c r="B249" s="6" t="n"/>
      <c r="C249" s="7" t="inlineStr">
        <is>
          <t>nome do grupo (seção 6)</t>
        </is>
      </c>
      <c r="D249" s="8" t="inlineStr">
        <is>
          <t>pagamento[6].grupo</t>
        </is>
      </c>
    </row>
    <row r="250">
      <c r="A250" s="5" t="inlineStr">
        <is>
          <t>Condição 6 — Linha</t>
        </is>
      </c>
      <c r="B250" s="6" t="n"/>
      <c r="C250" s="7" t="inlineStr">
        <is>
          <t>lista: Entrada | Parcelamento</t>
        </is>
      </c>
      <c r="D250" s="8" t="inlineStr">
        <is>
          <t>pagamento[6].linha</t>
        </is>
      </c>
    </row>
    <row r="251">
      <c r="A251" s="5" t="inlineStr">
        <is>
          <t>Condição 6 — % do total</t>
        </is>
      </c>
      <c r="B251" s="12" t="n"/>
      <c r="C251" s="7" t="inlineStr">
        <is>
          <t>% do preço</t>
        </is>
      </c>
      <c r="D251" s="8" t="inlineStr">
        <is>
          <t>pagamento[6].pct</t>
        </is>
      </c>
    </row>
    <row r="252">
      <c r="A252" s="5" t="inlineStr">
        <is>
          <t>Condição 6 — Nº de parcelas</t>
        </is>
      </c>
      <c r="B252" s="15" t="n"/>
      <c r="C252" s="7" t="inlineStr">
        <is>
          <t>inteiro (vazio se ao longo da obra)</t>
        </is>
      </c>
      <c r="D252" s="8" t="inlineStr">
        <is>
          <t>pagamento[6].parcelas</t>
        </is>
      </c>
    </row>
    <row r="253">
      <c r="A253" s="5" t="inlineStr">
        <is>
          <t>Condição 6 — Desconto (só Entrada)</t>
        </is>
      </c>
      <c r="B253" s="12" t="n"/>
      <c r="C253" s="7" t="inlineStr">
        <is>
          <t>% sobre a entrada</t>
        </is>
      </c>
      <c r="D253" s="8" t="inlineStr">
        <is>
          <t>pagamento[6].desconto_pct</t>
        </is>
      </c>
    </row>
    <row r="254">
      <c r="A254" s="5" t="inlineStr">
        <is>
          <t>Condição 6 — Sinal (só Parcelamento)</t>
        </is>
      </c>
      <c r="B254" s="12" t="n"/>
      <c r="C254" s="7" t="inlineStr">
        <is>
          <t>% do parcelamento</t>
        </is>
      </c>
      <c r="D254" s="8" t="inlineStr">
        <is>
          <t>pagamento[6].sinal_pct</t>
        </is>
      </c>
    </row>
    <row r="255">
      <c r="A255" s="5" t="inlineStr">
        <is>
          <t>Condição 6 — Ao longo da obra (só Parcelamento)</t>
        </is>
      </c>
      <c r="B255" s="6" t="n"/>
      <c r="C255" s="7" t="inlineStr">
        <is>
          <t>Sim/Não</t>
        </is>
      </c>
      <c r="D255" s="8" t="inlineStr">
        <is>
          <t>pagamento[6].ao_longo_obra</t>
        </is>
      </c>
    </row>
    <row r="256">
      <c r="A256" s="16" t="inlineStr">
        <is>
          <t>Condição de pagamento 7</t>
        </is>
      </c>
    </row>
    <row r="257">
      <c r="A257" s="5" t="inlineStr">
        <is>
          <t>Condição 7 — Grupo</t>
        </is>
      </c>
      <c r="B257" s="6" t="n"/>
      <c r="C257" s="7" t="inlineStr">
        <is>
          <t>nome do grupo (seção 6)</t>
        </is>
      </c>
      <c r="D257" s="8" t="inlineStr">
        <is>
          <t>pagamento[7].grupo</t>
        </is>
      </c>
    </row>
    <row r="258">
      <c r="A258" s="5" t="inlineStr">
        <is>
          <t>Condição 7 — Linha</t>
        </is>
      </c>
      <c r="B258" s="6" t="n"/>
      <c r="C258" s="7" t="inlineStr">
        <is>
          <t>lista: Entrada | Parcelamento</t>
        </is>
      </c>
      <c r="D258" s="8" t="inlineStr">
        <is>
          <t>pagamento[7].linha</t>
        </is>
      </c>
    </row>
    <row r="259">
      <c r="A259" s="5" t="inlineStr">
        <is>
          <t>Condição 7 — % do total</t>
        </is>
      </c>
      <c r="B259" s="12" t="n"/>
      <c r="C259" s="7" t="inlineStr">
        <is>
          <t>% do preço</t>
        </is>
      </c>
      <c r="D259" s="8" t="inlineStr">
        <is>
          <t>pagamento[7].pct</t>
        </is>
      </c>
    </row>
    <row r="260">
      <c r="A260" s="5" t="inlineStr">
        <is>
          <t>Condição 7 — Nº de parcelas</t>
        </is>
      </c>
      <c r="B260" s="15" t="n"/>
      <c r="C260" s="7" t="inlineStr">
        <is>
          <t>inteiro (vazio se ao longo da obra)</t>
        </is>
      </c>
      <c r="D260" s="8" t="inlineStr">
        <is>
          <t>pagamento[7].parcelas</t>
        </is>
      </c>
    </row>
    <row r="261">
      <c r="A261" s="5" t="inlineStr">
        <is>
          <t>Condição 7 — Desconto (só Entrada)</t>
        </is>
      </c>
      <c r="B261" s="12" t="n"/>
      <c r="C261" s="7" t="inlineStr">
        <is>
          <t>% sobre a entrada</t>
        </is>
      </c>
      <c r="D261" s="8" t="inlineStr">
        <is>
          <t>pagamento[7].desconto_pct</t>
        </is>
      </c>
    </row>
    <row r="262">
      <c r="A262" s="5" t="inlineStr">
        <is>
          <t>Condição 7 — Sinal (só Parcelamento)</t>
        </is>
      </c>
      <c r="B262" s="12" t="n"/>
      <c r="C262" s="7" t="inlineStr">
        <is>
          <t>% do parcelamento</t>
        </is>
      </c>
      <c r="D262" s="8" t="inlineStr">
        <is>
          <t>pagamento[7].sinal_pct</t>
        </is>
      </c>
    </row>
    <row r="263">
      <c r="A263" s="5" t="inlineStr">
        <is>
          <t>Condição 7 — Ao longo da obra (só Parcelamento)</t>
        </is>
      </c>
      <c r="B263" s="6" t="n"/>
      <c r="C263" s="7" t="inlineStr">
        <is>
          <t>Sim/Não</t>
        </is>
      </c>
      <c r="D263" s="8" t="inlineStr">
        <is>
          <t>pagamento[7].ao_longo_obra</t>
        </is>
      </c>
    </row>
    <row r="264">
      <c r="A264" s="16" t="inlineStr">
        <is>
          <t>Condição de pagamento 8</t>
        </is>
      </c>
    </row>
    <row r="265">
      <c r="A265" s="5" t="inlineStr">
        <is>
          <t>Condição 8 — Grupo</t>
        </is>
      </c>
      <c r="B265" s="6" t="n"/>
      <c r="C265" s="7" t="inlineStr">
        <is>
          <t>nome do grupo (seção 6)</t>
        </is>
      </c>
      <c r="D265" s="8" t="inlineStr">
        <is>
          <t>pagamento[8].grupo</t>
        </is>
      </c>
    </row>
    <row r="266">
      <c r="A266" s="5" t="inlineStr">
        <is>
          <t>Condição 8 — Linha</t>
        </is>
      </c>
      <c r="B266" s="6" t="n"/>
      <c r="C266" s="7" t="inlineStr">
        <is>
          <t>lista: Entrada | Parcelamento</t>
        </is>
      </c>
      <c r="D266" s="8" t="inlineStr">
        <is>
          <t>pagamento[8].linha</t>
        </is>
      </c>
    </row>
    <row r="267">
      <c r="A267" s="5" t="inlineStr">
        <is>
          <t>Condição 8 — % do total</t>
        </is>
      </c>
      <c r="B267" s="12" t="n"/>
      <c r="C267" s="7" t="inlineStr">
        <is>
          <t>% do preço</t>
        </is>
      </c>
      <c r="D267" s="8" t="inlineStr">
        <is>
          <t>pagamento[8].pct</t>
        </is>
      </c>
    </row>
    <row r="268">
      <c r="A268" s="5" t="inlineStr">
        <is>
          <t>Condição 8 — Nº de parcelas</t>
        </is>
      </c>
      <c r="B268" s="15" t="n"/>
      <c r="C268" s="7" t="inlineStr">
        <is>
          <t>inteiro (vazio se ao longo da obra)</t>
        </is>
      </c>
      <c r="D268" s="8" t="inlineStr">
        <is>
          <t>pagamento[8].parcelas</t>
        </is>
      </c>
    </row>
    <row r="269">
      <c r="A269" s="5" t="inlineStr">
        <is>
          <t>Condição 8 — Desconto (só Entrada)</t>
        </is>
      </c>
      <c r="B269" s="12" t="n"/>
      <c r="C269" s="7" t="inlineStr">
        <is>
          <t>% sobre a entrada</t>
        </is>
      </c>
      <c r="D269" s="8" t="inlineStr">
        <is>
          <t>pagamento[8].desconto_pct</t>
        </is>
      </c>
    </row>
    <row r="270">
      <c r="A270" s="5" t="inlineStr">
        <is>
          <t>Condição 8 — Sinal (só Parcelamento)</t>
        </is>
      </c>
      <c r="B270" s="12" t="n"/>
      <c r="C270" s="7" t="inlineStr">
        <is>
          <t>% do parcelamento</t>
        </is>
      </c>
      <c r="D270" s="8" t="inlineStr">
        <is>
          <t>pagamento[8].sinal_pct</t>
        </is>
      </c>
    </row>
    <row r="271">
      <c r="A271" s="5" t="inlineStr">
        <is>
          <t>Condição 8 — Ao longo da obra (só Parcelamento)</t>
        </is>
      </c>
      <c r="B271" s="6" t="n"/>
      <c r="C271" s="7" t="inlineStr">
        <is>
          <t>Sim/Não</t>
        </is>
      </c>
      <c r="D271" s="8" t="inlineStr">
        <is>
          <t>pagamento[8].ao_longo_obra</t>
        </is>
      </c>
    </row>
    <row r="272">
      <c r="A272" s="16" t="inlineStr">
        <is>
          <t>Condição de pagamento 9</t>
        </is>
      </c>
    </row>
    <row r="273">
      <c r="A273" s="5" t="inlineStr">
        <is>
          <t>Condição 9 — Grupo</t>
        </is>
      </c>
      <c r="B273" s="6" t="n"/>
      <c r="C273" s="7" t="inlineStr">
        <is>
          <t>nome do grupo (seção 6)</t>
        </is>
      </c>
      <c r="D273" s="8" t="inlineStr">
        <is>
          <t>pagamento[9].grupo</t>
        </is>
      </c>
    </row>
    <row r="274">
      <c r="A274" s="5" t="inlineStr">
        <is>
          <t>Condição 9 — Linha</t>
        </is>
      </c>
      <c r="B274" s="6" t="n"/>
      <c r="C274" s="7" t="inlineStr">
        <is>
          <t>lista: Entrada | Parcelamento</t>
        </is>
      </c>
      <c r="D274" s="8" t="inlineStr">
        <is>
          <t>pagamento[9].linha</t>
        </is>
      </c>
    </row>
    <row r="275">
      <c r="A275" s="5" t="inlineStr">
        <is>
          <t>Condição 9 — % do total</t>
        </is>
      </c>
      <c r="B275" s="12" t="n"/>
      <c r="C275" s="7" t="inlineStr">
        <is>
          <t>% do preço</t>
        </is>
      </c>
      <c r="D275" s="8" t="inlineStr">
        <is>
          <t>pagamento[9].pct</t>
        </is>
      </c>
    </row>
    <row r="276">
      <c r="A276" s="5" t="inlineStr">
        <is>
          <t>Condição 9 — Nº de parcelas</t>
        </is>
      </c>
      <c r="B276" s="15" t="n"/>
      <c r="C276" s="7" t="inlineStr">
        <is>
          <t>inteiro (vazio se ao longo da obra)</t>
        </is>
      </c>
      <c r="D276" s="8" t="inlineStr">
        <is>
          <t>pagamento[9].parcelas</t>
        </is>
      </c>
    </row>
    <row r="277">
      <c r="A277" s="5" t="inlineStr">
        <is>
          <t>Condição 9 — Desconto (só Entrada)</t>
        </is>
      </c>
      <c r="B277" s="12" t="n"/>
      <c r="C277" s="7" t="inlineStr">
        <is>
          <t>% sobre a entrada</t>
        </is>
      </c>
      <c r="D277" s="8" t="inlineStr">
        <is>
          <t>pagamento[9].desconto_pct</t>
        </is>
      </c>
    </row>
    <row r="278">
      <c r="A278" s="5" t="inlineStr">
        <is>
          <t>Condição 9 — Sinal (só Parcelamento)</t>
        </is>
      </c>
      <c r="B278" s="12" t="n"/>
      <c r="C278" s="7" t="inlineStr">
        <is>
          <t>% do parcelamento</t>
        </is>
      </c>
      <c r="D278" s="8" t="inlineStr">
        <is>
          <t>pagamento[9].sinal_pct</t>
        </is>
      </c>
    </row>
    <row r="279">
      <c r="A279" s="5" t="inlineStr">
        <is>
          <t>Condição 9 — Ao longo da obra (só Parcelamento)</t>
        </is>
      </c>
      <c r="B279" s="6" t="n"/>
      <c r="C279" s="7" t="inlineStr">
        <is>
          <t>Sim/Não</t>
        </is>
      </c>
      <c r="D279" s="8" t="inlineStr">
        <is>
          <t>pagamento[9].ao_longo_obra</t>
        </is>
      </c>
    </row>
    <row r="280">
      <c r="A280" s="16" t="inlineStr">
        <is>
          <t>Condição de pagamento 10</t>
        </is>
      </c>
    </row>
    <row r="281">
      <c r="A281" s="5" t="inlineStr">
        <is>
          <t>Condição 10 — Grupo</t>
        </is>
      </c>
      <c r="B281" s="6" t="n"/>
      <c r="C281" s="7" t="inlineStr">
        <is>
          <t>nome do grupo (seção 6)</t>
        </is>
      </c>
      <c r="D281" s="8" t="inlineStr">
        <is>
          <t>pagamento[10].grupo</t>
        </is>
      </c>
    </row>
    <row r="282">
      <c r="A282" s="5" t="inlineStr">
        <is>
          <t>Condição 10 — Linha</t>
        </is>
      </c>
      <c r="B282" s="6" t="n"/>
      <c r="C282" s="7" t="inlineStr">
        <is>
          <t>lista: Entrada | Parcelamento</t>
        </is>
      </c>
      <c r="D282" s="8" t="inlineStr">
        <is>
          <t>pagamento[10].linha</t>
        </is>
      </c>
    </row>
    <row r="283">
      <c r="A283" s="5" t="inlineStr">
        <is>
          <t>Condição 10 — % do total</t>
        </is>
      </c>
      <c r="B283" s="12" t="n"/>
      <c r="C283" s="7" t="inlineStr">
        <is>
          <t>% do preço</t>
        </is>
      </c>
      <c r="D283" s="8" t="inlineStr">
        <is>
          <t>pagamento[10].pct</t>
        </is>
      </c>
    </row>
    <row r="284">
      <c r="A284" s="5" t="inlineStr">
        <is>
          <t>Condição 10 — Nº de parcelas</t>
        </is>
      </c>
      <c r="B284" s="15" t="n"/>
      <c r="C284" s="7" t="inlineStr">
        <is>
          <t>inteiro (vazio se ao longo da obra)</t>
        </is>
      </c>
      <c r="D284" s="8" t="inlineStr">
        <is>
          <t>pagamento[10].parcelas</t>
        </is>
      </c>
    </row>
    <row r="285">
      <c r="A285" s="5" t="inlineStr">
        <is>
          <t>Condição 10 — Desconto (só Entrada)</t>
        </is>
      </c>
      <c r="B285" s="12" t="n"/>
      <c r="C285" s="7" t="inlineStr">
        <is>
          <t>% sobre a entrada</t>
        </is>
      </c>
      <c r="D285" s="8" t="inlineStr">
        <is>
          <t>pagamento[10].desconto_pct</t>
        </is>
      </c>
    </row>
    <row r="286">
      <c r="A286" s="5" t="inlineStr">
        <is>
          <t>Condição 10 — Sinal (só Parcelamento)</t>
        </is>
      </c>
      <c r="B286" s="12" t="n"/>
      <c r="C286" s="7" t="inlineStr">
        <is>
          <t>% do parcelamento</t>
        </is>
      </c>
      <c r="D286" s="8" t="inlineStr">
        <is>
          <t>pagamento[10].sinal_pct</t>
        </is>
      </c>
    </row>
    <row r="287">
      <c r="A287" s="5" t="inlineStr">
        <is>
          <t>Condição 10 — Ao longo da obra (só Parcelamento)</t>
        </is>
      </c>
      <c r="B287" s="6" t="n"/>
      <c r="C287" s="7" t="inlineStr">
        <is>
          <t>Sim/Não</t>
        </is>
      </c>
      <c r="D287" s="8" t="inlineStr">
        <is>
          <t>pagamento[10].ao_longo_obra</t>
        </is>
      </c>
    </row>
    <row r="288" ht="20" customHeight="1">
      <c r="A288" s="4" t="inlineStr">
        <is>
          <t>8 · Alocações de venda (tipologia × grupo) — 10 vagas; Σ unidades alocadas por item ≤ catálogo</t>
        </is>
      </c>
    </row>
    <row r="289">
      <c r="A289" s="16" t="inlineStr">
        <is>
          <t>Alocação 1</t>
        </is>
      </c>
    </row>
    <row r="290">
      <c r="A290" s="5" t="inlineStr">
        <is>
          <t>Alocação 1 — Grupo</t>
        </is>
      </c>
      <c r="B290" s="6" t="n"/>
      <c r="C290" s="7" t="inlineStr">
        <is>
          <t>nome do grupo (seção 6)</t>
        </is>
      </c>
      <c r="D290" s="8" t="inlineStr">
        <is>
          <t>alocacoes[1].grupo</t>
        </is>
      </c>
    </row>
    <row r="291">
      <c r="A291" s="5" t="inlineStr">
        <is>
          <t>Alocação 1 — Tipologia</t>
        </is>
      </c>
      <c r="B291" s="6" t="n"/>
      <c r="C291" s="7" t="inlineStr">
        <is>
          <t>nome do tipologia (seção 5)</t>
        </is>
      </c>
      <c r="D291" s="8" t="inlineStr">
        <is>
          <t>alocacoes[1].tipologia</t>
        </is>
      </c>
    </row>
    <row r="292">
      <c r="A292" s="5" t="inlineStr">
        <is>
          <t>Alocação 1 — Unidades</t>
        </is>
      </c>
      <c r="B292" s="15" t="n"/>
      <c r="C292" s="7" t="inlineStr">
        <is>
          <t>unidades (inteiro)</t>
        </is>
      </c>
      <c r="D292" s="8" t="inlineStr">
        <is>
          <t>alocacoes[1].unidades</t>
        </is>
      </c>
    </row>
    <row r="293">
      <c r="A293" s="5" t="inlineStr">
        <is>
          <t>Alocação 1 — Preço</t>
        </is>
      </c>
      <c r="B293" s="17" t="n"/>
      <c r="C293" s="7" t="inlineStr">
        <is>
          <t>R$/m² (sobre privativa + aberta)</t>
        </is>
      </c>
      <c r="D293" s="8" t="inlineStr">
        <is>
          <t>alocacoes[1].preco_m2</t>
        </is>
      </c>
    </row>
    <row r="294">
      <c r="A294" s="16" t="inlineStr">
        <is>
          <t>Alocação 2</t>
        </is>
      </c>
    </row>
    <row r="295">
      <c r="A295" s="5" t="inlineStr">
        <is>
          <t>Alocação 2 — Grupo</t>
        </is>
      </c>
      <c r="B295" s="6" t="n"/>
      <c r="C295" s="7" t="inlineStr">
        <is>
          <t>nome do grupo (seção 6)</t>
        </is>
      </c>
      <c r="D295" s="8" t="inlineStr">
        <is>
          <t>alocacoes[2].grupo</t>
        </is>
      </c>
    </row>
    <row r="296">
      <c r="A296" s="5" t="inlineStr">
        <is>
          <t>Alocação 2 — Tipologia</t>
        </is>
      </c>
      <c r="B296" s="6" t="n"/>
      <c r="C296" s="7" t="inlineStr">
        <is>
          <t>nome do tipologia (seção 5)</t>
        </is>
      </c>
      <c r="D296" s="8" t="inlineStr">
        <is>
          <t>alocacoes[2].tipologia</t>
        </is>
      </c>
    </row>
    <row r="297">
      <c r="A297" s="5" t="inlineStr">
        <is>
          <t>Alocação 2 — Unidades</t>
        </is>
      </c>
      <c r="B297" s="15" t="n"/>
      <c r="C297" s="7" t="inlineStr">
        <is>
          <t>unidades (inteiro)</t>
        </is>
      </c>
      <c r="D297" s="8" t="inlineStr">
        <is>
          <t>alocacoes[2].unidades</t>
        </is>
      </c>
    </row>
    <row r="298">
      <c r="A298" s="5" t="inlineStr">
        <is>
          <t>Alocação 2 — Preço</t>
        </is>
      </c>
      <c r="B298" s="17" t="n"/>
      <c r="C298" s="7" t="inlineStr">
        <is>
          <t>R$/m² (sobre privativa + aberta)</t>
        </is>
      </c>
      <c r="D298" s="8" t="inlineStr">
        <is>
          <t>alocacoes[2].preco_m2</t>
        </is>
      </c>
    </row>
    <row r="299">
      <c r="A299" s="16" t="inlineStr">
        <is>
          <t>Alocação 3</t>
        </is>
      </c>
    </row>
    <row r="300">
      <c r="A300" s="5" t="inlineStr">
        <is>
          <t>Alocação 3 — Grupo</t>
        </is>
      </c>
      <c r="B300" s="6" t="n"/>
      <c r="C300" s="7" t="inlineStr">
        <is>
          <t>nome do grupo (seção 6)</t>
        </is>
      </c>
      <c r="D300" s="8" t="inlineStr">
        <is>
          <t>alocacoes[3].grupo</t>
        </is>
      </c>
    </row>
    <row r="301">
      <c r="A301" s="5" t="inlineStr">
        <is>
          <t>Alocação 3 — Tipologia</t>
        </is>
      </c>
      <c r="B301" s="6" t="n"/>
      <c r="C301" s="7" t="inlineStr">
        <is>
          <t>nome do tipologia (seção 5)</t>
        </is>
      </c>
      <c r="D301" s="8" t="inlineStr">
        <is>
          <t>alocacoes[3].tipologia</t>
        </is>
      </c>
    </row>
    <row r="302">
      <c r="A302" s="5" t="inlineStr">
        <is>
          <t>Alocação 3 — Unidades</t>
        </is>
      </c>
      <c r="B302" s="15" t="n"/>
      <c r="C302" s="7" t="inlineStr">
        <is>
          <t>unidades (inteiro)</t>
        </is>
      </c>
      <c r="D302" s="8" t="inlineStr">
        <is>
          <t>alocacoes[3].unidades</t>
        </is>
      </c>
    </row>
    <row r="303">
      <c r="A303" s="5" t="inlineStr">
        <is>
          <t>Alocação 3 — Preço</t>
        </is>
      </c>
      <c r="B303" s="17" t="n"/>
      <c r="C303" s="7" t="inlineStr">
        <is>
          <t>R$/m² (sobre privativa + aberta)</t>
        </is>
      </c>
      <c r="D303" s="8" t="inlineStr">
        <is>
          <t>alocacoes[3].preco_m2</t>
        </is>
      </c>
    </row>
    <row r="304">
      <c r="A304" s="16" t="inlineStr">
        <is>
          <t>Alocação 4</t>
        </is>
      </c>
    </row>
    <row r="305">
      <c r="A305" s="5" t="inlineStr">
        <is>
          <t>Alocação 4 — Grupo</t>
        </is>
      </c>
      <c r="B305" s="6" t="n"/>
      <c r="C305" s="7" t="inlineStr">
        <is>
          <t>nome do grupo (seção 6)</t>
        </is>
      </c>
      <c r="D305" s="8" t="inlineStr">
        <is>
          <t>alocacoes[4].grupo</t>
        </is>
      </c>
    </row>
    <row r="306">
      <c r="A306" s="5" t="inlineStr">
        <is>
          <t>Alocação 4 — Tipologia</t>
        </is>
      </c>
      <c r="B306" s="6" t="n"/>
      <c r="C306" s="7" t="inlineStr">
        <is>
          <t>nome do tipologia (seção 5)</t>
        </is>
      </c>
      <c r="D306" s="8" t="inlineStr">
        <is>
          <t>alocacoes[4].tipologia</t>
        </is>
      </c>
    </row>
    <row r="307">
      <c r="A307" s="5" t="inlineStr">
        <is>
          <t>Alocação 4 — Unidades</t>
        </is>
      </c>
      <c r="B307" s="15" t="n"/>
      <c r="C307" s="7" t="inlineStr">
        <is>
          <t>unidades (inteiro)</t>
        </is>
      </c>
      <c r="D307" s="8" t="inlineStr">
        <is>
          <t>alocacoes[4].unidades</t>
        </is>
      </c>
    </row>
    <row r="308">
      <c r="A308" s="5" t="inlineStr">
        <is>
          <t>Alocação 4 — Preço</t>
        </is>
      </c>
      <c r="B308" s="17" t="n"/>
      <c r="C308" s="7" t="inlineStr">
        <is>
          <t>R$/m² (sobre privativa + aberta)</t>
        </is>
      </c>
      <c r="D308" s="8" t="inlineStr">
        <is>
          <t>alocacoes[4].preco_m2</t>
        </is>
      </c>
    </row>
    <row r="309">
      <c r="A309" s="16" t="inlineStr">
        <is>
          <t>Alocação 5</t>
        </is>
      </c>
    </row>
    <row r="310">
      <c r="A310" s="5" t="inlineStr">
        <is>
          <t>Alocação 5 — Grupo</t>
        </is>
      </c>
      <c r="B310" s="6" t="n"/>
      <c r="C310" s="7" t="inlineStr">
        <is>
          <t>nome do grupo (seção 6)</t>
        </is>
      </c>
      <c r="D310" s="8" t="inlineStr">
        <is>
          <t>alocacoes[5].grupo</t>
        </is>
      </c>
    </row>
    <row r="311">
      <c r="A311" s="5" t="inlineStr">
        <is>
          <t>Alocação 5 — Tipologia</t>
        </is>
      </c>
      <c r="B311" s="6" t="n"/>
      <c r="C311" s="7" t="inlineStr">
        <is>
          <t>nome do tipologia (seção 5)</t>
        </is>
      </c>
      <c r="D311" s="8" t="inlineStr">
        <is>
          <t>alocacoes[5].tipologia</t>
        </is>
      </c>
    </row>
    <row r="312">
      <c r="A312" s="5" t="inlineStr">
        <is>
          <t>Alocação 5 — Unidades</t>
        </is>
      </c>
      <c r="B312" s="15" t="n"/>
      <c r="C312" s="7" t="inlineStr">
        <is>
          <t>unidades (inteiro)</t>
        </is>
      </c>
      <c r="D312" s="8" t="inlineStr">
        <is>
          <t>alocacoes[5].unidades</t>
        </is>
      </c>
    </row>
    <row r="313">
      <c r="A313" s="5" t="inlineStr">
        <is>
          <t>Alocação 5 — Preço</t>
        </is>
      </c>
      <c r="B313" s="17" t="n"/>
      <c r="C313" s="7" t="inlineStr">
        <is>
          <t>R$/m² (sobre privativa + aberta)</t>
        </is>
      </c>
      <c r="D313" s="8" t="inlineStr">
        <is>
          <t>alocacoes[5].preco_m2</t>
        </is>
      </c>
    </row>
    <row r="314">
      <c r="A314" s="16" t="inlineStr">
        <is>
          <t>Alocação 6</t>
        </is>
      </c>
    </row>
    <row r="315">
      <c r="A315" s="5" t="inlineStr">
        <is>
          <t>Alocação 6 — Grupo</t>
        </is>
      </c>
      <c r="B315" s="6" t="n"/>
      <c r="C315" s="7" t="inlineStr">
        <is>
          <t>nome do grupo (seção 6)</t>
        </is>
      </c>
      <c r="D315" s="8" t="inlineStr">
        <is>
          <t>alocacoes[6].grupo</t>
        </is>
      </c>
    </row>
    <row r="316">
      <c r="A316" s="5" t="inlineStr">
        <is>
          <t>Alocação 6 — Tipologia</t>
        </is>
      </c>
      <c r="B316" s="6" t="n"/>
      <c r="C316" s="7" t="inlineStr">
        <is>
          <t>nome do tipologia (seção 5)</t>
        </is>
      </c>
      <c r="D316" s="8" t="inlineStr">
        <is>
          <t>alocacoes[6].tipologia</t>
        </is>
      </c>
    </row>
    <row r="317">
      <c r="A317" s="5" t="inlineStr">
        <is>
          <t>Alocação 6 — Unidades</t>
        </is>
      </c>
      <c r="B317" s="15" t="n"/>
      <c r="C317" s="7" t="inlineStr">
        <is>
          <t>unidades (inteiro)</t>
        </is>
      </c>
      <c r="D317" s="8" t="inlineStr">
        <is>
          <t>alocacoes[6].unidades</t>
        </is>
      </c>
    </row>
    <row r="318">
      <c r="A318" s="5" t="inlineStr">
        <is>
          <t>Alocação 6 — Preço</t>
        </is>
      </c>
      <c r="B318" s="17" t="n"/>
      <c r="C318" s="7" t="inlineStr">
        <is>
          <t>R$/m² (sobre privativa + aberta)</t>
        </is>
      </c>
      <c r="D318" s="8" t="inlineStr">
        <is>
          <t>alocacoes[6].preco_m2</t>
        </is>
      </c>
    </row>
    <row r="319">
      <c r="A319" s="16" t="inlineStr">
        <is>
          <t>Alocação 7</t>
        </is>
      </c>
    </row>
    <row r="320">
      <c r="A320" s="5" t="inlineStr">
        <is>
          <t>Alocação 7 — Grupo</t>
        </is>
      </c>
      <c r="B320" s="6" t="n"/>
      <c r="C320" s="7" t="inlineStr">
        <is>
          <t>nome do grupo (seção 6)</t>
        </is>
      </c>
      <c r="D320" s="8" t="inlineStr">
        <is>
          <t>alocacoes[7].grupo</t>
        </is>
      </c>
    </row>
    <row r="321">
      <c r="A321" s="5" t="inlineStr">
        <is>
          <t>Alocação 7 — Tipologia</t>
        </is>
      </c>
      <c r="B321" s="6" t="n"/>
      <c r="C321" s="7" t="inlineStr">
        <is>
          <t>nome do tipologia (seção 5)</t>
        </is>
      </c>
      <c r="D321" s="8" t="inlineStr">
        <is>
          <t>alocacoes[7].tipologia</t>
        </is>
      </c>
    </row>
    <row r="322">
      <c r="A322" s="5" t="inlineStr">
        <is>
          <t>Alocação 7 — Unidades</t>
        </is>
      </c>
      <c r="B322" s="15" t="n"/>
      <c r="C322" s="7" t="inlineStr">
        <is>
          <t>unidades (inteiro)</t>
        </is>
      </c>
      <c r="D322" s="8" t="inlineStr">
        <is>
          <t>alocacoes[7].unidades</t>
        </is>
      </c>
    </row>
    <row r="323">
      <c r="A323" s="5" t="inlineStr">
        <is>
          <t>Alocação 7 — Preço</t>
        </is>
      </c>
      <c r="B323" s="17" t="n"/>
      <c r="C323" s="7" t="inlineStr">
        <is>
          <t>R$/m² (sobre privativa + aberta)</t>
        </is>
      </c>
      <c r="D323" s="8" t="inlineStr">
        <is>
          <t>alocacoes[7].preco_m2</t>
        </is>
      </c>
    </row>
    <row r="324">
      <c r="A324" s="16" t="inlineStr">
        <is>
          <t>Alocação 8</t>
        </is>
      </c>
    </row>
    <row r="325">
      <c r="A325" s="5" t="inlineStr">
        <is>
          <t>Alocação 8 — Grupo</t>
        </is>
      </c>
      <c r="B325" s="6" t="n"/>
      <c r="C325" s="7" t="inlineStr">
        <is>
          <t>nome do grupo (seção 6)</t>
        </is>
      </c>
      <c r="D325" s="8" t="inlineStr">
        <is>
          <t>alocacoes[8].grupo</t>
        </is>
      </c>
    </row>
    <row r="326">
      <c r="A326" s="5" t="inlineStr">
        <is>
          <t>Alocação 8 — Tipologia</t>
        </is>
      </c>
      <c r="B326" s="6" t="n"/>
      <c r="C326" s="7" t="inlineStr">
        <is>
          <t>nome do tipologia (seção 5)</t>
        </is>
      </c>
      <c r="D326" s="8" t="inlineStr">
        <is>
          <t>alocacoes[8].tipologia</t>
        </is>
      </c>
    </row>
    <row r="327">
      <c r="A327" s="5" t="inlineStr">
        <is>
          <t>Alocação 8 — Unidades</t>
        </is>
      </c>
      <c r="B327" s="15" t="n"/>
      <c r="C327" s="7" t="inlineStr">
        <is>
          <t>unidades (inteiro)</t>
        </is>
      </c>
      <c r="D327" s="8" t="inlineStr">
        <is>
          <t>alocacoes[8].unidades</t>
        </is>
      </c>
    </row>
    <row r="328">
      <c r="A328" s="5" t="inlineStr">
        <is>
          <t>Alocação 8 — Preço</t>
        </is>
      </c>
      <c r="B328" s="17" t="n"/>
      <c r="C328" s="7" t="inlineStr">
        <is>
          <t>R$/m² (sobre privativa + aberta)</t>
        </is>
      </c>
      <c r="D328" s="8" t="inlineStr">
        <is>
          <t>alocacoes[8].preco_m2</t>
        </is>
      </c>
    </row>
    <row r="329">
      <c r="A329" s="16" t="inlineStr">
        <is>
          <t>Alocação 9</t>
        </is>
      </c>
    </row>
    <row r="330">
      <c r="A330" s="5" t="inlineStr">
        <is>
          <t>Alocação 9 — Grupo</t>
        </is>
      </c>
      <c r="B330" s="6" t="n"/>
      <c r="C330" s="7" t="inlineStr">
        <is>
          <t>nome do grupo (seção 6)</t>
        </is>
      </c>
      <c r="D330" s="8" t="inlineStr">
        <is>
          <t>alocacoes[9].grupo</t>
        </is>
      </c>
    </row>
    <row r="331">
      <c r="A331" s="5" t="inlineStr">
        <is>
          <t>Alocação 9 — Tipologia</t>
        </is>
      </c>
      <c r="B331" s="6" t="n"/>
      <c r="C331" s="7" t="inlineStr">
        <is>
          <t>nome do tipologia (seção 5)</t>
        </is>
      </c>
      <c r="D331" s="8" t="inlineStr">
        <is>
          <t>alocacoes[9].tipologia</t>
        </is>
      </c>
    </row>
    <row r="332">
      <c r="A332" s="5" t="inlineStr">
        <is>
          <t>Alocação 9 — Unidades</t>
        </is>
      </c>
      <c r="B332" s="15" t="n"/>
      <c r="C332" s="7" t="inlineStr">
        <is>
          <t>unidades (inteiro)</t>
        </is>
      </c>
      <c r="D332" s="8" t="inlineStr">
        <is>
          <t>alocacoes[9].unidades</t>
        </is>
      </c>
    </row>
    <row r="333">
      <c r="A333" s="5" t="inlineStr">
        <is>
          <t>Alocação 9 — Preço</t>
        </is>
      </c>
      <c r="B333" s="17" t="n"/>
      <c r="C333" s="7" t="inlineStr">
        <is>
          <t>R$/m² (sobre privativa + aberta)</t>
        </is>
      </c>
      <c r="D333" s="8" t="inlineStr">
        <is>
          <t>alocacoes[9].preco_m2</t>
        </is>
      </c>
    </row>
    <row r="334">
      <c r="A334" s="16" t="inlineStr">
        <is>
          <t>Alocação 10</t>
        </is>
      </c>
    </row>
    <row r="335">
      <c r="A335" s="5" t="inlineStr">
        <is>
          <t>Alocação 10 — Grupo</t>
        </is>
      </c>
      <c r="B335" s="6" t="n"/>
      <c r="C335" s="7" t="inlineStr">
        <is>
          <t>nome do grupo (seção 6)</t>
        </is>
      </c>
      <c r="D335" s="8" t="inlineStr">
        <is>
          <t>alocacoes[10].grupo</t>
        </is>
      </c>
    </row>
    <row r="336">
      <c r="A336" s="5" t="inlineStr">
        <is>
          <t>Alocação 10 — Tipologia</t>
        </is>
      </c>
      <c r="B336" s="6" t="n"/>
      <c r="C336" s="7" t="inlineStr">
        <is>
          <t>nome do tipologia (seção 5)</t>
        </is>
      </c>
      <c r="D336" s="8" t="inlineStr">
        <is>
          <t>alocacoes[10].tipologia</t>
        </is>
      </c>
    </row>
    <row r="337">
      <c r="A337" s="5" t="inlineStr">
        <is>
          <t>Alocação 10 — Unidades</t>
        </is>
      </c>
      <c r="B337" s="15" t="n"/>
      <c r="C337" s="7" t="inlineStr">
        <is>
          <t>unidades (inteiro)</t>
        </is>
      </c>
      <c r="D337" s="8" t="inlineStr">
        <is>
          <t>alocacoes[10].unidades</t>
        </is>
      </c>
    </row>
    <row r="338">
      <c r="A338" s="5" t="inlineStr">
        <is>
          <t>Alocação 10 — Preço</t>
        </is>
      </c>
      <c r="B338" s="17" t="n"/>
      <c r="C338" s="7" t="inlineStr">
        <is>
          <t>R$/m² (sobre privativa + aberta)</t>
        </is>
      </c>
      <c r="D338" s="8" t="inlineStr">
        <is>
          <t>alocacoes[10].preco_m2</t>
        </is>
      </c>
    </row>
    <row r="339" ht="20" customHeight="1">
      <c r="A339" s="4" t="inlineStr">
        <is>
          <t>9 · Custos (Viabilidade › Custos) — 28 vagas + permutas do terreno</t>
        </is>
      </c>
    </row>
    <row r="340" ht="117" customHeight="1">
      <c r="A340" s="13" t="inlineStr">
        <is>
          <t>Categorias e unidades aceitas (rs = R$ · rs_m2_priv = R$/m² privativo · rs_m2_terreno · pct_vgv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341" ht="39" customHeight="1">
      <c r="A341" s="13"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342">
      <c r="A342" s="16" t="inlineStr">
        <is>
          <t>Custo 1 — obrigatório: terreno / Preço</t>
        </is>
      </c>
    </row>
    <row r="343">
      <c r="A343" s="5" t="inlineStr">
        <is>
          <t>Custo 1 — Grupo</t>
        </is>
      </c>
      <c r="B343" s="9" t="inlineStr">
        <is>
          <t>terreno</t>
        </is>
      </c>
      <c r="C343" s="7" t="inlineStr">
        <is>
          <t>lista: terreno | obra | diretos | indireto | financeiro</t>
        </is>
      </c>
      <c r="D343" s="8" t="inlineStr">
        <is>
          <t>custos[1].grupo</t>
        </is>
      </c>
    </row>
    <row r="344">
      <c r="A344" s="5" t="inlineStr">
        <is>
          <t>Custo 1 — Categoria</t>
        </is>
      </c>
      <c r="B344" s="9" t="inlineStr">
        <is>
          <t>Preço</t>
        </is>
      </c>
      <c r="C344" s="7" t="inlineStr">
        <is>
          <t>ver tabela acima</t>
        </is>
      </c>
      <c r="D344" s="8" t="inlineStr">
        <is>
          <t>custos[1].categoria</t>
        </is>
      </c>
    </row>
    <row r="345">
      <c r="A345" s="5" t="inlineStr">
        <is>
          <t>Custo 1 — Subcategoria / descrição</t>
        </is>
      </c>
      <c r="B345" s="6" t="n"/>
      <c r="C345" s="7" t="inlineStr">
        <is>
          <t>Preço: Valor à vista | Parcelado; Outro: texto</t>
        </is>
      </c>
      <c r="D345" s="8" t="inlineStr">
        <is>
          <t>custos[1].subcategoria</t>
        </is>
      </c>
    </row>
    <row r="346">
      <c r="A346" s="5" t="inlineStr">
        <is>
          <t>Custo 1 — Unidade</t>
        </is>
      </c>
      <c r="B346" s="6" t="n"/>
      <c r="C346" s="7" t="inlineStr">
        <is>
          <t>lista: rs | rs_m2_priv | rs_m2_terreno | pct_vgv | pct_obra | pct_recebido | pct_constr</t>
        </is>
      </c>
      <c r="D346" s="8" t="inlineStr">
        <is>
          <t>custos[1].unidade</t>
        </is>
      </c>
    </row>
    <row r="347">
      <c r="A347" s="5" t="inlineStr">
        <is>
          <t>Custo 1 — Valor (R$ ou R$/m²)</t>
        </is>
      </c>
      <c r="B347" s="17" t="n"/>
      <c r="C347" s="7">
        <f>IF($B$346="","escolha a Unidade acima",IF($B$346="rs","R$ (valor cheio)",IF($B$346="rs_m2_priv","R$/m² privativo (fechada+aberta)",IF($B$346="rs_m2_terreno","R$/m² de terreno",IF(LEFT($B$346,3)="pct","— (use a linha de %)","unidade inválida")))))</f>
        <v/>
      </c>
      <c r="D347" s="8" t="inlineStr">
        <is>
          <t>custos[1].valor_rs</t>
        </is>
      </c>
    </row>
    <row r="348">
      <c r="A348" s="5" t="inlineStr">
        <is>
          <t>Custo 1 — Valor (%)</t>
        </is>
      </c>
      <c r="B348" s="12" t="n"/>
      <c r="C348" s="7">
        <f>IF($B$346="","escolha a Unidade acima",IF($B$346="pct_vgv","% do VGV",IF($B$346="pct_receita","% da receita líquida (RET, sem juros)",IF($B$346="pct_obra","% da obra (grupo Obras inteiro)",IF($B$346="pct_recebido","% do recebido (com juros de tabela)",IF($B$346="pct_constr","% da construção (constr.+decor.+gestão da obra)",IF(LEFT($B$346,2)="rs","— (use a linha de R$)","unidade inválida"))))))</f>
        <v/>
      </c>
      <c r="D348" s="8" t="inlineStr">
        <is>
          <t>custos[1].valor_pct</t>
        </is>
      </c>
    </row>
    <row r="349">
      <c r="A349" s="5" t="inlineStr">
        <is>
          <t>Custo 1 — Distribuição</t>
        </is>
      </c>
      <c r="B349" s="6" t="n"/>
      <c r="C349" s="7" t="inlineStr">
        <is>
          <t>Linear | nome de uma curva do catálogo (ex.: Curva S) | unit_delivery | sales_revenue</t>
        </is>
      </c>
      <c r="D349" s="8" t="inlineStr">
        <is>
          <t>custos[1].distribuicao</t>
        </is>
      </c>
    </row>
    <row r="350">
      <c r="A350" s="5" t="inlineStr">
        <is>
          <t>Custo 1 — Cronograma</t>
        </is>
      </c>
      <c r="B350" s="6" t="n"/>
      <c r="C350" s="7" t="inlineStr">
        <is>
          <t>evento, customizado ou "fase: &lt;nome&gt;"</t>
        </is>
      </c>
      <c r="D350" s="8" t="inlineStr">
        <is>
          <t>custos[1].cronograma</t>
        </is>
      </c>
    </row>
    <row r="351">
      <c r="A351" s="5" t="inlineStr">
        <is>
          <t>Custo 1 — Início (só customizado)</t>
        </is>
      </c>
      <c r="B351" s="15" t="n"/>
      <c r="C351" s="7" t="inlineStr">
        <is>
          <t>mês (inteiro ≥ 0)</t>
        </is>
      </c>
      <c r="D351" s="8" t="inlineStr">
        <is>
          <t>custos[1].inicio_mes</t>
        </is>
      </c>
    </row>
    <row r="352">
      <c r="A352" s="5" t="inlineStr">
        <is>
          <t>Custo 1 — Duração (só customizado)</t>
        </is>
      </c>
      <c r="B352" s="15" t="n"/>
      <c r="C352" s="7" t="inlineStr">
        <is>
          <t>meses (inteiro ≥ 1)</t>
        </is>
      </c>
      <c r="D352" s="8" t="inlineStr">
        <is>
          <t>custos[1].duracao_meses</t>
        </is>
      </c>
    </row>
    <row r="353">
      <c r="A353" s="16" t="inlineStr">
        <is>
          <t>Custo 2 — obrigatório: obra / Construção</t>
        </is>
      </c>
    </row>
    <row r="354">
      <c r="A354" s="5" t="inlineStr">
        <is>
          <t>Custo 2 — Grupo</t>
        </is>
      </c>
      <c r="B354" s="9" t="inlineStr">
        <is>
          <t>obra</t>
        </is>
      </c>
      <c r="C354" s="7" t="inlineStr">
        <is>
          <t>lista: terreno | obra | diretos | indireto | financeiro</t>
        </is>
      </c>
      <c r="D354" s="8" t="inlineStr">
        <is>
          <t>custos[2].grupo</t>
        </is>
      </c>
    </row>
    <row r="355">
      <c r="A355" s="5" t="inlineStr">
        <is>
          <t>Custo 2 — Categoria</t>
        </is>
      </c>
      <c r="B355" s="9" t="inlineStr">
        <is>
          <t>Construção</t>
        </is>
      </c>
      <c r="C355" s="7" t="inlineStr">
        <is>
          <t>ver tabela acima</t>
        </is>
      </c>
      <c r="D355" s="8" t="inlineStr">
        <is>
          <t>custos[2].categoria</t>
        </is>
      </c>
    </row>
    <row r="356">
      <c r="A356" s="5" t="inlineStr">
        <is>
          <t>Custo 2 — Subcategoria / descrição</t>
        </is>
      </c>
      <c r="B356" s="6" t="n"/>
      <c r="C356" s="7" t="inlineStr">
        <is>
          <t>Preço: Valor à vista | Parcelado; Outro: texto</t>
        </is>
      </c>
      <c r="D356" s="8" t="inlineStr">
        <is>
          <t>custos[2].subcategoria</t>
        </is>
      </c>
    </row>
    <row r="357">
      <c r="A357" s="5" t="inlineStr">
        <is>
          <t>Custo 2 — Unidade</t>
        </is>
      </c>
      <c r="B357" s="6" t="n"/>
      <c r="C357" s="7" t="inlineStr">
        <is>
          <t>lista: rs | rs_m2_priv | rs_m2_terreno | pct_vgv | pct_obra | pct_recebido | pct_constr</t>
        </is>
      </c>
      <c r="D357" s="8" t="inlineStr">
        <is>
          <t>custos[2].unidade</t>
        </is>
      </c>
    </row>
    <row r="358">
      <c r="A358" s="5" t="inlineStr">
        <is>
          <t>Custo 2 — Valor (R$ ou R$/m²)</t>
        </is>
      </c>
      <c r="B358" s="17" t="n"/>
      <c r="C358" s="7">
        <f>IF($B$357="","escolha a Unidade acima",IF($B$357="rs","R$ (valor cheio)",IF($B$357="rs_m2_priv","R$/m² privativo (fechada+aberta)",IF($B$357="rs_m2_terreno","R$/m² de terreno",IF(LEFT($B$357,3)="pct","— (use a linha de %)","unidade inválida")))))</f>
        <v/>
      </c>
      <c r="D358" s="8" t="inlineStr">
        <is>
          <t>custos[2].valor_rs</t>
        </is>
      </c>
    </row>
    <row r="359">
      <c r="A359" s="5" t="inlineStr">
        <is>
          <t>Custo 2 — Valor (%)</t>
        </is>
      </c>
      <c r="B359" s="12" t="n"/>
      <c r="C359" s="7">
        <f>IF($B$357="","escolha a Unidade acima",IF($B$357="pct_vgv","% do VGV",IF($B$357="pct_receita","% da receita líquida (RET, sem juros)",IF($B$357="pct_obra","% da obra (grupo Obras inteiro)",IF($B$357="pct_recebido","% do recebido (com juros de tabela)",IF($B$357="pct_constr","% da construção (constr.+decor.+gestão da obra)",IF(LEFT($B$357,2)="rs","— (use a linha de R$)","unidade inválida"))))))</f>
        <v/>
      </c>
      <c r="D359" s="8" t="inlineStr">
        <is>
          <t>custos[2].valor_pct</t>
        </is>
      </c>
    </row>
    <row r="360">
      <c r="A360" s="5" t="inlineStr">
        <is>
          <t>Custo 2 — Distribuição</t>
        </is>
      </c>
      <c r="B360" s="6" t="n"/>
      <c r="C360" s="7" t="inlineStr">
        <is>
          <t>Linear | nome de uma curva do catálogo (ex.: Curva S) | unit_delivery | sales_revenue</t>
        </is>
      </c>
      <c r="D360" s="8" t="inlineStr">
        <is>
          <t>custos[2].distribuicao</t>
        </is>
      </c>
    </row>
    <row r="361">
      <c r="A361" s="5" t="inlineStr">
        <is>
          <t>Custo 2 — Cronograma</t>
        </is>
      </c>
      <c r="B361" s="6" t="n"/>
      <c r="C361" s="7" t="inlineStr">
        <is>
          <t>evento, customizado ou "fase: &lt;nome&gt;"</t>
        </is>
      </c>
      <c r="D361" s="8" t="inlineStr">
        <is>
          <t>custos[2].cronograma</t>
        </is>
      </c>
    </row>
    <row r="362">
      <c r="A362" s="5" t="inlineStr">
        <is>
          <t>Custo 2 — Início (só customizado)</t>
        </is>
      </c>
      <c r="B362" s="15" t="n"/>
      <c r="C362" s="7" t="inlineStr">
        <is>
          <t>mês (inteiro ≥ 0)</t>
        </is>
      </c>
      <c r="D362" s="8" t="inlineStr">
        <is>
          <t>custos[2].inicio_mes</t>
        </is>
      </c>
    </row>
    <row r="363">
      <c r="A363" s="5" t="inlineStr">
        <is>
          <t>Custo 2 — Duração (só customizado)</t>
        </is>
      </c>
      <c r="B363" s="15" t="n"/>
      <c r="C363" s="7" t="inlineStr">
        <is>
          <t>meses (inteiro ≥ 1)</t>
        </is>
      </c>
      <c r="D363" s="8" t="inlineStr">
        <is>
          <t>custos[2].duracao_meses</t>
        </is>
      </c>
    </row>
    <row r="364">
      <c r="A364" s="16" t="inlineStr">
        <is>
          <t>Custo 3 — obrigatório: diretos / Corretagem de vendas (% VGV)</t>
        </is>
      </c>
    </row>
    <row r="365">
      <c r="A365" s="5" t="inlineStr">
        <is>
          <t>Custo 3 — Grupo</t>
        </is>
      </c>
      <c r="B365" s="9" t="inlineStr">
        <is>
          <t>diretos</t>
        </is>
      </c>
      <c r="C365" s="7" t="inlineStr">
        <is>
          <t>lista: terreno | obra | diretos | indireto | financeiro</t>
        </is>
      </c>
      <c r="D365" s="8" t="inlineStr">
        <is>
          <t>custos[3].grupo</t>
        </is>
      </c>
    </row>
    <row r="366">
      <c r="A366" s="5" t="inlineStr">
        <is>
          <t>Custo 3 — Categoria</t>
        </is>
      </c>
      <c r="B366" s="9" t="inlineStr">
        <is>
          <t>Corretagem de vendas</t>
        </is>
      </c>
      <c r="C366" s="7" t="inlineStr">
        <is>
          <t>ver tabela acima</t>
        </is>
      </c>
      <c r="D366" s="8" t="inlineStr">
        <is>
          <t>custos[3].categoria</t>
        </is>
      </c>
    </row>
    <row r="367">
      <c r="A367" s="5" t="inlineStr">
        <is>
          <t>Custo 3 — Subcategoria / descrição</t>
        </is>
      </c>
      <c r="B367" s="6" t="n"/>
      <c r="C367" s="7" t="inlineStr">
        <is>
          <t>Preço: Valor à vista | Parcelado; Outro: texto</t>
        </is>
      </c>
      <c r="D367" s="8" t="inlineStr">
        <is>
          <t>custos[3].subcategoria</t>
        </is>
      </c>
    </row>
    <row r="368">
      <c r="A368" s="5" t="inlineStr">
        <is>
          <t>Custo 3 — Unidade</t>
        </is>
      </c>
      <c r="B368" s="9" t="inlineStr">
        <is>
          <t>pct_vgv</t>
        </is>
      </c>
      <c r="C368" s="7" t="inlineStr">
        <is>
          <t>lista: rs | rs_m2_priv | rs_m2_terreno | pct_vgv | pct_obra | pct_recebido | pct_constr</t>
        </is>
      </c>
      <c r="D368" s="8" t="inlineStr">
        <is>
          <t>custos[3].unidade</t>
        </is>
      </c>
    </row>
    <row r="369">
      <c r="A369" s="5" t="inlineStr">
        <is>
          <t>Custo 3 — Valor (R$ ou R$/m²)</t>
        </is>
      </c>
      <c r="B369" s="17" t="n"/>
      <c r="C369" s="7">
        <f>IF($B$368="","escolha a Unidade acima",IF($B$368="rs","R$ (valor cheio)",IF($B$368="rs_m2_priv","R$/m² privativo (fechada+aberta)",IF($B$368="rs_m2_terreno","R$/m² de terreno",IF(LEFT($B$368,3)="pct","— (use a linha de %)","unidade inválida")))))</f>
        <v/>
      </c>
      <c r="D369" s="8" t="inlineStr">
        <is>
          <t>custos[3].valor_rs</t>
        </is>
      </c>
    </row>
    <row r="370">
      <c r="A370" s="5" t="inlineStr">
        <is>
          <t>Custo 3 — Valor (%)</t>
        </is>
      </c>
      <c r="B370" s="12" t="n"/>
      <c r="C370" s="7">
        <f>IF($B$368="","escolha a Unidade acima",IF($B$368="pct_vgv","% do VGV",IF($B$368="pct_receita","% da receita líquida (RET, sem juros)",IF($B$368="pct_obra","% da obra (grupo Obras inteiro)",IF($B$368="pct_recebido","% do recebido (com juros de tabela)",IF($B$368="pct_constr","% da construção (constr.+decor.+gestão da obra)",IF(LEFT($B$368,2)="rs","— (use a linha de R$)","unidade inválida"))))))</f>
        <v/>
      </c>
      <c r="D370" s="8" t="inlineStr">
        <is>
          <t>custos[3].valor_pct</t>
        </is>
      </c>
    </row>
    <row r="371">
      <c r="A371" s="5" t="inlineStr">
        <is>
          <t>Custo 3 — Distribuição</t>
        </is>
      </c>
      <c r="B371" s="6" t="n"/>
      <c r="C371" s="7" t="inlineStr">
        <is>
          <t>Linear | nome de uma curva do catálogo (ex.: Curva S) | unit_delivery | sales_revenue</t>
        </is>
      </c>
      <c r="D371" s="8" t="inlineStr">
        <is>
          <t>custos[3].distribuicao</t>
        </is>
      </c>
    </row>
    <row r="372">
      <c r="A372" s="5" t="inlineStr">
        <is>
          <t>Custo 3 — Cronograma</t>
        </is>
      </c>
      <c r="B372" s="6" t="n"/>
      <c r="C372" s="7" t="inlineStr">
        <is>
          <t>evento, customizado ou "fase: &lt;nome&gt;"</t>
        </is>
      </c>
      <c r="D372" s="8" t="inlineStr">
        <is>
          <t>custos[3].cronograma</t>
        </is>
      </c>
    </row>
    <row r="373">
      <c r="A373" s="5" t="inlineStr">
        <is>
          <t>Custo 3 — Início (só customizado)</t>
        </is>
      </c>
      <c r="B373" s="15" t="n"/>
      <c r="C373" s="7" t="inlineStr">
        <is>
          <t>mês (inteiro ≥ 0)</t>
        </is>
      </c>
      <c r="D373" s="8" t="inlineStr">
        <is>
          <t>custos[3].inicio_mes</t>
        </is>
      </c>
    </row>
    <row r="374">
      <c r="A374" s="5" t="inlineStr">
        <is>
          <t>Custo 3 — Duração (só customizado)</t>
        </is>
      </c>
      <c r="B374" s="15" t="n"/>
      <c r="C374" s="7" t="inlineStr">
        <is>
          <t>meses (inteiro ≥ 1)</t>
        </is>
      </c>
      <c r="D374" s="8" t="inlineStr">
        <is>
          <t>custos[3].duracao_meses</t>
        </is>
      </c>
    </row>
    <row r="375">
      <c r="A375" s="16" t="inlineStr">
        <is>
          <t>Custo 4</t>
        </is>
      </c>
    </row>
    <row r="376">
      <c r="A376" s="5" t="inlineStr">
        <is>
          <t>Custo 4 — Grupo</t>
        </is>
      </c>
      <c r="B376" s="6" t="n"/>
      <c r="C376" s="7" t="inlineStr">
        <is>
          <t>lista: terreno | obra | diretos | indireto | financeiro</t>
        </is>
      </c>
      <c r="D376" s="8" t="inlineStr">
        <is>
          <t>custos[4].grupo</t>
        </is>
      </c>
    </row>
    <row r="377">
      <c r="A377" s="5" t="inlineStr">
        <is>
          <t>Custo 4 — Categoria</t>
        </is>
      </c>
      <c r="B377" s="6" t="n"/>
      <c r="C377" s="7" t="inlineStr">
        <is>
          <t>ver tabela acima</t>
        </is>
      </c>
      <c r="D377" s="8" t="inlineStr">
        <is>
          <t>custos[4].categoria</t>
        </is>
      </c>
    </row>
    <row r="378">
      <c r="A378" s="5" t="inlineStr">
        <is>
          <t>Custo 4 — Subcategoria / descrição</t>
        </is>
      </c>
      <c r="B378" s="6" t="n"/>
      <c r="C378" s="7" t="inlineStr">
        <is>
          <t>Preço: Valor à vista | Parcelado; Outro: texto</t>
        </is>
      </c>
      <c r="D378" s="8" t="inlineStr">
        <is>
          <t>custos[4].subcategoria</t>
        </is>
      </c>
    </row>
    <row r="379">
      <c r="A379" s="5" t="inlineStr">
        <is>
          <t>Custo 4 — Unidade</t>
        </is>
      </c>
      <c r="B379" s="6" t="n"/>
      <c r="C379" s="7" t="inlineStr">
        <is>
          <t>lista: rs | rs_m2_priv | rs_m2_terreno | pct_vgv | pct_obra | pct_recebido | pct_constr</t>
        </is>
      </c>
      <c r="D379" s="8" t="inlineStr">
        <is>
          <t>custos[4].unidade</t>
        </is>
      </c>
    </row>
    <row r="380">
      <c r="A380" s="5" t="inlineStr">
        <is>
          <t>Custo 4 — Valor (R$ ou R$/m²)</t>
        </is>
      </c>
      <c r="B380" s="17" t="n"/>
      <c r="C380" s="7">
        <f>IF($B$379="","escolha a Unidade acima",IF($B$379="rs","R$ (valor cheio)",IF($B$379="rs_m2_priv","R$/m² privativo (fechada+aberta)",IF($B$379="rs_m2_terreno","R$/m² de terreno",IF(LEFT($B$379,3)="pct","— (use a linha de %)","unidade inválida")))))</f>
        <v/>
      </c>
      <c r="D380" s="8" t="inlineStr">
        <is>
          <t>custos[4].valor_rs</t>
        </is>
      </c>
    </row>
    <row r="381">
      <c r="A381" s="5" t="inlineStr">
        <is>
          <t>Custo 4 — Valor (%)</t>
        </is>
      </c>
      <c r="B381" s="12" t="n"/>
      <c r="C381" s="7">
        <f>IF($B$379="","escolha a Unidade acima",IF($B$379="pct_vgv","% do VGV",IF($B$379="pct_receita","% da receita líquida (RET, sem juros)",IF($B$379="pct_obra","% da obra (grupo Obras inteiro)",IF($B$379="pct_recebido","% do recebido (com juros de tabela)",IF($B$379="pct_constr","% da construção (constr.+decor.+gestão da obra)",IF(LEFT($B$379,2)="rs","— (use a linha de R$)","unidade inválida"))))))</f>
        <v/>
      </c>
      <c r="D381" s="8" t="inlineStr">
        <is>
          <t>custos[4].valor_pct</t>
        </is>
      </c>
    </row>
    <row r="382">
      <c r="A382" s="5" t="inlineStr">
        <is>
          <t>Custo 4 — Distribuição</t>
        </is>
      </c>
      <c r="B382" s="6" t="n"/>
      <c r="C382" s="7" t="inlineStr">
        <is>
          <t>Linear | nome de uma curva do catálogo (ex.: Curva S) | unit_delivery | sales_revenue</t>
        </is>
      </c>
      <c r="D382" s="8" t="inlineStr">
        <is>
          <t>custos[4].distribuicao</t>
        </is>
      </c>
    </row>
    <row r="383">
      <c r="A383" s="5" t="inlineStr">
        <is>
          <t>Custo 4 — Cronograma</t>
        </is>
      </c>
      <c r="B383" s="6" t="n"/>
      <c r="C383" s="7" t="inlineStr">
        <is>
          <t>evento, customizado ou "fase: &lt;nome&gt;"</t>
        </is>
      </c>
      <c r="D383" s="8" t="inlineStr">
        <is>
          <t>custos[4].cronograma</t>
        </is>
      </c>
    </row>
    <row r="384">
      <c r="A384" s="5" t="inlineStr">
        <is>
          <t>Custo 4 — Início (só customizado)</t>
        </is>
      </c>
      <c r="B384" s="15" t="n"/>
      <c r="C384" s="7" t="inlineStr">
        <is>
          <t>mês (inteiro ≥ 0)</t>
        </is>
      </c>
      <c r="D384" s="8" t="inlineStr">
        <is>
          <t>custos[4].inicio_mes</t>
        </is>
      </c>
    </row>
    <row r="385">
      <c r="A385" s="5" t="inlineStr">
        <is>
          <t>Custo 4 — Duração (só customizado)</t>
        </is>
      </c>
      <c r="B385" s="15" t="n"/>
      <c r="C385" s="7" t="inlineStr">
        <is>
          <t>meses (inteiro ≥ 1)</t>
        </is>
      </c>
      <c r="D385" s="8" t="inlineStr">
        <is>
          <t>custos[4].duracao_meses</t>
        </is>
      </c>
    </row>
    <row r="386">
      <c r="A386" s="16" t="inlineStr">
        <is>
          <t>Custo 5</t>
        </is>
      </c>
    </row>
    <row r="387">
      <c r="A387" s="5" t="inlineStr">
        <is>
          <t>Custo 5 — Grupo</t>
        </is>
      </c>
      <c r="B387" s="6" t="n"/>
      <c r="C387" s="7" t="inlineStr">
        <is>
          <t>lista: terreno | obra | diretos | indireto | financeiro</t>
        </is>
      </c>
      <c r="D387" s="8" t="inlineStr">
        <is>
          <t>custos[5].grupo</t>
        </is>
      </c>
    </row>
    <row r="388">
      <c r="A388" s="5" t="inlineStr">
        <is>
          <t>Custo 5 — Categoria</t>
        </is>
      </c>
      <c r="B388" s="6" t="n"/>
      <c r="C388" s="7" t="inlineStr">
        <is>
          <t>ver tabela acima</t>
        </is>
      </c>
      <c r="D388" s="8" t="inlineStr">
        <is>
          <t>custos[5].categoria</t>
        </is>
      </c>
    </row>
    <row r="389">
      <c r="A389" s="5" t="inlineStr">
        <is>
          <t>Custo 5 — Subcategoria / descrição</t>
        </is>
      </c>
      <c r="B389" s="6" t="n"/>
      <c r="C389" s="7" t="inlineStr">
        <is>
          <t>Preço: Valor à vista | Parcelado; Outro: texto</t>
        </is>
      </c>
      <c r="D389" s="8" t="inlineStr">
        <is>
          <t>custos[5].subcategoria</t>
        </is>
      </c>
    </row>
    <row r="390">
      <c r="A390" s="5" t="inlineStr">
        <is>
          <t>Custo 5 — Unidade</t>
        </is>
      </c>
      <c r="B390" s="6" t="n"/>
      <c r="C390" s="7" t="inlineStr">
        <is>
          <t>lista: rs | rs_m2_priv | rs_m2_terreno | pct_vgv | pct_obra | pct_recebido | pct_constr</t>
        </is>
      </c>
      <c r="D390" s="8" t="inlineStr">
        <is>
          <t>custos[5].unidade</t>
        </is>
      </c>
    </row>
    <row r="391">
      <c r="A391" s="5" t="inlineStr">
        <is>
          <t>Custo 5 — Valor (R$ ou R$/m²)</t>
        </is>
      </c>
      <c r="B391" s="17" t="n"/>
      <c r="C391" s="7">
        <f>IF($B$390="","escolha a Unidade acima",IF($B$390="rs","R$ (valor cheio)",IF($B$390="rs_m2_priv","R$/m² privativo (fechada+aberta)",IF($B$390="rs_m2_terreno","R$/m² de terreno",IF(LEFT($B$390,3)="pct","— (use a linha de %)","unidade inválida")))))</f>
        <v/>
      </c>
      <c r="D391" s="8" t="inlineStr">
        <is>
          <t>custos[5].valor_rs</t>
        </is>
      </c>
    </row>
    <row r="392">
      <c r="A392" s="5" t="inlineStr">
        <is>
          <t>Custo 5 — Valor (%)</t>
        </is>
      </c>
      <c r="B392" s="12" t="n"/>
      <c r="C392" s="7">
        <f>IF($B$390="","escolha a Unidade acima",IF($B$390="pct_vgv","% do VGV",IF($B$390="pct_receita","% da receita líquida (RET, sem juros)",IF($B$390="pct_obra","% da obra (grupo Obras inteiro)",IF($B$390="pct_recebido","% do recebido (com juros de tabela)",IF($B$390="pct_constr","% da construção (constr.+decor.+gestão da obra)",IF(LEFT($B$390,2)="rs","— (use a linha de R$)","unidade inválida"))))))</f>
        <v/>
      </c>
      <c r="D392" s="8" t="inlineStr">
        <is>
          <t>custos[5].valor_pct</t>
        </is>
      </c>
    </row>
    <row r="393">
      <c r="A393" s="5" t="inlineStr">
        <is>
          <t>Custo 5 — Distribuição</t>
        </is>
      </c>
      <c r="B393" s="6" t="n"/>
      <c r="C393" s="7" t="inlineStr">
        <is>
          <t>Linear | nome de uma curva do catálogo (ex.: Curva S) | unit_delivery | sales_revenue</t>
        </is>
      </c>
      <c r="D393" s="8" t="inlineStr">
        <is>
          <t>custos[5].distribuicao</t>
        </is>
      </c>
    </row>
    <row r="394">
      <c r="A394" s="5" t="inlineStr">
        <is>
          <t>Custo 5 — Cronograma</t>
        </is>
      </c>
      <c r="B394" s="6" t="n"/>
      <c r="C394" s="7" t="inlineStr">
        <is>
          <t>evento, customizado ou "fase: &lt;nome&gt;"</t>
        </is>
      </c>
      <c r="D394" s="8" t="inlineStr">
        <is>
          <t>custos[5].cronograma</t>
        </is>
      </c>
    </row>
    <row r="395">
      <c r="A395" s="5" t="inlineStr">
        <is>
          <t>Custo 5 — Início (só customizado)</t>
        </is>
      </c>
      <c r="B395" s="15" t="n"/>
      <c r="C395" s="7" t="inlineStr">
        <is>
          <t>mês (inteiro ≥ 0)</t>
        </is>
      </c>
      <c r="D395" s="8" t="inlineStr">
        <is>
          <t>custos[5].inicio_mes</t>
        </is>
      </c>
    </row>
    <row r="396">
      <c r="A396" s="5" t="inlineStr">
        <is>
          <t>Custo 5 — Duração (só customizado)</t>
        </is>
      </c>
      <c r="B396" s="15" t="n"/>
      <c r="C396" s="7" t="inlineStr">
        <is>
          <t>meses (inteiro ≥ 1)</t>
        </is>
      </c>
      <c r="D396" s="8" t="inlineStr">
        <is>
          <t>custos[5].duracao_meses</t>
        </is>
      </c>
    </row>
    <row r="397">
      <c r="A397" s="16" t="inlineStr">
        <is>
          <t>Custo 6</t>
        </is>
      </c>
    </row>
    <row r="398">
      <c r="A398" s="5" t="inlineStr">
        <is>
          <t>Custo 6 — Grupo</t>
        </is>
      </c>
      <c r="B398" s="6" t="n"/>
      <c r="C398" s="7" t="inlineStr">
        <is>
          <t>lista: terreno | obra | diretos | indireto | financeiro</t>
        </is>
      </c>
      <c r="D398" s="8" t="inlineStr">
        <is>
          <t>custos[6].grupo</t>
        </is>
      </c>
    </row>
    <row r="399">
      <c r="A399" s="5" t="inlineStr">
        <is>
          <t>Custo 6 — Categoria</t>
        </is>
      </c>
      <c r="B399" s="6" t="n"/>
      <c r="C399" s="7" t="inlineStr">
        <is>
          <t>ver tabela acima</t>
        </is>
      </c>
      <c r="D399" s="8" t="inlineStr">
        <is>
          <t>custos[6].categoria</t>
        </is>
      </c>
    </row>
    <row r="400">
      <c r="A400" s="5" t="inlineStr">
        <is>
          <t>Custo 6 — Subcategoria / descrição</t>
        </is>
      </c>
      <c r="B400" s="6" t="n"/>
      <c r="C400" s="7" t="inlineStr">
        <is>
          <t>Preço: Valor à vista | Parcelado; Outro: texto</t>
        </is>
      </c>
      <c r="D400" s="8" t="inlineStr">
        <is>
          <t>custos[6].subcategoria</t>
        </is>
      </c>
    </row>
    <row r="401">
      <c r="A401" s="5" t="inlineStr">
        <is>
          <t>Custo 6 — Unidade</t>
        </is>
      </c>
      <c r="B401" s="6" t="n"/>
      <c r="C401" s="7" t="inlineStr">
        <is>
          <t>lista: rs | rs_m2_priv | rs_m2_terreno | pct_vgv | pct_obra | pct_recebido | pct_constr</t>
        </is>
      </c>
      <c r="D401" s="8" t="inlineStr">
        <is>
          <t>custos[6].unidade</t>
        </is>
      </c>
    </row>
    <row r="402">
      <c r="A402" s="5" t="inlineStr">
        <is>
          <t>Custo 6 — Valor (R$ ou R$/m²)</t>
        </is>
      </c>
      <c r="B402" s="17" t="n"/>
      <c r="C402" s="7">
        <f>IF($B$401="","escolha a Unidade acima",IF($B$401="rs","R$ (valor cheio)",IF($B$401="rs_m2_priv","R$/m² privativo (fechada+aberta)",IF($B$401="rs_m2_terreno","R$/m² de terreno",IF(LEFT($B$401,3)="pct","— (use a linha de %)","unidade inválida")))))</f>
        <v/>
      </c>
      <c r="D402" s="8" t="inlineStr">
        <is>
          <t>custos[6].valor_rs</t>
        </is>
      </c>
    </row>
    <row r="403">
      <c r="A403" s="5" t="inlineStr">
        <is>
          <t>Custo 6 — Valor (%)</t>
        </is>
      </c>
      <c r="B403" s="12" t="n"/>
      <c r="C403" s="7">
        <f>IF($B$401="","escolha a Unidade acima",IF($B$401="pct_vgv","% do VGV",IF($B$401="pct_receita","% da receita líquida (RET, sem juros)",IF($B$401="pct_obra","% da obra (grupo Obras inteiro)",IF($B$401="pct_recebido","% do recebido (com juros de tabela)",IF($B$401="pct_constr","% da construção (constr.+decor.+gestão da obra)",IF(LEFT($B$401,2)="rs","— (use a linha de R$)","unidade inválida"))))))</f>
        <v/>
      </c>
      <c r="D403" s="8" t="inlineStr">
        <is>
          <t>custos[6].valor_pct</t>
        </is>
      </c>
    </row>
    <row r="404">
      <c r="A404" s="5" t="inlineStr">
        <is>
          <t>Custo 6 — Distribuição</t>
        </is>
      </c>
      <c r="B404" s="6" t="n"/>
      <c r="C404" s="7" t="inlineStr">
        <is>
          <t>Linear | nome de uma curva do catálogo (ex.: Curva S) | unit_delivery | sales_revenue</t>
        </is>
      </c>
      <c r="D404" s="8" t="inlineStr">
        <is>
          <t>custos[6].distribuicao</t>
        </is>
      </c>
    </row>
    <row r="405">
      <c r="A405" s="5" t="inlineStr">
        <is>
          <t>Custo 6 — Cronograma</t>
        </is>
      </c>
      <c r="B405" s="6" t="n"/>
      <c r="C405" s="7" t="inlineStr">
        <is>
          <t>evento, customizado ou "fase: &lt;nome&gt;"</t>
        </is>
      </c>
      <c r="D405" s="8" t="inlineStr">
        <is>
          <t>custos[6].cronograma</t>
        </is>
      </c>
    </row>
    <row r="406">
      <c r="A406" s="5" t="inlineStr">
        <is>
          <t>Custo 6 — Início (só customizado)</t>
        </is>
      </c>
      <c r="B406" s="15" t="n"/>
      <c r="C406" s="7" t="inlineStr">
        <is>
          <t>mês (inteiro ≥ 0)</t>
        </is>
      </c>
      <c r="D406" s="8" t="inlineStr">
        <is>
          <t>custos[6].inicio_mes</t>
        </is>
      </c>
    </row>
    <row r="407">
      <c r="A407" s="5" t="inlineStr">
        <is>
          <t>Custo 6 — Duração (só customizado)</t>
        </is>
      </c>
      <c r="B407" s="15" t="n"/>
      <c r="C407" s="7" t="inlineStr">
        <is>
          <t>meses (inteiro ≥ 1)</t>
        </is>
      </c>
      <c r="D407" s="8" t="inlineStr">
        <is>
          <t>custos[6].duracao_meses</t>
        </is>
      </c>
    </row>
    <row r="408">
      <c r="A408" s="16" t="inlineStr">
        <is>
          <t>Custo 7</t>
        </is>
      </c>
    </row>
    <row r="409">
      <c r="A409" s="5" t="inlineStr">
        <is>
          <t>Custo 7 — Grupo</t>
        </is>
      </c>
      <c r="B409" s="6" t="n"/>
      <c r="C409" s="7" t="inlineStr">
        <is>
          <t>lista: terreno | obra | diretos | indireto | financeiro</t>
        </is>
      </c>
      <c r="D409" s="8" t="inlineStr">
        <is>
          <t>custos[7].grupo</t>
        </is>
      </c>
    </row>
    <row r="410">
      <c r="A410" s="5" t="inlineStr">
        <is>
          <t>Custo 7 — Categoria</t>
        </is>
      </c>
      <c r="B410" s="6" t="n"/>
      <c r="C410" s="7" t="inlineStr">
        <is>
          <t>ver tabela acima</t>
        </is>
      </c>
      <c r="D410" s="8" t="inlineStr">
        <is>
          <t>custos[7].categoria</t>
        </is>
      </c>
    </row>
    <row r="411">
      <c r="A411" s="5" t="inlineStr">
        <is>
          <t>Custo 7 — Subcategoria / descrição</t>
        </is>
      </c>
      <c r="B411" s="6" t="n"/>
      <c r="C411" s="7" t="inlineStr">
        <is>
          <t>Preço: Valor à vista | Parcelado; Outro: texto</t>
        </is>
      </c>
      <c r="D411" s="8" t="inlineStr">
        <is>
          <t>custos[7].subcategoria</t>
        </is>
      </c>
    </row>
    <row r="412">
      <c r="A412" s="5" t="inlineStr">
        <is>
          <t>Custo 7 — Unidade</t>
        </is>
      </c>
      <c r="B412" s="6" t="n"/>
      <c r="C412" s="7" t="inlineStr">
        <is>
          <t>lista: rs | rs_m2_priv | rs_m2_terreno | pct_vgv | pct_obra | pct_recebido | pct_constr</t>
        </is>
      </c>
      <c r="D412" s="8" t="inlineStr">
        <is>
          <t>custos[7].unidade</t>
        </is>
      </c>
    </row>
    <row r="413">
      <c r="A413" s="5" t="inlineStr">
        <is>
          <t>Custo 7 — Valor (R$ ou R$/m²)</t>
        </is>
      </c>
      <c r="B413" s="17" t="n"/>
      <c r="C413" s="7">
        <f>IF($B$412="","escolha a Unidade acima",IF($B$412="rs","R$ (valor cheio)",IF($B$412="rs_m2_priv","R$/m² privativo (fechada+aberta)",IF($B$412="rs_m2_terreno","R$/m² de terreno",IF(LEFT($B$412,3)="pct","— (use a linha de %)","unidade inválida")))))</f>
        <v/>
      </c>
      <c r="D413" s="8" t="inlineStr">
        <is>
          <t>custos[7].valor_rs</t>
        </is>
      </c>
    </row>
    <row r="414">
      <c r="A414" s="5" t="inlineStr">
        <is>
          <t>Custo 7 — Valor (%)</t>
        </is>
      </c>
      <c r="B414" s="12" t="n"/>
      <c r="C414" s="7">
        <f>IF($B$412="","escolha a Unidade acima",IF($B$412="pct_vgv","% do VGV",IF($B$412="pct_receita","% da receita líquida (RET, sem juros)",IF($B$412="pct_obra","% da obra (grupo Obras inteiro)",IF($B$412="pct_recebido","% do recebido (com juros de tabela)",IF($B$412="pct_constr","% da construção (constr.+decor.+gestão da obra)",IF(LEFT($B$412,2)="rs","— (use a linha de R$)","unidade inválida"))))))</f>
        <v/>
      </c>
      <c r="D414" s="8" t="inlineStr">
        <is>
          <t>custos[7].valor_pct</t>
        </is>
      </c>
    </row>
    <row r="415">
      <c r="A415" s="5" t="inlineStr">
        <is>
          <t>Custo 7 — Distribuição</t>
        </is>
      </c>
      <c r="B415" s="6" t="n"/>
      <c r="C415" s="7" t="inlineStr">
        <is>
          <t>Linear | nome de uma curva do catálogo (ex.: Curva S) | unit_delivery | sales_revenue</t>
        </is>
      </c>
      <c r="D415" s="8" t="inlineStr">
        <is>
          <t>custos[7].distribuicao</t>
        </is>
      </c>
    </row>
    <row r="416">
      <c r="A416" s="5" t="inlineStr">
        <is>
          <t>Custo 7 — Cronograma</t>
        </is>
      </c>
      <c r="B416" s="6" t="n"/>
      <c r="C416" s="7" t="inlineStr">
        <is>
          <t>evento, customizado ou "fase: &lt;nome&gt;"</t>
        </is>
      </c>
      <c r="D416" s="8" t="inlineStr">
        <is>
          <t>custos[7].cronograma</t>
        </is>
      </c>
    </row>
    <row r="417">
      <c r="A417" s="5" t="inlineStr">
        <is>
          <t>Custo 7 — Início (só customizado)</t>
        </is>
      </c>
      <c r="B417" s="15" t="n"/>
      <c r="C417" s="7" t="inlineStr">
        <is>
          <t>mês (inteiro ≥ 0)</t>
        </is>
      </c>
      <c r="D417" s="8" t="inlineStr">
        <is>
          <t>custos[7].inicio_mes</t>
        </is>
      </c>
    </row>
    <row r="418">
      <c r="A418" s="5" t="inlineStr">
        <is>
          <t>Custo 7 — Duração (só customizado)</t>
        </is>
      </c>
      <c r="B418" s="15" t="n"/>
      <c r="C418" s="7" t="inlineStr">
        <is>
          <t>meses (inteiro ≥ 1)</t>
        </is>
      </c>
      <c r="D418" s="8" t="inlineStr">
        <is>
          <t>custos[7].duracao_meses</t>
        </is>
      </c>
    </row>
    <row r="419">
      <c r="A419" s="16" t="inlineStr">
        <is>
          <t>Custo 8</t>
        </is>
      </c>
    </row>
    <row r="420">
      <c r="A420" s="5" t="inlineStr">
        <is>
          <t>Custo 8 — Grupo</t>
        </is>
      </c>
      <c r="B420" s="6" t="n"/>
      <c r="C420" s="7" t="inlineStr">
        <is>
          <t>lista: terreno | obra | diretos | indireto | financeiro</t>
        </is>
      </c>
      <c r="D420" s="8" t="inlineStr">
        <is>
          <t>custos[8].grupo</t>
        </is>
      </c>
    </row>
    <row r="421">
      <c r="A421" s="5" t="inlineStr">
        <is>
          <t>Custo 8 — Categoria</t>
        </is>
      </c>
      <c r="B421" s="6" t="n"/>
      <c r="C421" s="7" t="inlineStr">
        <is>
          <t>ver tabela acima</t>
        </is>
      </c>
      <c r="D421" s="8" t="inlineStr">
        <is>
          <t>custos[8].categoria</t>
        </is>
      </c>
    </row>
    <row r="422">
      <c r="A422" s="5" t="inlineStr">
        <is>
          <t>Custo 8 — Subcategoria / descrição</t>
        </is>
      </c>
      <c r="B422" s="6" t="n"/>
      <c r="C422" s="7" t="inlineStr">
        <is>
          <t>Preço: Valor à vista | Parcelado; Outro: texto</t>
        </is>
      </c>
      <c r="D422" s="8" t="inlineStr">
        <is>
          <t>custos[8].subcategoria</t>
        </is>
      </c>
    </row>
    <row r="423">
      <c r="A423" s="5" t="inlineStr">
        <is>
          <t>Custo 8 — Unidade</t>
        </is>
      </c>
      <c r="B423" s="6" t="n"/>
      <c r="C423" s="7" t="inlineStr">
        <is>
          <t>lista: rs | rs_m2_priv | rs_m2_terreno | pct_vgv | pct_obra | pct_recebido | pct_constr</t>
        </is>
      </c>
      <c r="D423" s="8" t="inlineStr">
        <is>
          <t>custos[8].unidade</t>
        </is>
      </c>
    </row>
    <row r="424">
      <c r="A424" s="5" t="inlineStr">
        <is>
          <t>Custo 8 — Valor (R$ ou R$/m²)</t>
        </is>
      </c>
      <c r="B424" s="17" t="n"/>
      <c r="C424" s="7">
        <f>IF($B$423="","escolha a Unidade acima",IF($B$423="rs","R$ (valor cheio)",IF($B$423="rs_m2_priv","R$/m² privativo (fechada+aberta)",IF($B$423="rs_m2_terreno","R$/m² de terreno",IF(LEFT($B$423,3)="pct","— (use a linha de %)","unidade inválida")))))</f>
        <v/>
      </c>
      <c r="D424" s="8" t="inlineStr">
        <is>
          <t>custos[8].valor_rs</t>
        </is>
      </c>
    </row>
    <row r="425">
      <c r="A425" s="5" t="inlineStr">
        <is>
          <t>Custo 8 — Valor (%)</t>
        </is>
      </c>
      <c r="B425" s="12" t="n"/>
      <c r="C425" s="7">
        <f>IF($B$423="","escolha a Unidade acima",IF($B$423="pct_vgv","% do VGV",IF($B$423="pct_receita","% da receita líquida (RET, sem juros)",IF($B$423="pct_obra","% da obra (grupo Obras inteiro)",IF($B$423="pct_recebido","% do recebido (com juros de tabela)",IF($B$423="pct_constr","% da construção (constr.+decor.+gestão da obra)",IF(LEFT($B$423,2)="rs","— (use a linha de R$)","unidade inválida"))))))</f>
        <v/>
      </c>
      <c r="D425" s="8" t="inlineStr">
        <is>
          <t>custos[8].valor_pct</t>
        </is>
      </c>
    </row>
    <row r="426">
      <c r="A426" s="5" t="inlineStr">
        <is>
          <t>Custo 8 — Distribuição</t>
        </is>
      </c>
      <c r="B426" s="6" t="n"/>
      <c r="C426" s="7" t="inlineStr">
        <is>
          <t>Linear | nome de uma curva do catálogo (ex.: Curva S) | unit_delivery | sales_revenue</t>
        </is>
      </c>
      <c r="D426" s="8" t="inlineStr">
        <is>
          <t>custos[8].distribuicao</t>
        </is>
      </c>
    </row>
    <row r="427">
      <c r="A427" s="5" t="inlineStr">
        <is>
          <t>Custo 8 — Cronograma</t>
        </is>
      </c>
      <c r="B427" s="6" t="n"/>
      <c r="C427" s="7" t="inlineStr">
        <is>
          <t>evento, customizado ou "fase: &lt;nome&gt;"</t>
        </is>
      </c>
      <c r="D427" s="8" t="inlineStr">
        <is>
          <t>custos[8].cronograma</t>
        </is>
      </c>
    </row>
    <row r="428">
      <c r="A428" s="5" t="inlineStr">
        <is>
          <t>Custo 8 — Início (só customizado)</t>
        </is>
      </c>
      <c r="B428" s="15" t="n"/>
      <c r="C428" s="7" t="inlineStr">
        <is>
          <t>mês (inteiro ≥ 0)</t>
        </is>
      </c>
      <c r="D428" s="8" t="inlineStr">
        <is>
          <t>custos[8].inicio_mes</t>
        </is>
      </c>
    </row>
    <row r="429">
      <c r="A429" s="5" t="inlineStr">
        <is>
          <t>Custo 8 — Duração (só customizado)</t>
        </is>
      </c>
      <c r="B429" s="15" t="n"/>
      <c r="C429" s="7" t="inlineStr">
        <is>
          <t>meses (inteiro ≥ 1)</t>
        </is>
      </c>
      <c r="D429" s="8" t="inlineStr">
        <is>
          <t>custos[8].duracao_meses</t>
        </is>
      </c>
    </row>
    <row r="430">
      <c r="A430" s="16" t="inlineStr">
        <is>
          <t>Custo 9</t>
        </is>
      </c>
    </row>
    <row r="431">
      <c r="A431" s="5" t="inlineStr">
        <is>
          <t>Custo 9 — Grupo</t>
        </is>
      </c>
      <c r="B431" s="6" t="n"/>
      <c r="C431" s="7" t="inlineStr">
        <is>
          <t>lista: terreno | obra | diretos | indireto | financeiro</t>
        </is>
      </c>
      <c r="D431" s="8" t="inlineStr">
        <is>
          <t>custos[9].grupo</t>
        </is>
      </c>
    </row>
    <row r="432">
      <c r="A432" s="5" t="inlineStr">
        <is>
          <t>Custo 9 — Categoria</t>
        </is>
      </c>
      <c r="B432" s="6" t="n"/>
      <c r="C432" s="7" t="inlineStr">
        <is>
          <t>ver tabela acima</t>
        </is>
      </c>
      <c r="D432" s="8" t="inlineStr">
        <is>
          <t>custos[9].categoria</t>
        </is>
      </c>
    </row>
    <row r="433">
      <c r="A433" s="5" t="inlineStr">
        <is>
          <t>Custo 9 — Subcategoria / descrição</t>
        </is>
      </c>
      <c r="B433" s="6" t="n"/>
      <c r="C433" s="7" t="inlineStr">
        <is>
          <t>Preço: Valor à vista | Parcelado; Outro: texto</t>
        </is>
      </c>
      <c r="D433" s="8" t="inlineStr">
        <is>
          <t>custos[9].subcategoria</t>
        </is>
      </c>
    </row>
    <row r="434">
      <c r="A434" s="5" t="inlineStr">
        <is>
          <t>Custo 9 — Unidade</t>
        </is>
      </c>
      <c r="B434" s="6" t="n"/>
      <c r="C434" s="7" t="inlineStr">
        <is>
          <t>lista: rs | rs_m2_priv | rs_m2_terreno | pct_vgv | pct_obra | pct_recebido | pct_constr</t>
        </is>
      </c>
      <c r="D434" s="8" t="inlineStr">
        <is>
          <t>custos[9].unidade</t>
        </is>
      </c>
    </row>
    <row r="435">
      <c r="A435" s="5" t="inlineStr">
        <is>
          <t>Custo 9 — Valor (R$ ou R$/m²)</t>
        </is>
      </c>
      <c r="B435" s="17" t="n"/>
      <c r="C435" s="7">
        <f>IF($B$434="","escolha a Unidade acima",IF($B$434="rs","R$ (valor cheio)",IF($B$434="rs_m2_priv","R$/m² privativo (fechada+aberta)",IF($B$434="rs_m2_terreno","R$/m² de terreno",IF(LEFT($B$434,3)="pct","— (use a linha de %)","unidade inválida")))))</f>
        <v/>
      </c>
      <c r="D435" s="8" t="inlineStr">
        <is>
          <t>custos[9].valor_rs</t>
        </is>
      </c>
    </row>
    <row r="436">
      <c r="A436" s="5" t="inlineStr">
        <is>
          <t>Custo 9 — Valor (%)</t>
        </is>
      </c>
      <c r="B436" s="12" t="n"/>
      <c r="C436" s="7">
        <f>IF($B$434="","escolha a Unidade acima",IF($B$434="pct_vgv","% do VGV",IF($B$434="pct_receita","% da receita líquida (RET, sem juros)",IF($B$434="pct_obra","% da obra (grupo Obras inteiro)",IF($B$434="pct_recebido","% do recebido (com juros de tabela)",IF($B$434="pct_constr","% da construção (constr.+decor.+gestão da obra)",IF(LEFT($B$434,2)="rs","— (use a linha de R$)","unidade inválida"))))))</f>
        <v/>
      </c>
      <c r="D436" s="8" t="inlineStr">
        <is>
          <t>custos[9].valor_pct</t>
        </is>
      </c>
    </row>
    <row r="437">
      <c r="A437" s="5" t="inlineStr">
        <is>
          <t>Custo 9 — Distribuição</t>
        </is>
      </c>
      <c r="B437" s="6" t="n"/>
      <c r="C437" s="7" t="inlineStr">
        <is>
          <t>Linear | nome de uma curva do catálogo (ex.: Curva S) | unit_delivery | sales_revenue</t>
        </is>
      </c>
      <c r="D437" s="8" t="inlineStr">
        <is>
          <t>custos[9].distribuicao</t>
        </is>
      </c>
    </row>
    <row r="438">
      <c r="A438" s="5" t="inlineStr">
        <is>
          <t>Custo 9 — Cronograma</t>
        </is>
      </c>
      <c r="B438" s="6" t="n"/>
      <c r="C438" s="7" t="inlineStr">
        <is>
          <t>evento, customizado ou "fase: &lt;nome&gt;"</t>
        </is>
      </c>
      <c r="D438" s="8" t="inlineStr">
        <is>
          <t>custos[9].cronograma</t>
        </is>
      </c>
    </row>
    <row r="439">
      <c r="A439" s="5" t="inlineStr">
        <is>
          <t>Custo 9 — Início (só customizado)</t>
        </is>
      </c>
      <c r="B439" s="15" t="n"/>
      <c r="C439" s="7" t="inlineStr">
        <is>
          <t>mês (inteiro ≥ 0)</t>
        </is>
      </c>
      <c r="D439" s="8" t="inlineStr">
        <is>
          <t>custos[9].inicio_mes</t>
        </is>
      </c>
    </row>
    <row r="440">
      <c r="A440" s="5" t="inlineStr">
        <is>
          <t>Custo 9 — Duração (só customizado)</t>
        </is>
      </c>
      <c r="B440" s="15" t="n"/>
      <c r="C440" s="7" t="inlineStr">
        <is>
          <t>meses (inteiro ≥ 1)</t>
        </is>
      </c>
      <c r="D440" s="8" t="inlineStr">
        <is>
          <t>custos[9].duracao_meses</t>
        </is>
      </c>
    </row>
    <row r="441">
      <c r="A441" s="16" t="inlineStr">
        <is>
          <t>Custo 10</t>
        </is>
      </c>
    </row>
    <row r="442">
      <c r="A442" s="5" t="inlineStr">
        <is>
          <t>Custo 10 — Grupo</t>
        </is>
      </c>
      <c r="B442" s="6" t="n"/>
      <c r="C442" s="7" t="inlineStr">
        <is>
          <t>lista: terreno | obra | diretos | indireto | financeiro</t>
        </is>
      </c>
      <c r="D442" s="8" t="inlineStr">
        <is>
          <t>custos[10].grupo</t>
        </is>
      </c>
    </row>
    <row r="443">
      <c r="A443" s="5" t="inlineStr">
        <is>
          <t>Custo 10 — Categoria</t>
        </is>
      </c>
      <c r="B443" s="6" t="n"/>
      <c r="C443" s="7" t="inlineStr">
        <is>
          <t>ver tabela acima</t>
        </is>
      </c>
      <c r="D443" s="8" t="inlineStr">
        <is>
          <t>custos[10].categoria</t>
        </is>
      </c>
    </row>
    <row r="444">
      <c r="A444" s="5" t="inlineStr">
        <is>
          <t>Custo 10 — Subcategoria / descrição</t>
        </is>
      </c>
      <c r="B444" s="6" t="n"/>
      <c r="C444" s="7" t="inlineStr">
        <is>
          <t>Preço: Valor à vista | Parcelado; Outro: texto</t>
        </is>
      </c>
      <c r="D444" s="8" t="inlineStr">
        <is>
          <t>custos[10].subcategoria</t>
        </is>
      </c>
    </row>
    <row r="445">
      <c r="A445" s="5" t="inlineStr">
        <is>
          <t>Custo 10 — Unidade</t>
        </is>
      </c>
      <c r="B445" s="6" t="n"/>
      <c r="C445" s="7" t="inlineStr">
        <is>
          <t>lista: rs | rs_m2_priv | rs_m2_terreno | pct_vgv | pct_obra | pct_recebido | pct_constr</t>
        </is>
      </c>
      <c r="D445" s="8" t="inlineStr">
        <is>
          <t>custos[10].unidade</t>
        </is>
      </c>
    </row>
    <row r="446">
      <c r="A446" s="5" t="inlineStr">
        <is>
          <t>Custo 10 — Valor (R$ ou R$/m²)</t>
        </is>
      </c>
      <c r="B446" s="17" t="n"/>
      <c r="C446" s="7">
        <f>IF($B$445="","escolha a Unidade acima",IF($B$445="rs","R$ (valor cheio)",IF($B$445="rs_m2_priv","R$/m² privativo (fechada+aberta)",IF($B$445="rs_m2_terreno","R$/m² de terreno",IF(LEFT($B$445,3)="pct","— (use a linha de %)","unidade inválida")))))</f>
        <v/>
      </c>
      <c r="D446" s="8" t="inlineStr">
        <is>
          <t>custos[10].valor_rs</t>
        </is>
      </c>
    </row>
    <row r="447">
      <c r="A447" s="5" t="inlineStr">
        <is>
          <t>Custo 10 — Valor (%)</t>
        </is>
      </c>
      <c r="B447" s="12" t="n"/>
      <c r="C447" s="7">
        <f>IF($B$445="","escolha a Unidade acima",IF($B$445="pct_vgv","% do VGV",IF($B$445="pct_receita","% da receita líquida (RET, sem juros)",IF($B$445="pct_obra","% da obra (grupo Obras inteiro)",IF($B$445="pct_recebido","% do recebido (com juros de tabela)",IF($B$445="pct_constr","% da construção (constr.+decor.+gestão da obra)",IF(LEFT($B$445,2)="rs","— (use a linha de R$)","unidade inválida"))))))</f>
        <v/>
      </c>
      <c r="D447" s="8" t="inlineStr">
        <is>
          <t>custos[10].valor_pct</t>
        </is>
      </c>
    </row>
    <row r="448">
      <c r="A448" s="5" t="inlineStr">
        <is>
          <t>Custo 10 — Distribuição</t>
        </is>
      </c>
      <c r="B448" s="6" t="n"/>
      <c r="C448" s="7" t="inlineStr">
        <is>
          <t>Linear | nome de uma curva do catálogo (ex.: Curva S) | unit_delivery | sales_revenue</t>
        </is>
      </c>
      <c r="D448" s="8" t="inlineStr">
        <is>
          <t>custos[10].distribuicao</t>
        </is>
      </c>
    </row>
    <row r="449">
      <c r="A449" s="5" t="inlineStr">
        <is>
          <t>Custo 10 — Cronograma</t>
        </is>
      </c>
      <c r="B449" s="6" t="n"/>
      <c r="C449" s="7" t="inlineStr">
        <is>
          <t>evento, customizado ou "fase: &lt;nome&gt;"</t>
        </is>
      </c>
      <c r="D449" s="8" t="inlineStr">
        <is>
          <t>custos[10].cronograma</t>
        </is>
      </c>
    </row>
    <row r="450">
      <c r="A450" s="5" t="inlineStr">
        <is>
          <t>Custo 10 — Início (só customizado)</t>
        </is>
      </c>
      <c r="B450" s="15" t="n"/>
      <c r="C450" s="7" t="inlineStr">
        <is>
          <t>mês (inteiro ≥ 0)</t>
        </is>
      </c>
      <c r="D450" s="8" t="inlineStr">
        <is>
          <t>custos[10].inicio_mes</t>
        </is>
      </c>
    </row>
    <row r="451">
      <c r="A451" s="5" t="inlineStr">
        <is>
          <t>Custo 10 — Duração (só customizado)</t>
        </is>
      </c>
      <c r="B451" s="15" t="n"/>
      <c r="C451" s="7" t="inlineStr">
        <is>
          <t>meses (inteiro ≥ 1)</t>
        </is>
      </c>
      <c r="D451" s="8" t="inlineStr">
        <is>
          <t>custos[10].duracao_meses</t>
        </is>
      </c>
    </row>
    <row r="452">
      <c r="A452" s="16" t="inlineStr">
        <is>
          <t>Custo 11</t>
        </is>
      </c>
    </row>
    <row r="453">
      <c r="A453" s="5" t="inlineStr">
        <is>
          <t>Custo 11 — Grupo</t>
        </is>
      </c>
      <c r="B453" s="6" t="n"/>
      <c r="C453" s="7" t="inlineStr">
        <is>
          <t>lista: terreno | obra | diretos | indireto | financeiro</t>
        </is>
      </c>
      <c r="D453" s="8" t="inlineStr">
        <is>
          <t>custos[11].grupo</t>
        </is>
      </c>
    </row>
    <row r="454">
      <c r="A454" s="5" t="inlineStr">
        <is>
          <t>Custo 11 — Categoria</t>
        </is>
      </c>
      <c r="B454" s="6" t="n"/>
      <c r="C454" s="7" t="inlineStr">
        <is>
          <t>ver tabela acima</t>
        </is>
      </c>
      <c r="D454" s="8" t="inlineStr">
        <is>
          <t>custos[11].categoria</t>
        </is>
      </c>
    </row>
    <row r="455">
      <c r="A455" s="5" t="inlineStr">
        <is>
          <t>Custo 11 — Subcategoria / descrição</t>
        </is>
      </c>
      <c r="B455" s="6" t="n"/>
      <c r="C455" s="7" t="inlineStr">
        <is>
          <t>Preço: Valor à vista | Parcelado; Outro: texto</t>
        </is>
      </c>
      <c r="D455" s="8" t="inlineStr">
        <is>
          <t>custos[11].subcategoria</t>
        </is>
      </c>
    </row>
    <row r="456">
      <c r="A456" s="5" t="inlineStr">
        <is>
          <t>Custo 11 — Unidade</t>
        </is>
      </c>
      <c r="B456" s="6" t="n"/>
      <c r="C456" s="7" t="inlineStr">
        <is>
          <t>lista: rs | rs_m2_priv | rs_m2_terreno | pct_vgv | pct_obra | pct_recebido | pct_constr</t>
        </is>
      </c>
      <c r="D456" s="8" t="inlineStr">
        <is>
          <t>custos[11].unidade</t>
        </is>
      </c>
    </row>
    <row r="457">
      <c r="A457" s="5" t="inlineStr">
        <is>
          <t>Custo 11 — Valor (R$ ou R$/m²)</t>
        </is>
      </c>
      <c r="B457" s="17" t="n"/>
      <c r="C457" s="7">
        <f>IF($B$456="","escolha a Unidade acima",IF($B$456="rs","R$ (valor cheio)",IF($B$456="rs_m2_priv","R$/m² privativo (fechada+aberta)",IF($B$456="rs_m2_terreno","R$/m² de terreno",IF(LEFT($B$456,3)="pct","— (use a linha de %)","unidade inválida")))))</f>
        <v/>
      </c>
      <c r="D457" s="8" t="inlineStr">
        <is>
          <t>custos[11].valor_rs</t>
        </is>
      </c>
    </row>
    <row r="458">
      <c r="A458" s="5" t="inlineStr">
        <is>
          <t>Custo 11 — Valor (%)</t>
        </is>
      </c>
      <c r="B458" s="12" t="n"/>
      <c r="C458" s="7">
        <f>IF($B$456="","escolha a Unidade acima",IF($B$456="pct_vgv","% do VGV",IF($B$456="pct_receita","% da receita líquida (RET, sem juros)",IF($B$456="pct_obra","% da obra (grupo Obras inteiro)",IF($B$456="pct_recebido","% do recebido (com juros de tabela)",IF($B$456="pct_constr","% da construção (constr.+decor.+gestão da obra)",IF(LEFT($B$456,2)="rs","— (use a linha de R$)","unidade inválida"))))))</f>
        <v/>
      </c>
      <c r="D458" s="8" t="inlineStr">
        <is>
          <t>custos[11].valor_pct</t>
        </is>
      </c>
    </row>
    <row r="459">
      <c r="A459" s="5" t="inlineStr">
        <is>
          <t>Custo 11 — Distribuição</t>
        </is>
      </c>
      <c r="B459" s="6" t="n"/>
      <c r="C459" s="7" t="inlineStr">
        <is>
          <t>Linear | nome de uma curva do catálogo (ex.: Curva S) | unit_delivery | sales_revenue</t>
        </is>
      </c>
      <c r="D459" s="8" t="inlineStr">
        <is>
          <t>custos[11].distribuicao</t>
        </is>
      </c>
    </row>
    <row r="460">
      <c r="A460" s="5" t="inlineStr">
        <is>
          <t>Custo 11 — Cronograma</t>
        </is>
      </c>
      <c r="B460" s="6" t="n"/>
      <c r="C460" s="7" t="inlineStr">
        <is>
          <t>evento, customizado ou "fase: &lt;nome&gt;"</t>
        </is>
      </c>
      <c r="D460" s="8" t="inlineStr">
        <is>
          <t>custos[11].cronograma</t>
        </is>
      </c>
    </row>
    <row r="461">
      <c r="A461" s="5" t="inlineStr">
        <is>
          <t>Custo 11 — Início (só customizado)</t>
        </is>
      </c>
      <c r="B461" s="15" t="n"/>
      <c r="C461" s="7" t="inlineStr">
        <is>
          <t>mês (inteiro ≥ 0)</t>
        </is>
      </c>
      <c r="D461" s="8" t="inlineStr">
        <is>
          <t>custos[11].inicio_mes</t>
        </is>
      </c>
    </row>
    <row r="462">
      <c r="A462" s="5" t="inlineStr">
        <is>
          <t>Custo 11 — Duração (só customizado)</t>
        </is>
      </c>
      <c r="B462" s="15" t="n"/>
      <c r="C462" s="7" t="inlineStr">
        <is>
          <t>meses (inteiro ≥ 1)</t>
        </is>
      </c>
      <c r="D462" s="8" t="inlineStr">
        <is>
          <t>custos[11].duracao_meses</t>
        </is>
      </c>
    </row>
    <row r="463">
      <c r="A463" s="16" t="inlineStr">
        <is>
          <t>Custo 12</t>
        </is>
      </c>
    </row>
    <row r="464">
      <c r="A464" s="5" t="inlineStr">
        <is>
          <t>Custo 12 — Grupo</t>
        </is>
      </c>
      <c r="B464" s="6" t="n"/>
      <c r="C464" s="7" t="inlineStr">
        <is>
          <t>lista: terreno | obra | diretos | indireto | financeiro</t>
        </is>
      </c>
      <c r="D464" s="8" t="inlineStr">
        <is>
          <t>custos[12].grupo</t>
        </is>
      </c>
    </row>
    <row r="465">
      <c r="A465" s="5" t="inlineStr">
        <is>
          <t>Custo 12 — Categoria</t>
        </is>
      </c>
      <c r="B465" s="6" t="n"/>
      <c r="C465" s="7" t="inlineStr">
        <is>
          <t>ver tabela acima</t>
        </is>
      </c>
      <c r="D465" s="8" t="inlineStr">
        <is>
          <t>custos[12].categoria</t>
        </is>
      </c>
    </row>
    <row r="466">
      <c r="A466" s="5" t="inlineStr">
        <is>
          <t>Custo 12 — Subcategoria / descrição</t>
        </is>
      </c>
      <c r="B466" s="6" t="n"/>
      <c r="C466" s="7" t="inlineStr">
        <is>
          <t>Preço: Valor à vista | Parcelado; Outro: texto</t>
        </is>
      </c>
      <c r="D466" s="8" t="inlineStr">
        <is>
          <t>custos[12].subcategoria</t>
        </is>
      </c>
    </row>
    <row r="467">
      <c r="A467" s="5" t="inlineStr">
        <is>
          <t>Custo 12 — Unidade</t>
        </is>
      </c>
      <c r="B467" s="6" t="n"/>
      <c r="C467" s="7" t="inlineStr">
        <is>
          <t>lista: rs | rs_m2_priv | rs_m2_terreno | pct_vgv | pct_obra | pct_recebido | pct_constr</t>
        </is>
      </c>
      <c r="D467" s="8" t="inlineStr">
        <is>
          <t>custos[12].unidade</t>
        </is>
      </c>
    </row>
    <row r="468">
      <c r="A468" s="5" t="inlineStr">
        <is>
          <t>Custo 12 — Valor (R$ ou R$/m²)</t>
        </is>
      </c>
      <c r="B468" s="17" t="n"/>
      <c r="C468" s="7">
        <f>IF($B$467="","escolha a Unidade acima",IF($B$467="rs","R$ (valor cheio)",IF($B$467="rs_m2_priv","R$/m² privativo (fechada+aberta)",IF($B$467="rs_m2_terreno","R$/m² de terreno",IF(LEFT($B$467,3)="pct","— (use a linha de %)","unidade inválida")))))</f>
        <v/>
      </c>
      <c r="D468" s="8" t="inlineStr">
        <is>
          <t>custos[12].valor_rs</t>
        </is>
      </c>
    </row>
    <row r="469">
      <c r="A469" s="5" t="inlineStr">
        <is>
          <t>Custo 12 — Valor (%)</t>
        </is>
      </c>
      <c r="B469" s="12" t="n"/>
      <c r="C469" s="7">
        <f>IF($B$467="","escolha a Unidade acima",IF($B$467="pct_vgv","% do VGV",IF($B$467="pct_receita","% da receita líquida (RET, sem juros)",IF($B$467="pct_obra","% da obra (grupo Obras inteiro)",IF($B$467="pct_recebido","% do recebido (com juros de tabela)",IF($B$467="pct_constr","% da construção (constr.+decor.+gestão da obra)",IF(LEFT($B$467,2)="rs","— (use a linha de R$)","unidade inválida"))))))</f>
        <v/>
      </c>
      <c r="D469" s="8" t="inlineStr">
        <is>
          <t>custos[12].valor_pct</t>
        </is>
      </c>
    </row>
    <row r="470">
      <c r="A470" s="5" t="inlineStr">
        <is>
          <t>Custo 12 — Distribuição</t>
        </is>
      </c>
      <c r="B470" s="6" t="n"/>
      <c r="C470" s="7" t="inlineStr">
        <is>
          <t>Linear | nome de uma curva do catálogo (ex.: Curva S) | unit_delivery | sales_revenue</t>
        </is>
      </c>
      <c r="D470" s="8" t="inlineStr">
        <is>
          <t>custos[12].distribuicao</t>
        </is>
      </c>
    </row>
    <row r="471">
      <c r="A471" s="5" t="inlineStr">
        <is>
          <t>Custo 12 — Cronograma</t>
        </is>
      </c>
      <c r="B471" s="6" t="n"/>
      <c r="C471" s="7" t="inlineStr">
        <is>
          <t>evento, customizado ou "fase: &lt;nome&gt;"</t>
        </is>
      </c>
      <c r="D471" s="8" t="inlineStr">
        <is>
          <t>custos[12].cronograma</t>
        </is>
      </c>
    </row>
    <row r="472">
      <c r="A472" s="5" t="inlineStr">
        <is>
          <t>Custo 12 — Início (só customizado)</t>
        </is>
      </c>
      <c r="B472" s="15" t="n"/>
      <c r="C472" s="7" t="inlineStr">
        <is>
          <t>mês (inteiro ≥ 0)</t>
        </is>
      </c>
      <c r="D472" s="8" t="inlineStr">
        <is>
          <t>custos[12].inicio_mes</t>
        </is>
      </c>
    </row>
    <row r="473">
      <c r="A473" s="5" t="inlineStr">
        <is>
          <t>Custo 12 — Duração (só customizado)</t>
        </is>
      </c>
      <c r="B473" s="15" t="n"/>
      <c r="C473" s="7" t="inlineStr">
        <is>
          <t>meses (inteiro ≥ 1)</t>
        </is>
      </c>
      <c r="D473" s="8" t="inlineStr">
        <is>
          <t>custos[12].duracao_meses</t>
        </is>
      </c>
    </row>
    <row r="474">
      <c r="A474" s="16" t="inlineStr">
        <is>
          <t>Custo 13</t>
        </is>
      </c>
    </row>
    <row r="475">
      <c r="A475" s="5" t="inlineStr">
        <is>
          <t>Custo 13 — Grupo</t>
        </is>
      </c>
      <c r="B475" s="6" t="n"/>
      <c r="C475" s="7" t="inlineStr">
        <is>
          <t>lista: terreno | obra | diretos | indireto | financeiro</t>
        </is>
      </c>
      <c r="D475" s="8" t="inlineStr">
        <is>
          <t>custos[13].grupo</t>
        </is>
      </c>
    </row>
    <row r="476">
      <c r="A476" s="5" t="inlineStr">
        <is>
          <t>Custo 13 — Categoria</t>
        </is>
      </c>
      <c r="B476" s="6" t="n"/>
      <c r="C476" s="7" t="inlineStr">
        <is>
          <t>ver tabela acima</t>
        </is>
      </c>
      <c r="D476" s="8" t="inlineStr">
        <is>
          <t>custos[13].categoria</t>
        </is>
      </c>
    </row>
    <row r="477">
      <c r="A477" s="5" t="inlineStr">
        <is>
          <t>Custo 13 — Subcategoria / descrição</t>
        </is>
      </c>
      <c r="B477" s="6" t="n"/>
      <c r="C477" s="7" t="inlineStr">
        <is>
          <t>Preço: Valor à vista | Parcelado; Outro: texto</t>
        </is>
      </c>
      <c r="D477" s="8" t="inlineStr">
        <is>
          <t>custos[13].subcategoria</t>
        </is>
      </c>
    </row>
    <row r="478">
      <c r="A478" s="5" t="inlineStr">
        <is>
          <t>Custo 13 — Unidade</t>
        </is>
      </c>
      <c r="B478" s="6" t="n"/>
      <c r="C478" s="7" t="inlineStr">
        <is>
          <t>lista: rs | rs_m2_priv | rs_m2_terreno | pct_vgv | pct_obra | pct_recebido | pct_constr</t>
        </is>
      </c>
      <c r="D478" s="8" t="inlineStr">
        <is>
          <t>custos[13].unidade</t>
        </is>
      </c>
    </row>
    <row r="479">
      <c r="A479" s="5" t="inlineStr">
        <is>
          <t>Custo 13 — Valor (R$ ou R$/m²)</t>
        </is>
      </c>
      <c r="B479" s="17" t="n"/>
      <c r="C479" s="7">
        <f>IF($B$478="","escolha a Unidade acima",IF($B$478="rs","R$ (valor cheio)",IF($B$478="rs_m2_priv","R$/m² privativo (fechada+aberta)",IF($B$478="rs_m2_terreno","R$/m² de terreno",IF(LEFT($B$478,3)="pct","— (use a linha de %)","unidade inválida")))))</f>
        <v/>
      </c>
      <c r="D479" s="8" t="inlineStr">
        <is>
          <t>custos[13].valor_rs</t>
        </is>
      </c>
    </row>
    <row r="480">
      <c r="A480" s="5" t="inlineStr">
        <is>
          <t>Custo 13 — Valor (%)</t>
        </is>
      </c>
      <c r="B480" s="12" t="n"/>
      <c r="C480" s="7">
        <f>IF($B$478="","escolha a Unidade acima",IF($B$478="pct_vgv","% do VGV",IF($B$478="pct_receita","% da receita líquida (RET, sem juros)",IF($B$478="pct_obra","% da obra (grupo Obras inteiro)",IF($B$478="pct_recebido","% do recebido (com juros de tabela)",IF($B$478="pct_constr","% da construção (constr.+decor.+gestão da obra)",IF(LEFT($B$478,2)="rs","— (use a linha de R$)","unidade inválida"))))))</f>
        <v/>
      </c>
      <c r="D480" s="8" t="inlineStr">
        <is>
          <t>custos[13].valor_pct</t>
        </is>
      </c>
    </row>
    <row r="481">
      <c r="A481" s="5" t="inlineStr">
        <is>
          <t>Custo 13 — Distribuição</t>
        </is>
      </c>
      <c r="B481" s="6" t="n"/>
      <c r="C481" s="7" t="inlineStr">
        <is>
          <t>Linear | nome de uma curva do catálogo (ex.: Curva S) | unit_delivery | sales_revenue</t>
        </is>
      </c>
      <c r="D481" s="8" t="inlineStr">
        <is>
          <t>custos[13].distribuicao</t>
        </is>
      </c>
    </row>
    <row r="482">
      <c r="A482" s="5" t="inlineStr">
        <is>
          <t>Custo 13 — Cronograma</t>
        </is>
      </c>
      <c r="B482" s="6" t="n"/>
      <c r="C482" s="7" t="inlineStr">
        <is>
          <t>evento, customizado ou "fase: &lt;nome&gt;"</t>
        </is>
      </c>
      <c r="D482" s="8" t="inlineStr">
        <is>
          <t>custos[13].cronograma</t>
        </is>
      </c>
    </row>
    <row r="483">
      <c r="A483" s="5" t="inlineStr">
        <is>
          <t>Custo 13 — Início (só customizado)</t>
        </is>
      </c>
      <c r="B483" s="15" t="n"/>
      <c r="C483" s="7" t="inlineStr">
        <is>
          <t>mês (inteiro ≥ 0)</t>
        </is>
      </c>
      <c r="D483" s="8" t="inlineStr">
        <is>
          <t>custos[13].inicio_mes</t>
        </is>
      </c>
    </row>
    <row r="484">
      <c r="A484" s="5" t="inlineStr">
        <is>
          <t>Custo 13 — Duração (só customizado)</t>
        </is>
      </c>
      <c r="B484" s="15" t="n"/>
      <c r="C484" s="7" t="inlineStr">
        <is>
          <t>meses (inteiro ≥ 1)</t>
        </is>
      </c>
      <c r="D484" s="8" t="inlineStr">
        <is>
          <t>custos[13].duracao_meses</t>
        </is>
      </c>
    </row>
    <row r="485">
      <c r="A485" s="16" t="inlineStr">
        <is>
          <t>Custo 14</t>
        </is>
      </c>
    </row>
    <row r="486">
      <c r="A486" s="5" t="inlineStr">
        <is>
          <t>Custo 14 — Grupo</t>
        </is>
      </c>
      <c r="B486" s="6" t="n"/>
      <c r="C486" s="7" t="inlineStr">
        <is>
          <t>lista: terreno | obra | diretos | indireto | financeiro</t>
        </is>
      </c>
      <c r="D486" s="8" t="inlineStr">
        <is>
          <t>custos[14].grupo</t>
        </is>
      </c>
    </row>
    <row r="487">
      <c r="A487" s="5" t="inlineStr">
        <is>
          <t>Custo 14 — Categoria</t>
        </is>
      </c>
      <c r="B487" s="6" t="n"/>
      <c r="C487" s="7" t="inlineStr">
        <is>
          <t>ver tabela acima</t>
        </is>
      </c>
      <c r="D487" s="8" t="inlineStr">
        <is>
          <t>custos[14].categoria</t>
        </is>
      </c>
    </row>
    <row r="488">
      <c r="A488" s="5" t="inlineStr">
        <is>
          <t>Custo 14 — Subcategoria / descrição</t>
        </is>
      </c>
      <c r="B488" s="6" t="n"/>
      <c r="C488" s="7" t="inlineStr">
        <is>
          <t>Preço: Valor à vista | Parcelado; Outro: texto</t>
        </is>
      </c>
      <c r="D488" s="8" t="inlineStr">
        <is>
          <t>custos[14].subcategoria</t>
        </is>
      </c>
    </row>
    <row r="489">
      <c r="A489" s="5" t="inlineStr">
        <is>
          <t>Custo 14 — Unidade</t>
        </is>
      </c>
      <c r="B489" s="6" t="n"/>
      <c r="C489" s="7" t="inlineStr">
        <is>
          <t>lista: rs | rs_m2_priv | rs_m2_terreno | pct_vgv | pct_obra | pct_recebido | pct_constr</t>
        </is>
      </c>
      <c r="D489" s="8" t="inlineStr">
        <is>
          <t>custos[14].unidade</t>
        </is>
      </c>
    </row>
    <row r="490">
      <c r="A490" s="5" t="inlineStr">
        <is>
          <t>Custo 14 — Valor (R$ ou R$/m²)</t>
        </is>
      </c>
      <c r="B490" s="17" t="n"/>
      <c r="C490" s="7">
        <f>IF($B$489="","escolha a Unidade acima",IF($B$489="rs","R$ (valor cheio)",IF($B$489="rs_m2_priv","R$/m² privativo (fechada+aberta)",IF($B$489="rs_m2_terreno","R$/m² de terreno",IF(LEFT($B$489,3)="pct","— (use a linha de %)","unidade inválida")))))</f>
        <v/>
      </c>
      <c r="D490" s="8" t="inlineStr">
        <is>
          <t>custos[14].valor_rs</t>
        </is>
      </c>
    </row>
    <row r="491">
      <c r="A491" s="5" t="inlineStr">
        <is>
          <t>Custo 14 — Valor (%)</t>
        </is>
      </c>
      <c r="B491" s="12" t="n"/>
      <c r="C491" s="7">
        <f>IF($B$489="","escolha a Unidade acima",IF($B$489="pct_vgv","% do VGV",IF($B$489="pct_receita","% da receita líquida (RET, sem juros)",IF($B$489="pct_obra","% da obra (grupo Obras inteiro)",IF($B$489="pct_recebido","% do recebido (com juros de tabela)",IF($B$489="pct_constr","% da construção (constr.+decor.+gestão da obra)",IF(LEFT($B$489,2)="rs","— (use a linha de R$)","unidade inválida"))))))</f>
        <v/>
      </c>
      <c r="D491" s="8" t="inlineStr">
        <is>
          <t>custos[14].valor_pct</t>
        </is>
      </c>
    </row>
    <row r="492">
      <c r="A492" s="5" t="inlineStr">
        <is>
          <t>Custo 14 — Distribuição</t>
        </is>
      </c>
      <c r="B492" s="6" t="n"/>
      <c r="C492" s="7" t="inlineStr">
        <is>
          <t>Linear | nome de uma curva do catálogo (ex.: Curva S) | unit_delivery | sales_revenue</t>
        </is>
      </c>
      <c r="D492" s="8" t="inlineStr">
        <is>
          <t>custos[14].distribuicao</t>
        </is>
      </c>
    </row>
    <row r="493">
      <c r="A493" s="5" t="inlineStr">
        <is>
          <t>Custo 14 — Cronograma</t>
        </is>
      </c>
      <c r="B493" s="6" t="n"/>
      <c r="C493" s="7" t="inlineStr">
        <is>
          <t>evento, customizado ou "fase: &lt;nome&gt;"</t>
        </is>
      </c>
      <c r="D493" s="8" t="inlineStr">
        <is>
          <t>custos[14].cronograma</t>
        </is>
      </c>
    </row>
    <row r="494">
      <c r="A494" s="5" t="inlineStr">
        <is>
          <t>Custo 14 — Início (só customizado)</t>
        </is>
      </c>
      <c r="B494" s="15" t="n"/>
      <c r="C494" s="7" t="inlineStr">
        <is>
          <t>mês (inteiro ≥ 0)</t>
        </is>
      </c>
      <c r="D494" s="8" t="inlineStr">
        <is>
          <t>custos[14].inicio_mes</t>
        </is>
      </c>
    </row>
    <row r="495">
      <c r="A495" s="5" t="inlineStr">
        <is>
          <t>Custo 14 — Duração (só customizado)</t>
        </is>
      </c>
      <c r="B495" s="15" t="n"/>
      <c r="C495" s="7" t="inlineStr">
        <is>
          <t>meses (inteiro ≥ 1)</t>
        </is>
      </c>
      <c r="D495" s="8" t="inlineStr">
        <is>
          <t>custos[14].duracao_meses</t>
        </is>
      </c>
    </row>
    <row r="496">
      <c r="A496" s="16" t="inlineStr">
        <is>
          <t>Custo 15</t>
        </is>
      </c>
    </row>
    <row r="497">
      <c r="A497" s="5" t="inlineStr">
        <is>
          <t>Custo 15 — Grupo</t>
        </is>
      </c>
      <c r="B497" s="6" t="n"/>
      <c r="C497" s="7" t="inlineStr">
        <is>
          <t>lista: terreno | obra | diretos | indireto | financeiro</t>
        </is>
      </c>
      <c r="D497" s="8" t="inlineStr">
        <is>
          <t>custos[15].grupo</t>
        </is>
      </c>
    </row>
    <row r="498">
      <c r="A498" s="5" t="inlineStr">
        <is>
          <t>Custo 15 — Categoria</t>
        </is>
      </c>
      <c r="B498" s="6" t="n"/>
      <c r="C498" s="7" t="inlineStr">
        <is>
          <t>ver tabela acima</t>
        </is>
      </c>
      <c r="D498" s="8" t="inlineStr">
        <is>
          <t>custos[15].categoria</t>
        </is>
      </c>
    </row>
    <row r="499">
      <c r="A499" s="5" t="inlineStr">
        <is>
          <t>Custo 15 — Subcategoria / descrição</t>
        </is>
      </c>
      <c r="B499" s="6" t="n"/>
      <c r="C499" s="7" t="inlineStr">
        <is>
          <t>Preço: Valor à vista | Parcelado; Outro: texto</t>
        </is>
      </c>
      <c r="D499" s="8" t="inlineStr">
        <is>
          <t>custos[15].subcategoria</t>
        </is>
      </c>
    </row>
    <row r="500">
      <c r="A500" s="5" t="inlineStr">
        <is>
          <t>Custo 15 — Unidade</t>
        </is>
      </c>
      <c r="B500" s="6" t="n"/>
      <c r="C500" s="7" t="inlineStr">
        <is>
          <t>lista: rs | rs_m2_priv | rs_m2_terreno | pct_vgv | pct_obra | pct_recebido | pct_constr</t>
        </is>
      </c>
      <c r="D500" s="8" t="inlineStr">
        <is>
          <t>custos[15].unidade</t>
        </is>
      </c>
    </row>
    <row r="501">
      <c r="A501" s="5" t="inlineStr">
        <is>
          <t>Custo 15 — Valor (R$ ou R$/m²)</t>
        </is>
      </c>
      <c r="B501" s="17" t="n"/>
      <c r="C501" s="7">
        <f>IF($B$500="","escolha a Unidade acima",IF($B$500="rs","R$ (valor cheio)",IF($B$500="rs_m2_priv","R$/m² privativo (fechada+aberta)",IF($B$500="rs_m2_terreno","R$/m² de terreno",IF(LEFT($B$500,3)="pct","— (use a linha de %)","unidade inválida")))))</f>
        <v/>
      </c>
      <c r="D501" s="8" t="inlineStr">
        <is>
          <t>custos[15].valor_rs</t>
        </is>
      </c>
    </row>
    <row r="502">
      <c r="A502" s="5" t="inlineStr">
        <is>
          <t>Custo 15 — Valor (%)</t>
        </is>
      </c>
      <c r="B502" s="12" t="n"/>
      <c r="C502" s="7">
        <f>IF($B$500="","escolha a Unidade acima",IF($B$500="pct_vgv","% do VGV",IF($B$500="pct_receita","% da receita líquida (RET, sem juros)",IF($B$500="pct_obra","% da obra (grupo Obras inteiro)",IF($B$500="pct_recebido","% do recebido (com juros de tabela)",IF($B$500="pct_constr","% da construção (constr.+decor.+gestão da obra)",IF(LEFT($B$500,2)="rs","— (use a linha de R$)","unidade inválida"))))))</f>
        <v/>
      </c>
      <c r="D502" s="8" t="inlineStr">
        <is>
          <t>custos[15].valor_pct</t>
        </is>
      </c>
    </row>
    <row r="503">
      <c r="A503" s="5" t="inlineStr">
        <is>
          <t>Custo 15 — Distribuição</t>
        </is>
      </c>
      <c r="B503" s="6" t="n"/>
      <c r="C503" s="7" t="inlineStr">
        <is>
          <t>Linear | nome de uma curva do catálogo (ex.: Curva S) | unit_delivery | sales_revenue</t>
        </is>
      </c>
      <c r="D503" s="8" t="inlineStr">
        <is>
          <t>custos[15].distribuicao</t>
        </is>
      </c>
    </row>
    <row r="504">
      <c r="A504" s="5" t="inlineStr">
        <is>
          <t>Custo 15 — Cronograma</t>
        </is>
      </c>
      <c r="B504" s="6" t="n"/>
      <c r="C504" s="7" t="inlineStr">
        <is>
          <t>evento, customizado ou "fase: &lt;nome&gt;"</t>
        </is>
      </c>
      <c r="D504" s="8" t="inlineStr">
        <is>
          <t>custos[15].cronograma</t>
        </is>
      </c>
    </row>
    <row r="505">
      <c r="A505" s="5" t="inlineStr">
        <is>
          <t>Custo 15 — Início (só customizado)</t>
        </is>
      </c>
      <c r="B505" s="15" t="n"/>
      <c r="C505" s="7" t="inlineStr">
        <is>
          <t>mês (inteiro ≥ 0)</t>
        </is>
      </c>
      <c r="D505" s="8" t="inlineStr">
        <is>
          <t>custos[15].inicio_mes</t>
        </is>
      </c>
    </row>
    <row r="506">
      <c r="A506" s="5" t="inlineStr">
        <is>
          <t>Custo 15 — Duração (só customizado)</t>
        </is>
      </c>
      <c r="B506" s="15" t="n"/>
      <c r="C506" s="7" t="inlineStr">
        <is>
          <t>meses (inteiro ≥ 1)</t>
        </is>
      </c>
      <c r="D506" s="8" t="inlineStr">
        <is>
          <t>custos[15].duracao_meses</t>
        </is>
      </c>
    </row>
    <row r="507">
      <c r="A507" s="16" t="inlineStr">
        <is>
          <t>Custo 16</t>
        </is>
      </c>
    </row>
    <row r="508">
      <c r="A508" s="5" t="inlineStr">
        <is>
          <t>Custo 16 — Grupo</t>
        </is>
      </c>
      <c r="B508" s="6" t="n"/>
      <c r="C508" s="7" t="inlineStr">
        <is>
          <t>lista: terreno | obra | diretos | indireto | financeiro</t>
        </is>
      </c>
      <c r="D508" s="8" t="inlineStr">
        <is>
          <t>custos[16].grupo</t>
        </is>
      </c>
    </row>
    <row r="509">
      <c r="A509" s="5" t="inlineStr">
        <is>
          <t>Custo 16 — Categoria</t>
        </is>
      </c>
      <c r="B509" s="6" t="n"/>
      <c r="C509" s="7" t="inlineStr">
        <is>
          <t>ver tabela acima</t>
        </is>
      </c>
      <c r="D509" s="8" t="inlineStr">
        <is>
          <t>custos[16].categoria</t>
        </is>
      </c>
    </row>
    <row r="510">
      <c r="A510" s="5" t="inlineStr">
        <is>
          <t>Custo 16 — Subcategoria / descrição</t>
        </is>
      </c>
      <c r="B510" s="6" t="n"/>
      <c r="C510" s="7" t="inlineStr">
        <is>
          <t>Preço: Valor à vista | Parcelado; Outro: texto</t>
        </is>
      </c>
      <c r="D510" s="8" t="inlineStr">
        <is>
          <t>custos[16].subcategoria</t>
        </is>
      </c>
    </row>
    <row r="511">
      <c r="A511" s="5" t="inlineStr">
        <is>
          <t>Custo 16 — Unidade</t>
        </is>
      </c>
      <c r="B511" s="6" t="n"/>
      <c r="C511" s="7" t="inlineStr">
        <is>
          <t>lista: rs | rs_m2_priv | rs_m2_terreno | pct_vgv | pct_obra | pct_recebido | pct_constr</t>
        </is>
      </c>
      <c r="D511" s="8" t="inlineStr">
        <is>
          <t>custos[16].unidade</t>
        </is>
      </c>
    </row>
    <row r="512">
      <c r="A512" s="5" t="inlineStr">
        <is>
          <t>Custo 16 — Valor (R$ ou R$/m²)</t>
        </is>
      </c>
      <c r="B512" s="17" t="n"/>
      <c r="C512" s="7">
        <f>IF($B$511="","escolha a Unidade acima",IF($B$511="rs","R$ (valor cheio)",IF($B$511="rs_m2_priv","R$/m² privativo (fechada+aberta)",IF($B$511="rs_m2_terreno","R$/m² de terreno",IF(LEFT($B$511,3)="pct","— (use a linha de %)","unidade inválida")))))</f>
        <v/>
      </c>
      <c r="D512" s="8" t="inlineStr">
        <is>
          <t>custos[16].valor_rs</t>
        </is>
      </c>
    </row>
    <row r="513">
      <c r="A513" s="5" t="inlineStr">
        <is>
          <t>Custo 16 — Valor (%)</t>
        </is>
      </c>
      <c r="B513" s="12" t="n"/>
      <c r="C513" s="7">
        <f>IF($B$511="","escolha a Unidade acima",IF($B$511="pct_vgv","% do VGV",IF($B$511="pct_receita","% da receita líquida (RET, sem juros)",IF($B$511="pct_obra","% da obra (grupo Obras inteiro)",IF($B$511="pct_recebido","% do recebido (com juros de tabela)",IF($B$511="pct_constr","% da construção (constr.+decor.+gestão da obra)",IF(LEFT($B$511,2)="rs","— (use a linha de R$)","unidade inválida"))))))</f>
        <v/>
      </c>
      <c r="D513" s="8" t="inlineStr">
        <is>
          <t>custos[16].valor_pct</t>
        </is>
      </c>
    </row>
    <row r="514">
      <c r="A514" s="5" t="inlineStr">
        <is>
          <t>Custo 16 — Distribuição</t>
        </is>
      </c>
      <c r="B514" s="6" t="n"/>
      <c r="C514" s="7" t="inlineStr">
        <is>
          <t>Linear | nome de uma curva do catálogo (ex.: Curva S) | unit_delivery | sales_revenue</t>
        </is>
      </c>
      <c r="D514" s="8" t="inlineStr">
        <is>
          <t>custos[16].distribuicao</t>
        </is>
      </c>
    </row>
    <row r="515">
      <c r="A515" s="5" t="inlineStr">
        <is>
          <t>Custo 16 — Cronograma</t>
        </is>
      </c>
      <c r="B515" s="6" t="n"/>
      <c r="C515" s="7" t="inlineStr">
        <is>
          <t>evento, customizado ou "fase: &lt;nome&gt;"</t>
        </is>
      </c>
      <c r="D515" s="8" t="inlineStr">
        <is>
          <t>custos[16].cronograma</t>
        </is>
      </c>
    </row>
    <row r="516">
      <c r="A516" s="5" t="inlineStr">
        <is>
          <t>Custo 16 — Início (só customizado)</t>
        </is>
      </c>
      <c r="B516" s="15" t="n"/>
      <c r="C516" s="7" t="inlineStr">
        <is>
          <t>mês (inteiro ≥ 0)</t>
        </is>
      </c>
      <c r="D516" s="8" t="inlineStr">
        <is>
          <t>custos[16].inicio_mes</t>
        </is>
      </c>
    </row>
    <row r="517">
      <c r="A517" s="5" t="inlineStr">
        <is>
          <t>Custo 16 — Duração (só customizado)</t>
        </is>
      </c>
      <c r="B517" s="15" t="n"/>
      <c r="C517" s="7" t="inlineStr">
        <is>
          <t>meses (inteiro ≥ 1)</t>
        </is>
      </c>
      <c r="D517" s="8" t="inlineStr">
        <is>
          <t>custos[16].duracao_meses</t>
        </is>
      </c>
    </row>
    <row r="518">
      <c r="A518" s="16" t="inlineStr">
        <is>
          <t>Custo 17</t>
        </is>
      </c>
    </row>
    <row r="519">
      <c r="A519" s="5" t="inlineStr">
        <is>
          <t>Custo 17 — Grupo</t>
        </is>
      </c>
      <c r="B519" s="6" t="n"/>
      <c r="C519" s="7" t="inlineStr">
        <is>
          <t>lista: terreno | obra | diretos | indireto | financeiro</t>
        </is>
      </c>
      <c r="D519" s="8" t="inlineStr">
        <is>
          <t>custos[17].grupo</t>
        </is>
      </c>
    </row>
    <row r="520">
      <c r="A520" s="5" t="inlineStr">
        <is>
          <t>Custo 17 — Categoria</t>
        </is>
      </c>
      <c r="B520" s="6" t="n"/>
      <c r="C520" s="7" t="inlineStr">
        <is>
          <t>ver tabela acima</t>
        </is>
      </c>
      <c r="D520" s="8" t="inlineStr">
        <is>
          <t>custos[17].categoria</t>
        </is>
      </c>
    </row>
    <row r="521">
      <c r="A521" s="5" t="inlineStr">
        <is>
          <t>Custo 17 — Subcategoria / descrição</t>
        </is>
      </c>
      <c r="B521" s="6" t="n"/>
      <c r="C521" s="7" t="inlineStr">
        <is>
          <t>Preço: Valor à vista | Parcelado; Outro: texto</t>
        </is>
      </c>
      <c r="D521" s="8" t="inlineStr">
        <is>
          <t>custos[17].subcategoria</t>
        </is>
      </c>
    </row>
    <row r="522">
      <c r="A522" s="5" t="inlineStr">
        <is>
          <t>Custo 17 — Unidade</t>
        </is>
      </c>
      <c r="B522" s="6" t="n"/>
      <c r="C522" s="7" t="inlineStr">
        <is>
          <t>lista: rs | rs_m2_priv | rs_m2_terreno | pct_vgv | pct_obra | pct_recebido | pct_constr</t>
        </is>
      </c>
      <c r="D522" s="8" t="inlineStr">
        <is>
          <t>custos[17].unidade</t>
        </is>
      </c>
    </row>
    <row r="523">
      <c r="A523" s="5" t="inlineStr">
        <is>
          <t>Custo 17 — Valor (R$ ou R$/m²)</t>
        </is>
      </c>
      <c r="B523" s="17" t="n"/>
      <c r="C523" s="7">
        <f>IF($B$522="","escolha a Unidade acima",IF($B$522="rs","R$ (valor cheio)",IF($B$522="rs_m2_priv","R$/m² privativo (fechada+aberta)",IF($B$522="rs_m2_terreno","R$/m² de terreno",IF(LEFT($B$522,3)="pct","— (use a linha de %)","unidade inválida")))))</f>
        <v/>
      </c>
      <c r="D523" s="8" t="inlineStr">
        <is>
          <t>custos[17].valor_rs</t>
        </is>
      </c>
    </row>
    <row r="524">
      <c r="A524" s="5" t="inlineStr">
        <is>
          <t>Custo 17 — Valor (%)</t>
        </is>
      </c>
      <c r="B524" s="12" t="n"/>
      <c r="C524" s="7">
        <f>IF($B$522="","escolha a Unidade acima",IF($B$522="pct_vgv","% do VGV",IF($B$522="pct_receita","% da receita líquida (RET, sem juros)",IF($B$522="pct_obra","% da obra (grupo Obras inteiro)",IF($B$522="pct_recebido","% do recebido (com juros de tabela)",IF($B$522="pct_constr","% da construção (constr.+decor.+gestão da obra)",IF(LEFT($B$522,2)="rs","— (use a linha de R$)","unidade inválida"))))))</f>
        <v/>
      </c>
      <c r="D524" s="8" t="inlineStr">
        <is>
          <t>custos[17].valor_pct</t>
        </is>
      </c>
    </row>
    <row r="525">
      <c r="A525" s="5" t="inlineStr">
        <is>
          <t>Custo 17 — Distribuição</t>
        </is>
      </c>
      <c r="B525" s="6" t="n"/>
      <c r="C525" s="7" t="inlineStr">
        <is>
          <t>Linear | nome de uma curva do catálogo (ex.: Curva S) | unit_delivery | sales_revenue</t>
        </is>
      </c>
      <c r="D525" s="8" t="inlineStr">
        <is>
          <t>custos[17].distribuicao</t>
        </is>
      </c>
    </row>
    <row r="526">
      <c r="A526" s="5" t="inlineStr">
        <is>
          <t>Custo 17 — Cronograma</t>
        </is>
      </c>
      <c r="B526" s="6" t="n"/>
      <c r="C526" s="7" t="inlineStr">
        <is>
          <t>evento, customizado ou "fase: &lt;nome&gt;"</t>
        </is>
      </c>
      <c r="D526" s="8" t="inlineStr">
        <is>
          <t>custos[17].cronograma</t>
        </is>
      </c>
    </row>
    <row r="527">
      <c r="A527" s="5" t="inlineStr">
        <is>
          <t>Custo 17 — Início (só customizado)</t>
        </is>
      </c>
      <c r="B527" s="15" t="n"/>
      <c r="C527" s="7" t="inlineStr">
        <is>
          <t>mês (inteiro ≥ 0)</t>
        </is>
      </c>
      <c r="D527" s="8" t="inlineStr">
        <is>
          <t>custos[17].inicio_mes</t>
        </is>
      </c>
    </row>
    <row r="528">
      <c r="A528" s="5" t="inlineStr">
        <is>
          <t>Custo 17 — Duração (só customizado)</t>
        </is>
      </c>
      <c r="B528" s="15" t="n"/>
      <c r="C528" s="7" t="inlineStr">
        <is>
          <t>meses (inteiro ≥ 1)</t>
        </is>
      </c>
      <c r="D528" s="8" t="inlineStr">
        <is>
          <t>custos[17].duracao_meses</t>
        </is>
      </c>
    </row>
    <row r="529">
      <c r="A529" s="16" t="inlineStr">
        <is>
          <t>Custo 18</t>
        </is>
      </c>
    </row>
    <row r="530">
      <c r="A530" s="5" t="inlineStr">
        <is>
          <t>Custo 18 — Grupo</t>
        </is>
      </c>
      <c r="B530" s="6" t="n"/>
      <c r="C530" s="7" t="inlineStr">
        <is>
          <t>lista: terreno | obra | diretos | indireto | financeiro</t>
        </is>
      </c>
      <c r="D530" s="8" t="inlineStr">
        <is>
          <t>custos[18].grupo</t>
        </is>
      </c>
    </row>
    <row r="531">
      <c r="A531" s="5" t="inlineStr">
        <is>
          <t>Custo 18 — Categoria</t>
        </is>
      </c>
      <c r="B531" s="6" t="n"/>
      <c r="C531" s="7" t="inlineStr">
        <is>
          <t>ver tabela acima</t>
        </is>
      </c>
      <c r="D531" s="8" t="inlineStr">
        <is>
          <t>custos[18].categoria</t>
        </is>
      </c>
    </row>
    <row r="532">
      <c r="A532" s="5" t="inlineStr">
        <is>
          <t>Custo 18 — Subcategoria / descrição</t>
        </is>
      </c>
      <c r="B532" s="6" t="n"/>
      <c r="C532" s="7" t="inlineStr">
        <is>
          <t>Preço: Valor à vista | Parcelado; Outro: texto</t>
        </is>
      </c>
      <c r="D532" s="8" t="inlineStr">
        <is>
          <t>custos[18].subcategoria</t>
        </is>
      </c>
    </row>
    <row r="533">
      <c r="A533" s="5" t="inlineStr">
        <is>
          <t>Custo 18 — Unidade</t>
        </is>
      </c>
      <c r="B533" s="6" t="n"/>
      <c r="C533" s="7" t="inlineStr">
        <is>
          <t>lista: rs | rs_m2_priv | rs_m2_terreno | pct_vgv | pct_obra | pct_recebido | pct_constr</t>
        </is>
      </c>
      <c r="D533" s="8" t="inlineStr">
        <is>
          <t>custos[18].unidade</t>
        </is>
      </c>
    </row>
    <row r="534">
      <c r="A534" s="5" t="inlineStr">
        <is>
          <t>Custo 18 — Valor (R$ ou R$/m²)</t>
        </is>
      </c>
      <c r="B534" s="17" t="n"/>
      <c r="C534" s="7">
        <f>IF($B$533="","escolha a Unidade acima",IF($B$533="rs","R$ (valor cheio)",IF($B$533="rs_m2_priv","R$/m² privativo (fechada+aberta)",IF($B$533="rs_m2_terreno","R$/m² de terreno",IF(LEFT($B$533,3)="pct","— (use a linha de %)","unidade inválida")))))</f>
        <v/>
      </c>
      <c r="D534" s="8" t="inlineStr">
        <is>
          <t>custos[18].valor_rs</t>
        </is>
      </c>
    </row>
    <row r="535">
      <c r="A535" s="5" t="inlineStr">
        <is>
          <t>Custo 18 — Valor (%)</t>
        </is>
      </c>
      <c r="B535" s="12" t="n"/>
      <c r="C535" s="7">
        <f>IF($B$533="","escolha a Unidade acima",IF($B$533="pct_vgv","% do VGV",IF($B$533="pct_receita","% da receita líquida (RET, sem juros)",IF($B$533="pct_obra","% da obra (grupo Obras inteiro)",IF($B$533="pct_recebido","% do recebido (com juros de tabela)",IF($B$533="pct_constr","% da construção (constr.+decor.+gestão da obra)",IF(LEFT($B$533,2)="rs","— (use a linha de R$)","unidade inválida"))))))</f>
        <v/>
      </c>
      <c r="D535" s="8" t="inlineStr">
        <is>
          <t>custos[18].valor_pct</t>
        </is>
      </c>
    </row>
    <row r="536">
      <c r="A536" s="5" t="inlineStr">
        <is>
          <t>Custo 18 — Distribuição</t>
        </is>
      </c>
      <c r="B536" s="6" t="n"/>
      <c r="C536" s="7" t="inlineStr">
        <is>
          <t>Linear | nome de uma curva do catálogo (ex.: Curva S) | unit_delivery | sales_revenue</t>
        </is>
      </c>
      <c r="D536" s="8" t="inlineStr">
        <is>
          <t>custos[18].distribuicao</t>
        </is>
      </c>
    </row>
    <row r="537">
      <c r="A537" s="5" t="inlineStr">
        <is>
          <t>Custo 18 — Cronograma</t>
        </is>
      </c>
      <c r="B537" s="6" t="n"/>
      <c r="C537" s="7" t="inlineStr">
        <is>
          <t>evento, customizado ou "fase: &lt;nome&gt;"</t>
        </is>
      </c>
      <c r="D537" s="8" t="inlineStr">
        <is>
          <t>custos[18].cronograma</t>
        </is>
      </c>
    </row>
    <row r="538">
      <c r="A538" s="5" t="inlineStr">
        <is>
          <t>Custo 18 — Início (só customizado)</t>
        </is>
      </c>
      <c r="B538" s="15" t="n"/>
      <c r="C538" s="7" t="inlineStr">
        <is>
          <t>mês (inteiro ≥ 0)</t>
        </is>
      </c>
      <c r="D538" s="8" t="inlineStr">
        <is>
          <t>custos[18].inicio_mes</t>
        </is>
      </c>
    </row>
    <row r="539">
      <c r="A539" s="5" t="inlineStr">
        <is>
          <t>Custo 18 — Duração (só customizado)</t>
        </is>
      </c>
      <c r="B539" s="15" t="n"/>
      <c r="C539" s="7" t="inlineStr">
        <is>
          <t>meses (inteiro ≥ 1)</t>
        </is>
      </c>
      <c r="D539" s="8" t="inlineStr">
        <is>
          <t>custos[18].duracao_meses</t>
        </is>
      </c>
    </row>
    <row r="540">
      <c r="A540" s="16" t="inlineStr">
        <is>
          <t>Custo 19</t>
        </is>
      </c>
    </row>
    <row r="541">
      <c r="A541" s="5" t="inlineStr">
        <is>
          <t>Custo 19 — Grupo</t>
        </is>
      </c>
      <c r="B541" s="6" t="n"/>
      <c r="C541" s="7" t="inlineStr">
        <is>
          <t>lista: terreno | obra | diretos | indireto | financeiro</t>
        </is>
      </c>
      <c r="D541" s="8" t="inlineStr">
        <is>
          <t>custos[19].grupo</t>
        </is>
      </c>
    </row>
    <row r="542">
      <c r="A542" s="5" t="inlineStr">
        <is>
          <t>Custo 19 — Categoria</t>
        </is>
      </c>
      <c r="B542" s="6" t="n"/>
      <c r="C542" s="7" t="inlineStr">
        <is>
          <t>ver tabela acima</t>
        </is>
      </c>
      <c r="D542" s="8" t="inlineStr">
        <is>
          <t>custos[19].categoria</t>
        </is>
      </c>
    </row>
    <row r="543">
      <c r="A543" s="5" t="inlineStr">
        <is>
          <t>Custo 19 — Subcategoria / descrição</t>
        </is>
      </c>
      <c r="B543" s="6" t="n"/>
      <c r="C543" s="7" t="inlineStr">
        <is>
          <t>Preço: Valor à vista | Parcelado; Outro: texto</t>
        </is>
      </c>
      <c r="D543" s="8" t="inlineStr">
        <is>
          <t>custos[19].subcategoria</t>
        </is>
      </c>
    </row>
    <row r="544">
      <c r="A544" s="5" t="inlineStr">
        <is>
          <t>Custo 19 — Unidade</t>
        </is>
      </c>
      <c r="B544" s="6" t="n"/>
      <c r="C544" s="7" t="inlineStr">
        <is>
          <t>lista: rs | rs_m2_priv | rs_m2_terreno | pct_vgv | pct_obra | pct_recebido | pct_constr</t>
        </is>
      </c>
      <c r="D544" s="8" t="inlineStr">
        <is>
          <t>custos[19].unidade</t>
        </is>
      </c>
    </row>
    <row r="545">
      <c r="A545" s="5" t="inlineStr">
        <is>
          <t>Custo 19 — Valor (R$ ou R$/m²)</t>
        </is>
      </c>
      <c r="B545" s="17" t="n"/>
      <c r="C545" s="7">
        <f>IF($B$544="","escolha a Unidade acima",IF($B$544="rs","R$ (valor cheio)",IF($B$544="rs_m2_priv","R$/m² privativo (fechada+aberta)",IF($B$544="rs_m2_terreno","R$/m² de terreno",IF(LEFT($B$544,3)="pct","— (use a linha de %)","unidade inválida")))))</f>
        <v/>
      </c>
      <c r="D545" s="8" t="inlineStr">
        <is>
          <t>custos[19].valor_rs</t>
        </is>
      </c>
    </row>
    <row r="546">
      <c r="A546" s="5" t="inlineStr">
        <is>
          <t>Custo 19 — Valor (%)</t>
        </is>
      </c>
      <c r="B546" s="12" t="n"/>
      <c r="C546" s="7">
        <f>IF($B$544="","escolha a Unidade acima",IF($B$544="pct_vgv","% do VGV",IF($B$544="pct_receita","% da receita líquida (RET, sem juros)",IF($B$544="pct_obra","% da obra (grupo Obras inteiro)",IF($B$544="pct_recebido","% do recebido (com juros de tabela)",IF($B$544="pct_constr","% da construção (constr.+decor.+gestão da obra)",IF(LEFT($B$544,2)="rs","— (use a linha de R$)","unidade inválida"))))))</f>
        <v/>
      </c>
      <c r="D546" s="8" t="inlineStr">
        <is>
          <t>custos[19].valor_pct</t>
        </is>
      </c>
    </row>
    <row r="547">
      <c r="A547" s="5" t="inlineStr">
        <is>
          <t>Custo 19 — Distribuição</t>
        </is>
      </c>
      <c r="B547" s="6" t="n"/>
      <c r="C547" s="7" t="inlineStr">
        <is>
          <t>Linear | nome de uma curva do catálogo (ex.: Curva S) | unit_delivery | sales_revenue</t>
        </is>
      </c>
      <c r="D547" s="8" t="inlineStr">
        <is>
          <t>custos[19].distribuicao</t>
        </is>
      </c>
    </row>
    <row r="548">
      <c r="A548" s="5" t="inlineStr">
        <is>
          <t>Custo 19 — Cronograma</t>
        </is>
      </c>
      <c r="B548" s="6" t="n"/>
      <c r="C548" s="7" t="inlineStr">
        <is>
          <t>evento, customizado ou "fase: &lt;nome&gt;"</t>
        </is>
      </c>
      <c r="D548" s="8" t="inlineStr">
        <is>
          <t>custos[19].cronograma</t>
        </is>
      </c>
    </row>
    <row r="549">
      <c r="A549" s="5" t="inlineStr">
        <is>
          <t>Custo 19 — Início (só customizado)</t>
        </is>
      </c>
      <c r="B549" s="15" t="n"/>
      <c r="C549" s="7" t="inlineStr">
        <is>
          <t>mês (inteiro ≥ 0)</t>
        </is>
      </c>
      <c r="D549" s="8" t="inlineStr">
        <is>
          <t>custos[19].inicio_mes</t>
        </is>
      </c>
    </row>
    <row r="550">
      <c r="A550" s="5" t="inlineStr">
        <is>
          <t>Custo 19 — Duração (só customizado)</t>
        </is>
      </c>
      <c r="B550" s="15" t="n"/>
      <c r="C550" s="7" t="inlineStr">
        <is>
          <t>meses (inteiro ≥ 1)</t>
        </is>
      </c>
      <c r="D550" s="8" t="inlineStr">
        <is>
          <t>custos[19].duracao_meses</t>
        </is>
      </c>
    </row>
    <row r="551">
      <c r="A551" s="16" t="inlineStr">
        <is>
          <t>Custo 20</t>
        </is>
      </c>
    </row>
    <row r="552">
      <c r="A552" s="5" t="inlineStr">
        <is>
          <t>Custo 20 — Grupo</t>
        </is>
      </c>
      <c r="B552" s="6" t="n"/>
      <c r="C552" s="7" t="inlineStr">
        <is>
          <t>lista: terreno | obra | diretos | indireto | financeiro</t>
        </is>
      </c>
      <c r="D552" s="8" t="inlineStr">
        <is>
          <t>custos[20].grupo</t>
        </is>
      </c>
    </row>
    <row r="553">
      <c r="A553" s="5" t="inlineStr">
        <is>
          <t>Custo 20 — Categoria</t>
        </is>
      </c>
      <c r="B553" s="6" t="n"/>
      <c r="C553" s="7" t="inlineStr">
        <is>
          <t>ver tabela acima</t>
        </is>
      </c>
      <c r="D553" s="8" t="inlineStr">
        <is>
          <t>custos[20].categoria</t>
        </is>
      </c>
    </row>
    <row r="554">
      <c r="A554" s="5" t="inlineStr">
        <is>
          <t>Custo 20 — Subcategoria / descrição</t>
        </is>
      </c>
      <c r="B554" s="6" t="n"/>
      <c r="C554" s="7" t="inlineStr">
        <is>
          <t>Preço: Valor à vista | Parcelado; Outro: texto</t>
        </is>
      </c>
      <c r="D554" s="8" t="inlineStr">
        <is>
          <t>custos[20].subcategoria</t>
        </is>
      </c>
    </row>
    <row r="555">
      <c r="A555" s="5" t="inlineStr">
        <is>
          <t>Custo 20 — Unidade</t>
        </is>
      </c>
      <c r="B555" s="6" t="n"/>
      <c r="C555" s="7" t="inlineStr">
        <is>
          <t>lista: rs | rs_m2_priv | rs_m2_terreno | pct_vgv | pct_obra | pct_recebido | pct_constr</t>
        </is>
      </c>
      <c r="D555" s="8" t="inlineStr">
        <is>
          <t>custos[20].unidade</t>
        </is>
      </c>
    </row>
    <row r="556">
      <c r="A556" s="5" t="inlineStr">
        <is>
          <t>Custo 20 — Valor (R$ ou R$/m²)</t>
        </is>
      </c>
      <c r="B556" s="17" t="n"/>
      <c r="C556" s="7">
        <f>IF($B$555="","escolha a Unidade acima",IF($B$555="rs","R$ (valor cheio)",IF($B$555="rs_m2_priv","R$/m² privativo (fechada+aberta)",IF($B$555="rs_m2_terreno","R$/m² de terreno",IF(LEFT($B$555,3)="pct","— (use a linha de %)","unidade inválida")))))</f>
        <v/>
      </c>
      <c r="D556" s="8" t="inlineStr">
        <is>
          <t>custos[20].valor_rs</t>
        </is>
      </c>
    </row>
    <row r="557">
      <c r="A557" s="5" t="inlineStr">
        <is>
          <t>Custo 20 — Valor (%)</t>
        </is>
      </c>
      <c r="B557" s="12" t="n"/>
      <c r="C557" s="7">
        <f>IF($B$555="","escolha a Unidade acima",IF($B$555="pct_vgv","% do VGV",IF($B$555="pct_receita","% da receita líquida (RET, sem juros)",IF($B$555="pct_obra","% da obra (grupo Obras inteiro)",IF($B$555="pct_recebido","% do recebido (com juros de tabela)",IF($B$555="pct_constr","% da construção (constr.+decor.+gestão da obra)",IF(LEFT($B$555,2)="rs","— (use a linha de R$)","unidade inválida"))))))</f>
        <v/>
      </c>
      <c r="D557" s="8" t="inlineStr">
        <is>
          <t>custos[20].valor_pct</t>
        </is>
      </c>
    </row>
    <row r="558">
      <c r="A558" s="5" t="inlineStr">
        <is>
          <t>Custo 20 — Distribuição</t>
        </is>
      </c>
      <c r="B558" s="6" t="n"/>
      <c r="C558" s="7" t="inlineStr">
        <is>
          <t>Linear | nome de uma curva do catálogo (ex.: Curva S) | unit_delivery | sales_revenue</t>
        </is>
      </c>
      <c r="D558" s="8" t="inlineStr">
        <is>
          <t>custos[20].distribuicao</t>
        </is>
      </c>
    </row>
    <row r="559">
      <c r="A559" s="5" t="inlineStr">
        <is>
          <t>Custo 20 — Cronograma</t>
        </is>
      </c>
      <c r="B559" s="6" t="n"/>
      <c r="C559" s="7" t="inlineStr">
        <is>
          <t>evento, customizado ou "fase: &lt;nome&gt;"</t>
        </is>
      </c>
      <c r="D559" s="8" t="inlineStr">
        <is>
          <t>custos[20].cronograma</t>
        </is>
      </c>
    </row>
    <row r="560">
      <c r="A560" s="5" t="inlineStr">
        <is>
          <t>Custo 20 — Início (só customizado)</t>
        </is>
      </c>
      <c r="B560" s="15" t="n"/>
      <c r="C560" s="7" t="inlineStr">
        <is>
          <t>mês (inteiro ≥ 0)</t>
        </is>
      </c>
      <c r="D560" s="8" t="inlineStr">
        <is>
          <t>custos[20].inicio_mes</t>
        </is>
      </c>
    </row>
    <row r="561">
      <c r="A561" s="5" t="inlineStr">
        <is>
          <t>Custo 20 — Duração (só customizado)</t>
        </is>
      </c>
      <c r="B561" s="15" t="n"/>
      <c r="C561" s="7" t="inlineStr">
        <is>
          <t>meses (inteiro ≥ 1)</t>
        </is>
      </c>
      <c r="D561" s="8" t="inlineStr">
        <is>
          <t>custos[20].duracao_meses</t>
        </is>
      </c>
    </row>
    <row r="562">
      <c r="A562" s="16" t="inlineStr">
        <is>
          <t>Custo 21</t>
        </is>
      </c>
    </row>
    <row r="563">
      <c r="A563" s="5" t="inlineStr">
        <is>
          <t>Custo 21 — Grupo</t>
        </is>
      </c>
      <c r="B563" s="6" t="n"/>
      <c r="C563" s="7" t="inlineStr">
        <is>
          <t>lista: terreno | obra | diretos | indireto | financeiro</t>
        </is>
      </c>
      <c r="D563" s="8" t="inlineStr">
        <is>
          <t>custos[21].grupo</t>
        </is>
      </c>
    </row>
    <row r="564">
      <c r="A564" s="5" t="inlineStr">
        <is>
          <t>Custo 21 — Categoria</t>
        </is>
      </c>
      <c r="B564" s="6" t="n"/>
      <c r="C564" s="7" t="inlineStr">
        <is>
          <t>ver tabela acima</t>
        </is>
      </c>
      <c r="D564" s="8" t="inlineStr">
        <is>
          <t>custos[21].categoria</t>
        </is>
      </c>
    </row>
    <row r="565">
      <c r="A565" s="5" t="inlineStr">
        <is>
          <t>Custo 21 — Subcategoria / descrição</t>
        </is>
      </c>
      <c r="B565" s="6" t="n"/>
      <c r="C565" s="7" t="inlineStr">
        <is>
          <t>Preço: Valor à vista | Parcelado; Outro: texto</t>
        </is>
      </c>
      <c r="D565" s="8" t="inlineStr">
        <is>
          <t>custos[21].subcategoria</t>
        </is>
      </c>
    </row>
    <row r="566">
      <c r="A566" s="5" t="inlineStr">
        <is>
          <t>Custo 21 — Unidade</t>
        </is>
      </c>
      <c r="B566" s="6" t="n"/>
      <c r="C566" s="7" t="inlineStr">
        <is>
          <t>lista: rs | rs_m2_priv | rs_m2_terreno | pct_vgv | pct_obra | pct_recebido | pct_constr</t>
        </is>
      </c>
      <c r="D566" s="8" t="inlineStr">
        <is>
          <t>custos[21].unidade</t>
        </is>
      </c>
    </row>
    <row r="567">
      <c r="A567" s="5" t="inlineStr">
        <is>
          <t>Custo 21 — Valor (R$ ou R$/m²)</t>
        </is>
      </c>
      <c r="B567" s="17" t="n"/>
      <c r="C567" s="7">
        <f>IF($B$566="","escolha a Unidade acima",IF($B$566="rs","R$ (valor cheio)",IF($B$566="rs_m2_priv","R$/m² privativo (fechada+aberta)",IF($B$566="rs_m2_terreno","R$/m² de terreno",IF(LEFT($B$566,3)="pct","— (use a linha de %)","unidade inválida")))))</f>
        <v/>
      </c>
      <c r="D567" s="8" t="inlineStr">
        <is>
          <t>custos[21].valor_rs</t>
        </is>
      </c>
    </row>
    <row r="568">
      <c r="A568" s="5" t="inlineStr">
        <is>
          <t>Custo 21 — Valor (%)</t>
        </is>
      </c>
      <c r="B568" s="12" t="n"/>
      <c r="C568" s="7">
        <f>IF($B$566="","escolha a Unidade acima",IF($B$566="pct_vgv","% do VGV",IF($B$566="pct_receita","% da receita líquida (RET, sem juros)",IF($B$566="pct_obra","% da obra (grupo Obras inteiro)",IF($B$566="pct_recebido","% do recebido (com juros de tabela)",IF($B$566="pct_constr","% da construção (constr.+decor.+gestão da obra)",IF(LEFT($B$566,2)="rs","— (use a linha de R$)","unidade inválida"))))))</f>
        <v/>
      </c>
      <c r="D568" s="8" t="inlineStr">
        <is>
          <t>custos[21].valor_pct</t>
        </is>
      </c>
    </row>
    <row r="569">
      <c r="A569" s="5" t="inlineStr">
        <is>
          <t>Custo 21 — Distribuição</t>
        </is>
      </c>
      <c r="B569" s="6" t="n"/>
      <c r="C569" s="7" t="inlineStr">
        <is>
          <t>Linear | nome de uma curva do catálogo (ex.: Curva S) | unit_delivery | sales_revenue</t>
        </is>
      </c>
      <c r="D569" s="8" t="inlineStr">
        <is>
          <t>custos[21].distribuicao</t>
        </is>
      </c>
    </row>
    <row r="570">
      <c r="A570" s="5" t="inlineStr">
        <is>
          <t>Custo 21 — Cronograma</t>
        </is>
      </c>
      <c r="B570" s="6" t="n"/>
      <c r="C570" s="7" t="inlineStr">
        <is>
          <t>evento, customizado ou "fase: &lt;nome&gt;"</t>
        </is>
      </c>
      <c r="D570" s="8" t="inlineStr">
        <is>
          <t>custos[21].cronograma</t>
        </is>
      </c>
    </row>
    <row r="571">
      <c r="A571" s="5" t="inlineStr">
        <is>
          <t>Custo 21 — Início (só customizado)</t>
        </is>
      </c>
      <c r="B571" s="15" t="n"/>
      <c r="C571" s="7" t="inlineStr">
        <is>
          <t>mês (inteiro ≥ 0)</t>
        </is>
      </c>
      <c r="D571" s="8" t="inlineStr">
        <is>
          <t>custos[21].inicio_mes</t>
        </is>
      </c>
    </row>
    <row r="572">
      <c r="A572" s="5" t="inlineStr">
        <is>
          <t>Custo 21 — Duração (só customizado)</t>
        </is>
      </c>
      <c r="B572" s="15" t="n"/>
      <c r="C572" s="7" t="inlineStr">
        <is>
          <t>meses (inteiro ≥ 1)</t>
        </is>
      </c>
      <c r="D572" s="8" t="inlineStr">
        <is>
          <t>custos[21].duracao_meses</t>
        </is>
      </c>
    </row>
    <row r="573">
      <c r="A573" s="16" t="inlineStr">
        <is>
          <t>Custo 22</t>
        </is>
      </c>
    </row>
    <row r="574">
      <c r="A574" s="5" t="inlineStr">
        <is>
          <t>Custo 22 — Grupo</t>
        </is>
      </c>
      <c r="B574" s="6" t="n"/>
      <c r="C574" s="7" t="inlineStr">
        <is>
          <t>lista: terreno | obra | diretos | indireto | financeiro</t>
        </is>
      </c>
      <c r="D574" s="8" t="inlineStr">
        <is>
          <t>custos[22].grupo</t>
        </is>
      </c>
    </row>
    <row r="575">
      <c r="A575" s="5" t="inlineStr">
        <is>
          <t>Custo 22 — Categoria</t>
        </is>
      </c>
      <c r="B575" s="6" t="n"/>
      <c r="C575" s="7" t="inlineStr">
        <is>
          <t>ver tabela acima</t>
        </is>
      </c>
      <c r="D575" s="8" t="inlineStr">
        <is>
          <t>custos[22].categoria</t>
        </is>
      </c>
    </row>
    <row r="576">
      <c r="A576" s="5" t="inlineStr">
        <is>
          <t>Custo 22 — Subcategoria / descrição</t>
        </is>
      </c>
      <c r="B576" s="6" t="n"/>
      <c r="C576" s="7" t="inlineStr">
        <is>
          <t>Preço: Valor à vista | Parcelado; Outro: texto</t>
        </is>
      </c>
      <c r="D576" s="8" t="inlineStr">
        <is>
          <t>custos[22].subcategoria</t>
        </is>
      </c>
    </row>
    <row r="577">
      <c r="A577" s="5" t="inlineStr">
        <is>
          <t>Custo 22 — Unidade</t>
        </is>
      </c>
      <c r="B577" s="6" t="n"/>
      <c r="C577" s="7" t="inlineStr">
        <is>
          <t>lista: rs | rs_m2_priv | rs_m2_terreno | pct_vgv | pct_obra | pct_recebido | pct_constr</t>
        </is>
      </c>
      <c r="D577" s="8" t="inlineStr">
        <is>
          <t>custos[22].unidade</t>
        </is>
      </c>
    </row>
    <row r="578">
      <c r="A578" s="5" t="inlineStr">
        <is>
          <t>Custo 22 — Valor (R$ ou R$/m²)</t>
        </is>
      </c>
      <c r="B578" s="17" t="n"/>
      <c r="C578" s="7">
        <f>IF($B$577="","escolha a Unidade acima",IF($B$577="rs","R$ (valor cheio)",IF($B$577="rs_m2_priv","R$/m² privativo (fechada+aberta)",IF($B$577="rs_m2_terreno","R$/m² de terreno",IF(LEFT($B$577,3)="pct","— (use a linha de %)","unidade inválida")))))</f>
        <v/>
      </c>
      <c r="D578" s="8" t="inlineStr">
        <is>
          <t>custos[22].valor_rs</t>
        </is>
      </c>
    </row>
    <row r="579">
      <c r="A579" s="5" t="inlineStr">
        <is>
          <t>Custo 22 — Valor (%)</t>
        </is>
      </c>
      <c r="B579" s="12" t="n"/>
      <c r="C579" s="7">
        <f>IF($B$577="","escolha a Unidade acima",IF($B$577="pct_vgv","% do VGV",IF($B$577="pct_receita","% da receita líquida (RET, sem juros)",IF($B$577="pct_obra","% da obra (grupo Obras inteiro)",IF($B$577="pct_recebido","% do recebido (com juros de tabela)",IF($B$577="pct_constr","% da construção (constr.+decor.+gestão da obra)",IF(LEFT($B$577,2)="rs","— (use a linha de R$)","unidade inválida"))))))</f>
        <v/>
      </c>
      <c r="D579" s="8" t="inlineStr">
        <is>
          <t>custos[22].valor_pct</t>
        </is>
      </c>
    </row>
    <row r="580">
      <c r="A580" s="5" t="inlineStr">
        <is>
          <t>Custo 22 — Distribuição</t>
        </is>
      </c>
      <c r="B580" s="6" t="n"/>
      <c r="C580" s="7" t="inlineStr">
        <is>
          <t>Linear | nome de uma curva do catálogo (ex.: Curva S) | unit_delivery | sales_revenue</t>
        </is>
      </c>
      <c r="D580" s="8" t="inlineStr">
        <is>
          <t>custos[22].distribuicao</t>
        </is>
      </c>
    </row>
    <row r="581">
      <c r="A581" s="5" t="inlineStr">
        <is>
          <t>Custo 22 — Cronograma</t>
        </is>
      </c>
      <c r="B581" s="6" t="n"/>
      <c r="C581" s="7" t="inlineStr">
        <is>
          <t>evento, customizado ou "fase: &lt;nome&gt;"</t>
        </is>
      </c>
      <c r="D581" s="8" t="inlineStr">
        <is>
          <t>custos[22].cronograma</t>
        </is>
      </c>
    </row>
    <row r="582">
      <c r="A582" s="5" t="inlineStr">
        <is>
          <t>Custo 22 — Início (só customizado)</t>
        </is>
      </c>
      <c r="B582" s="15" t="n"/>
      <c r="C582" s="7" t="inlineStr">
        <is>
          <t>mês (inteiro ≥ 0)</t>
        </is>
      </c>
      <c r="D582" s="8" t="inlineStr">
        <is>
          <t>custos[22].inicio_mes</t>
        </is>
      </c>
    </row>
    <row r="583">
      <c r="A583" s="5" t="inlineStr">
        <is>
          <t>Custo 22 — Duração (só customizado)</t>
        </is>
      </c>
      <c r="B583" s="15" t="n"/>
      <c r="C583" s="7" t="inlineStr">
        <is>
          <t>meses (inteiro ≥ 1)</t>
        </is>
      </c>
      <c r="D583" s="8" t="inlineStr">
        <is>
          <t>custos[22].duracao_meses</t>
        </is>
      </c>
    </row>
    <row r="584">
      <c r="A584" s="16" t="inlineStr">
        <is>
          <t>Custo 23</t>
        </is>
      </c>
    </row>
    <row r="585">
      <c r="A585" s="5" t="inlineStr">
        <is>
          <t>Custo 23 — Grupo</t>
        </is>
      </c>
      <c r="B585" s="6" t="n"/>
      <c r="C585" s="7" t="inlineStr">
        <is>
          <t>lista: terreno | obra | diretos | indireto | financeiro</t>
        </is>
      </c>
      <c r="D585" s="8" t="inlineStr">
        <is>
          <t>custos[23].grupo</t>
        </is>
      </c>
    </row>
    <row r="586">
      <c r="A586" s="5" t="inlineStr">
        <is>
          <t>Custo 23 — Categoria</t>
        </is>
      </c>
      <c r="B586" s="6" t="n"/>
      <c r="C586" s="7" t="inlineStr">
        <is>
          <t>ver tabela acima</t>
        </is>
      </c>
      <c r="D586" s="8" t="inlineStr">
        <is>
          <t>custos[23].categoria</t>
        </is>
      </c>
    </row>
    <row r="587">
      <c r="A587" s="5" t="inlineStr">
        <is>
          <t>Custo 23 — Subcategoria / descrição</t>
        </is>
      </c>
      <c r="B587" s="6" t="n"/>
      <c r="C587" s="7" t="inlineStr">
        <is>
          <t>Preço: Valor à vista | Parcelado; Outro: texto</t>
        </is>
      </c>
      <c r="D587" s="8" t="inlineStr">
        <is>
          <t>custos[23].subcategoria</t>
        </is>
      </c>
    </row>
    <row r="588">
      <c r="A588" s="5" t="inlineStr">
        <is>
          <t>Custo 23 — Unidade</t>
        </is>
      </c>
      <c r="B588" s="6" t="n"/>
      <c r="C588" s="7" t="inlineStr">
        <is>
          <t>lista: rs | rs_m2_priv | rs_m2_terreno | pct_vgv | pct_obra | pct_recebido | pct_constr</t>
        </is>
      </c>
      <c r="D588" s="8" t="inlineStr">
        <is>
          <t>custos[23].unidade</t>
        </is>
      </c>
    </row>
    <row r="589">
      <c r="A589" s="5" t="inlineStr">
        <is>
          <t>Custo 23 — Valor (R$ ou R$/m²)</t>
        </is>
      </c>
      <c r="B589" s="17" t="n"/>
      <c r="C589" s="7">
        <f>IF($B$588="","escolha a Unidade acima",IF($B$588="rs","R$ (valor cheio)",IF($B$588="rs_m2_priv","R$/m² privativo (fechada+aberta)",IF($B$588="rs_m2_terreno","R$/m² de terreno",IF(LEFT($B$588,3)="pct","— (use a linha de %)","unidade inválida")))))</f>
        <v/>
      </c>
      <c r="D589" s="8" t="inlineStr">
        <is>
          <t>custos[23].valor_rs</t>
        </is>
      </c>
    </row>
    <row r="590">
      <c r="A590" s="5" t="inlineStr">
        <is>
          <t>Custo 23 — Valor (%)</t>
        </is>
      </c>
      <c r="B590" s="12" t="n"/>
      <c r="C590" s="7">
        <f>IF($B$588="","escolha a Unidade acima",IF($B$588="pct_vgv","% do VGV",IF($B$588="pct_receita","% da receita líquida (RET, sem juros)",IF($B$588="pct_obra","% da obra (grupo Obras inteiro)",IF($B$588="pct_recebido","% do recebido (com juros de tabela)",IF($B$588="pct_constr","% da construção (constr.+decor.+gestão da obra)",IF(LEFT($B$588,2)="rs","— (use a linha de R$)","unidade inválida"))))))</f>
        <v/>
      </c>
      <c r="D590" s="8" t="inlineStr">
        <is>
          <t>custos[23].valor_pct</t>
        </is>
      </c>
    </row>
    <row r="591">
      <c r="A591" s="5" t="inlineStr">
        <is>
          <t>Custo 23 — Distribuição</t>
        </is>
      </c>
      <c r="B591" s="6" t="n"/>
      <c r="C591" s="7" t="inlineStr">
        <is>
          <t>Linear | nome de uma curva do catálogo (ex.: Curva S) | unit_delivery | sales_revenue</t>
        </is>
      </c>
      <c r="D591" s="8" t="inlineStr">
        <is>
          <t>custos[23].distribuicao</t>
        </is>
      </c>
    </row>
    <row r="592">
      <c r="A592" s="5" t="inlineStr">
        <is>
          <t>Custo 23 — Cronograma</t>
        </is>
      </c>
      <c r="B592" s="6" t="n"/>
      <c r="C592" s="7" t="inlineStr">
        <is>
          <t>evento, customizado ou "fase: &lt;nome&gt;"</t>
        </is>
      </c>
      <c r="D592" s="8" t="inlineStr">
        <is>
          <t>custos[23].cronograma</t>
        </is>
      </c>
    </row>
    <row r="593">
      <c r="A593" s="5" t="inlineStr">
        <is>
          <t>Custo 23 — Início (só customizado)</t>
        </is>
      </c>
      <c r="B593" s="15" t="n"/>
      <c r="C593" s="7" t="inlineStr">
        <is>
          <t>mês (inteiro ≥ 0)</t>
        </is>
      </c>
      <c r="D593" s="8" t="inlineStr">
        <is>
          <t>custos[23].inicio_mes</t>
        </is>
      </c>
    </row>
    <row r="594">
      <c r="A594" s="5" t="inlineStr">
        <is>
          <t>Custo 23 — Duração (só customizado)</t>
        </is>
      </c>
      <c r="B594" s="15" t="n"/>
      <c r="C594" s="7" t="inlineStr">
        <is>
          <t>meses (inteiro ≥ 1)</t>
        </is>
      </c>
      <c r="D594" s="8" t="inlineStr">
        <is>
          <t>custos[23].duracao_meses</t>
        </is>
      </c>
    </row>
    <row r="595">
      <c r="A595" s="16" t="inlineStr">
        <is>
          <t>Custo 24</t>
        </is>
      </c>
    </row>
    <row r="596">
      <c r="A596" s="5" t="inlineStr">
        <is>
          <t>Custo 24 — Grupo</t>
        </is>
      </c>
      <c r="B596" s="6" t="n"/>
      <c r="C596" s="7" t="inlineStr">
        <is>
          <t>lista: terreno | obra | diretos | indireto | financeiro</t>
        </is>
      </c>
      <c r="D596" s="8" t="inlineStr">
        <is>
          <t>custos[24].grupo</t>
        </is>
      </c>
    </row>
    <row r="597">
      <c r="A597" s="5" t="inlineStr">
        <is>
          <t>Custo 24 — Categoria</t>
        </is>
      </c>
      <c r="B597" s="6" t="n"/>
      <c r="C597" s="7" t="inlineStr">
        <is>
          <t>ver tabela acima</t>
        </is>
      </c>
      <c r="D597" s="8" t="inlineStr">
        <is>
          <t>custos[24].categoria</t>
        </is>
      </c>
    </row>
    <row r="598">
      <c r="A598" s="5" t="inlineStr">
        <is>
          <t>Custo 24 — Subcategoria / descrição</t>
        </is>
      </c>
      <c r="B598" s="6" t="n"/>
      <c r="C598" s="7" t="inlineStr">
        <is>
          <t>Preço: Valor à vista | Parcelado; Outro: texto</t>
        </is>
      </c>
      <c r="D598" s="8" t="inlineStr">
        <is>
          <t>custos[24].subcategoria</t>
        </is>
      </c>
    </row>
    <row r="599">
      <c r="A599" s="5" t="inlineStr">
        <is>
          <t>Custo 24 — Unidade</t>
        </is>
      </c>
      <c r="B599" s="6" t="n"/>
      <c r="C599" s="7" t="inlineStr">
        <is>
          <t>lista: rs | rs_m2_priv | rs_m2_terreno | pct_vgv | pct_obra | pct_recebido | pct_constr</t>
        </is>
      </c>
      <c r="D599" s="8" t="inlineStr">
        <is>
          <t>custos[24].unidade</t>
        </is>
      </c>
    </row>
    <row r="600">
      <c r="A600" s="5" t="inlineStr">
        <is>
          <t>Custo 24 — Valor (R$ ou R$/m²)</t>
        </is>
      </c>
      <c r="B600" s="17" t="n"/>
      <c r="C600" s="7">
        <f>IF($B$599="","escolha a Unidade acima",IF($B$599="rs","R$ (valor cheio)",IF($B$599="rs_m2_priv","R$/m² privativo (fechada+aberta)",IF($B$599="rs_m2_terreno","R$/m² de terreno",IF(LEFT($B$599,3)="pct","— (use a linha de %)","unidade inválida")))))</f>
        <v/>
      </c>
      <c r="D600" s="8" t="inlineStr">
        <is>
          <t>custos[24].valor_rs</t>
        </is>
      </c>
    </row>
    <row r="601">
      <c r="A601" s="5" t="inlineStr">
        <is>
          <t>Custo 24 — Valor (%)</t>
        </is>
      </c>
      <c r="B601" s="12" t="n"/>
      <c r="C601" s="7">
        <f>IF($B$599="","escolha a Unidade acima",IF($B$599="pct_vgv","% do VGV",IF($B$599="pct_receita","% da receita líquida (RET, sem juros)",IF($B$599="pct_obra","% da obra (grupo Obras inteiro)",IF($B$599="pct_recebido","% do recebido (com juros de tabela)",IF($B$599="pct_constr","% da construção (constr.+decor.+gestão da obra)",IF(LEFT($B$599,2)="rs","— (use a linha de R$)","unidade inválida"))))))</f>
        <v/>
      </c>
      <c r="D601" s="8" t="inlineStr">
        <is>
          <t>custos[24].valor_pct</t>
        </is>
      </c>
    </row>
    <row r="602">
      <c r="A602" s="5" t="inlineStr">
        <is>
          <t>Custo 24 — Distribuição</t>
        </is>
      </c>
      <c r="B602" s="6" t="n"/>
      <c r="C602" s="7" t="inlineStr">
        <is>
          <t>Linear | nome de uma curva do catálogo (ex.: Curva S) | unit_delivery | sales_revenue</t>
        </is>
      </c>
      <c r="D602" s="8" t="inlineStr">
        <is>
          <t>custos[24].distribuicao</t>
        </is>
      </c>
    </row>
    <row r="603">
      <c r="A603" s="5" t="inlineStr">
        <is>
          <t>Custo 24 — Cronograma</t>
        </is>
      </c>
      <c r="B603" s="6" t="n"/>
      <c r="C603" s="7" t="inlineStr">
        <is>
          <t>evento, customizado ou "fase: &lt;nome&gt;"</t>
        </is>
      </c>
      <c r="D603" s="8" t="inlineStr">
        <is>
          <t>custos[24].cronograma</t>
        </is>
      </c>
    </row>
    <row r="604">
      <c r="A604" s="5" t="inlineStr">
        <is>
          <t>Custo 24 — Início (só customizado)</t>
        </is>
      </c>
      <c r="B604" s="15" t="n"/>
      <c r="C604" s="7" t="inlineStr">
        <is>
          <t>mês (inteiro ≥ 0)</t>
        </is>
      </c>
      <c r="D604" s="8" t="inlineStr">
        <is>
          <t>custos[24].inicio_mes</t>
        </is>
      </c>
    </row>
    <row r="605">
      <c r="A605" s="5" t="inlineStr">
        <is>
          <t>Custo 24 — Duração (só customizado)</t>
        </is>
      </c>
      <c r="B605" s="15" t="n"/>
      <c r="C605" s="7" t="inlineStr">
        <is>
          <t>meses (inteiro ≥ 1)</t>
        </is>
      </c>
      <c r="D605" s="8" t="inlineStr">
        <is>
          <t>custos[24].duracao_meses</t>
        </is>
      </c>
    </row>
    <row r="606">
      <c r="A606" s="16" t="inlineStr">
        <is>
          <t>Custo 25</t>
        </is>
      </c>
    </row>
    <row r="607">
      <c r="A607" s="5" t="inlineStr">
        <is>
          <t>Custo 25 — Grupo</t>
        </is>
      </c>
      <c r="B607" s="6" t="n"/>
      <c r="C607" s="7" t="inlineStr">
        <is>
          <t>lista: terreno | obra | diretos | indireto | financeiro</t>
        </is>
      </c>
      <c r="D607" s="8" t="inlineStr">
        <is>
          <t>custos[25].grupo</t>
        </is>
      </c>
    </row>
    <row r="608">
      <c r="A608" s="5" t="inlineStr">
        <is>
          <t>Custo 25 — Categoria</t>
        </is>
      </c>
      <c r="B608" s="6" t="n"/>
      <c r="C608" s="7" t="inlineStr">
        <is>
          <t>ver tabela acima</t>
        </is>
      </c>
      <c r="D608" s="8" t="inlineStr">
        <is>
          <t>custos[25].categoria</t>
        </is>
      </c>
    </row>
    <row r="609">
      <c r="A609" s="5" t="inlineStr">
        <is>
          <t>Custo 25 — Subcategoria / descrição</t>
        </is>
      </c>
      <c r="B609" s="6" t="n"/>
      <c r="C609" s="7" t="inlineStr">
        <is>
          <t>Preço: Valor à vista | Parcelado; Outro: texto</t>
        </is>
      </c>
      <c r="D609" s="8" t="inlineStr">
        <is>
          <t>custos[25].subcategoria</t>
        </is>
      </c>
    </row>
    <row r="610">
      <c r="A610" s="5" t="inlineStr">
        <is>
          <t>Custo 25 — Unidade</t>
        </is>
      </c>
      <c r="B610" s="6" t="n"/>
      <c r="C610" s="7" t="inlineStr">
        <is>
          <t>lista: rs | rs_m2_priv | rs_m2_terreno | pct_vgv | pct_obra | pct_recebido | pct_constr</t>
        </is>
      </c>
      <c r="D610" s="8" t="inlineStr">
        <is>
          <t>custos[25].unidade</t>
        </is>
      </c>
    </row>
    <row r="611">
      <c r="A611" s="5" t="inlineStr">
        <is>
          <t>Custo 25 — Valor (R$ ou R$/m²)</t>
        </is>
      </c>
      <c r="B611" s="17" t="n"/>
      <c r="C611" s="7">
        <f>IF($B$610="","escolha a Unidade acima",IF($B$610="rs","R$ (valor cheio)",IF($B$610="rs_m2_priv","R$/m² privativo (fechada+aberta)",IF($B$610="rs_m2_terreno","R$/m² de terreno",IF(LEFT($B$610,3)="pct","— (use a linha de %)","unidade inválida")))))</f>
        <v/>
      </c>
      <c r="D611" s="8" t="inlineStr">
        <is>
          <t>custos[25].valor_rs</t>
        </is>
      </c>
    </row>
    <row r="612">
      <c r="A612" s="5" t="inlineStr">
        <is>
          <t>Custo 25 — Valor (%)</t>
        </is>
      </c>
      <c r="B612" s="12" t="n"/>
      <c r="C612" s="7">
        <f>IF($B$610="","escolha a Unidade acima",IF($B$610="pct_vgv","% do VGV",IF($B$610="pct_receita","% da receita líquida (RET, sem juros)",IF($B$610="pct_obra","% da obra (grupo Obras inteiro)",IF($B$610="pct_recebido","% do recebido (com juros de tabela)",IF($B$610="pct_constr","% da construção (constr.+decor.+gestão da obra)",IF(LEFT($B$610,2)="rs","— (use a linha de R$)","unidade inválida"))))))</f>
        <v/>
      </c>
      <c r="D612" s="8" t="inlineStr">
        <is>
          <t>custos[25].valor_pct</t>
        </is>
      </c>
    </row>
    <row r="613">
      <c r="A613" s="5" t="inlineStr">
        <is>
          <t>Custo 25 — Distribuição</t>
        </is>
      </c>
      <c r="B613" s="6" t="n"/>
      <c r="C613" s="7" t="inlineStr">
        <is>
          <t>Linear | nome de uma curva do catálogo (ex.: Curva S) | unit_delivery | sales_revenue</t>
        </is>
      </c>
      <c r="D613" s="8" t="inlineStr">
        <is>
          <t>custos[25].distribuicao</t>
        </is>
      </c>
    </row>
    <row r="614">
      <c r="A614" s="5" t="inlineStr">
        <is>
          <t>Custo 25 — Cronograma</t>
        </is>
      </c>
      <c r="B614" s="6" t="n"/>
      <c r="C614" s="7" t="inlineStr">
        <is>
          <t>evento, customizado ou "fase: &lt;nome&gt;"</t>
        </is>
      </c>
      <c r="D614" s="8" t="inlineStr">
        <is>
          <t>custos[25].cronograma</t>
        </is>
      </c>
    </row>
    <row r="615">
      <c r="A615" s="5" t="inlineStr">
        <is>
          <t>Custo 25 — Início (só customizado)</t>
        </is>
      </c>
      <c r="B615" s="15" t="n"/>
      <c r="C615" s="7" t="inlineStr">
        <is>
          <t>mês (inteiro ≥ 0)</t>
        </is>
      </c>
      <c r="D615" s="8" t="inlineStr">
        <is>
          <t>custos[25].inicio_mes</t>
        </is>
      </c>
    </row>
    <row r="616">
      <c r="A616" s="5" t="inlineStr">
        <is>
          <t>Custo 25 — Duração (só customizado)</t>
        </is>
      </c>
      <c r="B616" s="15" t="n"/>
      <c r="C616" s="7" t="inlineStr">
        <is>
          <t>meses (inteiro ≥ 1)</t>
        </is>
      </c>
      <c r="D616" s="8" t="inlineStr">
        <is>
          <t>custos[25].duracao_meses</t>
        </is>
      </c>
    </row>
    <row r="617">
      <c r="A617" s="16" t="inlineStr">
        <is>
          <t>Custo 26</t>
        </is>
      </c>
    </row>
    <row r="618">
      <c r="A618" s="5" t="inlineStr">
        <is>
          <t>Custo 26 — Grupo</t>
        </is>
      </c>
      <c r="B618" s="6" t="n"/>
      <c r="C618" s="7" t="inlineStr">
        <is>
          <t>lista: terreno | obra | diretos | indireto | financeiro</t>
        </is>
      </c>
      <c r="D618" s="8" t="inlineStr">
        <is>
          <t>custos[26].grupo</t>
        </is>
      </c>
    </row>
    <row r="619">
      <c r="A619" s="5" t="inlineStr">
        <is>
          <t>Custo 26 — Categoria</t>
        </is>
      </c>
      <c r="B619" s="6" t="n"/>
      <c r="C619" s="7" t="inlineStr">
        <is>
          <t>ver tabela acima</t>
        </is>
      </c>
      <c r="D619" s="8" t="inlineStr">
        <is>
          <t>custos[26].categoria</t>
        </is>
      </c>
    </row>
    <row r="620">
      <c r="A620" s="5" t="inlineStr">
        <is>
          <t>Custo 26 — Subcategoria / descrição</t>
        </is>
      </c>
      <c r="B620" s="6" t="n"/>
      <c r="C620" s="7" t="inlineStr">
        <is>
          <t>Preço: Valor à vista | Parcelado; Outro: texto</t>
        </is>
      </c>
      <c r="D620" s="8" t="inlineStr">
        <is>
          <t>custos[26].subcategoria</t>
        </is>
      </c>
    </row>
    <row r="621">
      <c r="A621" s="5" t="inlineStr">
        <is>
          <t>Custo 26 — Unidade</t>
        </is>
      </c>
      <c r="B621" s="6" t="n"/>
      <c r="C621" s="7" t="inlineStr">
        <is>
          <t>lista: rs | rs_m2_priv | rs_m2_terreno | pct_vgv | pct_obra | pct_recebido | pct_constr</t>
        </is>
      </c>
      <c r="D621" s="8" t="inlineStr">
        <is>
          <t>custos[26].unidade</t>
        </is>
      </c>
    </row>
    <row r="622">
      <c r="A622" s="5" t="inlineStr">
        <is>
          <t>Custo 26 — Valor (R$ ou R$/m²)</t>
        </is>
      </c>
      <c r="B622" s="17" t="n"/>
      <c r="C622" s="7">
        <f>IF($B$621="","escolha a Unidade acima",IF($B$621="rs","R$ (valor cheio)",IF($B$621="rs_m2_priv","R$/m² privativo (fechada+aberta)",IF($B$621="rs_m2_terreno","R$/m² de terreno",IF(LEFT($B$621,3)="pct","— (use a linha de %)","unidade inválida")))))</f>
        <v/>
      </c>
      <c r="D622" s="8" t="inlineStr">
        <is>
          <t>custos[26].valor_rs</t>
        </is>
      </c>
    </row>
    <row r="623">
      <c r="A623" s="5" t="inlineStr">
        <is>
          <t>Custo 26 — Valor (%)</t>
        </is>
      </c>
      <c r="B623" s="12" t="n"/>
      <c r="C623" s="7">
        <f>IF($B$621="","escolha a Unidade acima",IF($B$621="pct_vgv","% do VGV",IF($B$621="pct_receita","% da receita líquida (RET, sem juros)",IF($B$621="pct_obra","% da obra (grupo Obras inteiro)",IF($B$621="pct_recebido","% do recebido (com juros de tabela)",IF($B$621="pct_constr","% da construção (constr.+decor.+gestão da obra)",IF(LEFT($B$621,2)="rs","— (use a linha de R$)","unidade inválida"))))))</f>
        <v/>
      </c>
      <c r="D623" s="8" t="inlineStr">
        <is>
          <t>custos[26].valor_pct</t>
        </is>
      </c>
    </row>
    <row r="624">
      <c r="A624" s="5" t="inlineStr">
        <is>
          <t>Custo 26 — Distribuição</t>
        </is>
      </c>
      <c r="B624" s="6" t="n"/>
      <c r="C624" s="7" t="inlineStr">
        <is>
          <t>Linear | nome de uma curva do catálogo (ex.: Curva S) | unit_delivery | sales_revenue</t>
        </is>
      </c>
      <c r="D624" s="8" t="inlineStr">
        <is>
          <t>custos[26].distribuicao</t>
        </is>
      </c>
    </row>
    <row r="625">
      <c r="A625" s="5" t="inlineStr">
        <is>
          <t>Custo 26 — Cronograma</t>
        </is>
      </c>
      <c r="B625" s="6" t="n"/>
      <c r="C625" s="7" t="inlineStr">
        <is>
          <t>evento, customizado ou "fase: &lt;nome&gt;"</t>
        </is>
      </c>
      <c r="D625" s="8" t="inlineStr">
        <is>
          <t>custos[26].cronograma</t>
        </is>
      </c>
    </row>
    <row r="626">
      <c r="A626" s="5" t="inlineStr">
        <is>
          <t>Custo 26 — Início (só customizado)</t>
        </is>
      </c>
      <c r="B626" s="15" t="n"/>
      <c r="C626" s="7" t="inlineStr">
        <is>
          <t>mês (inteiro ≥ 0)</t>
        </is>
      </c>
      <c r="D626" s="8" t="inlineStr">
        <is>
          <t>custos[26].inicio_mes</t>
        </is>
      </c>
    </row>
    <row r="627">
      <c r="A627" s="5" t="inlineStr">
        <is>
          <t>Custo 26 — Duração (só customizado)</t>
        </is>
      </c>
      <c r="B627" s="15" t="n"/>
      <c r="C627" s="7" t="inlineStr">
        <is>
          <t>meses (inteiro ≥ 1)</t>
        </is>
      </c>
      <c r="D627" s="8" t="inlineStr">
        <is>
          <t>custos[26].duracao_meses</t>
        </is>
      </c>
    </row>
    <row r="628">
      <c r="A628" s="16" t="inlineStr">
        <is>
          <t>Custo 27</t>
        </is>
      </c>
    </row>
    <row r="629">
      <c r="A629" s="5" t="inlineStr">
        <is>
          <t>Custo 27 — Grupo</t>
        </is>
      </c>
      <c r="B629" s="6" t="n"/>
      <c r="C629" s="7" t="inlineStr">
        <is>
          <t>lista: terreno | obra | diretos | indireto | financeiro</t>
        </is>
      </c>
      <c r="D629" s="8" t="inlineStr">
        <is>
          <t>custos[27].grupo</t>
        </is>
      </c>
    </row>
    <row r="630">
      <c r="A630" s="5" t="inlineStr">
        <is>
          <t>Custo 27 — Categoria</t>
        </is>
      </c>
      <c r="B630" s="6" t="n"/>
      <c r="C630" s="7" t="inlineStr">
        <is>
          <t>ver tabela acima</t>
        </is>
      </c>
      <c r="D630" s="8" t="inlineStr">
        <is>
          <t>custos[27].categoria</t>
        </is>
      </c>
    </row>
    <row r="631">
      <c r="A631" s="5" t="inlineStr">
        <is>
          <t>Custo 27 — Subcategoria / descrição</t>
        </is>
      </c>
      <c r="B631" s="6" t="n"/>
      <c r="C631" s="7" t="inlineStr">
        <is>
          <t>Preço: Valor à vista | Parcelado; Outro: texto</t>
        </is>
      </c>
      <c r="D631" s="8" t="inlineStr">
        <is>
          <t>custos[27].subcategoria</t>
        </is>
      </c>
    </row>
    <row r="632">
      <c r="A632" s="5" t="inlineStr">
        <is>
          <t>Custo 27 — Unidade</t>
        </is>
      </c>
      <c r="B632" s="6" t="n"/>
      <c r="C632" s="7" t="inlineStr">
        <is>
          <t>lista: rs | rs_m2_priv | rs_m2_terreno | pct_vgv | pct_obra | pct_recebido | pct_constr</t>
        </is>
      </c>
      <c r="D632" s="8" t="inlineStr">
        <is>
          <t>custos[27].unidade</t>
        </is>
      </c>
    </row>
    <row r="633">
      <c r="A633" s="5" t="inlineStr">
        <is>
          <t>Custo 27 — Valor (R$ ou R$/m²)</t>
        </is>
      </c>
      <c r="B633" s="17" t="n"/>
      <c r="C633" s="7">
        <f>IF($B$632="","escolha a Unidade acima",IF($B$632="rs","R$ (valor cheio)",IF($B$632="rs_m2_priv","R$/m² privativo (fechada+aberta)",IF($B$632="rs_m2_terreno","R$/m² de terreno",IF(LEFT($B$632,3)="pct","— (use a linha de %)","unidade inválida")))))</f>
        <v/>
      </c>
      <c r="D633" s="8" t="inlineStr">
        <is>
          <t>custos[27].valor_rs</t>
        </is>
      </c>
    </row>
    <row r="634">
      <c r="A634" s="5" t="inlineStr">
        <is>
          <t>Custo 27 — Valor (%)</t>
        </is>
      </c>
      <c r="B634" s="12" t="n"/>
      <c r="C634" s="7">
        <f>IF($B$632="","escolha a Unidade acima",IF($B$632="pct_vgv","% do VGV",IF($B$632="pct_receita","% da receita líquida (RET, sem juros)",IF($B$632="pct_obra","% da obra (grupo Obras inteiro)",IF($B$632="pct_recebido","% do recebido (com juros de tabela)",IF($B$632="pct_constr","% da construção (constr.+decor.+gestão da obra)",IF(LEFT($B$632,2)="rs","— (use a linha de R$)","unidade inválida"))))))</f>
        <v/>
      </c>
      <c r="D634" s="8" t="inlineStr">
        <is>
          <t>custos[27].valor_pct</t>
        </is>
      </c>
    </row>
    <row r="635">
      <c r="A635" s="5" t="inlineStr">
        <is>
          <t>Custo 27 — Distribuição</t>
        </is>
      </c>
      <c r="B635" s="6" t="n"/>
      <c r="C635" s="7" t="inlineStr">
        <is>
          <t>Linear | nome de uma curva do catálogo (ex.: Curva S) | unit_delivery | sales_revenue</t>
        </is>
      </c>
      <c r="D635" s="8" t="inlineStr">
        <is>
          <t>custos[27].distribuicao</t>
        </is>
      </c>
    </row>
    <row r="636">
      <c r="A636" s="5" t="inlineStr">
        <is>
          <t>Custo 27 — Cronograma</t>
        </is>
      </c>
      <c r="B636" s="6" t="n"/>
      <c r="C636" s="7" t="inlineStr">
        <is>
          <t>evento, customizado ou "fase: &lt;nome&gt;"</t>
        </is>
      </c>
      <c r="D636" s="8" t="inlineStr">
        <is>
          <t>custos[27].cronograma</t>
        </is>
      </c>
    </row>
    <row r="637">
      <c r="A637" s="5" t="inlineStr">
        <is>
          <t>Custo 27 — Início (só customizado)</t>
        </is>
      </c>
      <c r="B637" s="15" t="n"/>
      <c r="C637" s="7" t="inlineStr">
        <is>
          <t>mês (inteiro ≥ 0)</t>
        </is>
      </c>
      <c r="D637" s="8" t="inlineStr">
        <is>
          <t>custos[27].inicio_mes</t>
        </is>
      </c>
    </row>
    <row r="638">
      <c r="A638" s="5" t="inlineStr">
        <is>
          <t>Custo 27 — Duração (só customizado)</t>
        </is>
      </c>
      <c r="B638" s="15" t="n"/>
      <c r="C638" s="7" t="inlineStr">
        <is>
          <t>meses (inteiro ≥ 1)</t>
        </is>
      </c>
      <c r="D638" s="8" t="inlineStr">
        <is>
          <t>custos[27].duracao_meses</t>
        </is>
      </c>
    </row>
    <row r="639">
      <c r="A639" s="16" t="inlineStr">
        <is>
          <t>Custo 28</t>
        </is>
      </c>
    </row>
    <row r="640">
      <c r="A640" s="5" t="inlineStr">
        <is>
          <t>Custo 28 — Grupo</t>
        </is>
      </c>
      <c r="B640" s="6" t="n"/>
      <c r="C640" s="7" t="inlineStr">
        <is>
          <t>lista: terreno | obra | diretos | indireto | financeiro</t>
        </is>
      </c>
      <c r="D640" s="8" t="inlineStr">
        <is>
          <t>custos[28].grupo</t>
        </is>
      </c>
    </row>
    <row r="641">
      <c r="A641" s="5" t="inlineStr">
        <is>
          <t>Custo 28 — Categoria</t>
        </is>
      </c>
      <c r="B641" s="6" t="n"/>
      <c r="C641" s="7" t="inlineStr">
        <is>
          <t>ver tabela acima</t>
        </is>
      </c>
      <c r="D641" s="8" t="inlineStr">
        <is>
          <t>custos[28].categoria</t>
        </is>
      </c>
    </row>
    <row r="642">
      <c r="A642" s="5" t="inlineStr">
        <is>
          <t>Custo 28 — Subcategoria / descrição</t>
        </is>
      </c>
      <c r="B642" s="6" t="n"/>
      <c r="C642" s="7" t="inlineStr">
        <is>
          <t>Preço: Valor à vista | Parcelado; Outro: texto</t>
        </is>
      </c>
      <c r="D642" s="8" t="inlineStr">
        <is>
          <t>custos[28].subcategoria</t>
        </is>
      </c>
    </row>
    <row r="643">
      <c r="A643" s="5" t="inlineStr">
        <is>
          <t>Custo 28 — Unidade</t>
        </is>
      </c>
      <c r="B643" s="6" t="n"/>
      <c r="C643" s="7" t="inlineStr">
        <is>
          <t>lista: rs | rs_m2_priv | rs_m2_terreno | pct_vgv | pct_obra | pct_recebido | pct_constr</t>
        </is>
      </c>
      <c r="D643" s="8" t="inlineStr">
        <is>
          <t>custos[28].unidade</t>
        </is>
      </c>
    </row>
    <row r="644">
      <c r="A644" s="5" t="inlineStr">
        <is>
          <t>Custo 28 — Valor (R$ ou R$/m²)</t>
        </is>
      </c>
      <c r="B644" s="17" t="n"/>
      <c r="C644" s="7">
        <f>IF($B$643="","escolha a Unidade acima",IF($B$643="rs","R$ (valor cheio)",IF($B$643="rs_m2_priv","R$/m² privativo (fechada+aberta)",IF($B$643="rs_m2_terreno","R$/m² de terreno",IF(LEFT($B$643,3)="pct","— (use a linha de %)","unidade inválida")))))</f>
        <v/>
      </c>
      <c r="D644" s="8" t="inlineStr">
        <is>
          <t>custos[28].valor_rs</t>
        </is>
      </c>
    </row>
    <row r="645">
      <c r="A645" s="5" t="inlineStr">
        <is>
          <t>Custo 28 — Valor (%)</t>
        </is>
      </c>
      <c r="B645" s="12" t="n"/>
      <c r="C645" s="7">
        <f>IF($B$643="","escolha a Unidade acima",IF($B$643="pct_vgv","% do VGV",IF($B$643="pct_receita","% da receita líquida (RET, sem juros)",IF($B$643="pct_obra","% da obra (grupo Obras inteiro)",IF($B$643="pct_recebido","% do recebido (com juros de tabela)",IF($B$643="pct_constr","% da construção (constr.+decor.+gestão da obra)",IF(LEFT($B$643,2)="rs","— (use a linha de R$)","unidade inválida"))))))</f>
        <v/>
      </c>
      <c r="D645" s="8" t="inlineStr">
        <is>
          <t>custos[28].valor_pct</t>
        </is>
      </c>
    </row>
    <row r="646">
      <c r="A646" s="5" t="inlineStr">
        <is>
          <t>Custo 28 — Distribuição</t>
        </is>
      </c>
      <c r="B646" s="6" t="n"/>
      <c r="C646" s="7" t="inlineStr">
        <is>
          <t>Linear | nome de uma curva do catálogo (ex.: Curva S) | unit_delivery | sales_revenue</t>
        </is>
      </c>
      <c r="D646" s="8" t="inlineStr">
        <is>
          <t>custos[28].distribuicao</t>
        </is>
      </c>
    </row>
    <row r="647">
      <c r="A647" s="5" t="inlineStr">
        <is>
          <t>Custo 28 — Cronograma</t>
        </is>
      </c>
      <c r="B647" s="6" t="n"/>
      <c r="C647" s="7" t="inlineStr">
        <is>
          <t>evento, customizado ou "fase: &lt;nome&gt;"</t>
        </is>
      </c>
      <c r="D647" s="8" t="inlineStr">
        <is>
          <t>custos[28].cronograma</t>
        </is>
      </c>
    </row>
    <row r="648">
      <c r="A648" s="5" t="inlineStr">
        <is>
          <t>Custo 28 — Início (só customizado)</t>
        </is>
      </c>
      <c r="B648" s="15" t="n"/>
      <c r="C648" s="7" t="inlineStr">
        <is>
          <t>mês (inteiro ≥ 0)</t>
        </is>
      </c>
      <c r="D648" s="8" t="inlineStr">
        <is>
          <t>custos[28].inicio_mes</t>
        </is>
      </c>
    </row>
    <row r="649">
      <c r="A649" s="5" t="inlineStr">
        <is>
          <t>Custo 28 — Duração (só customizado)</t>
        </is>
      </c>
      <c r="B649" s="15" t="n"/>
      <c r="C649" s="7" t="inlineStr">
        <is>
          <t>meses (inteiro ≥ 1)</t>
        </is>
      </c>
      <c r="D649" s="8" t="inlineStr">
        <is>
          <t>custos[28].duracao_meses</t>
        </is>
      </c>
    </row>
    <row r="650">
      <c r="A650" s="16" t="inlineStr">
        <is>
          <t>Permuta física do terreno (terreno / Preço / Permuta física) — até 2</t>
        </is>
      </c>
    </row>
    <row r="651">
      <c r="A651" s="5" t="inlineStr">
        <is>
          <t>Permuta física 1 — Tipologia entregue</t>
        </is>
      </c>
      <c r="B651" s="6" t="n"/>
      <c r="C651" s="7" t="inlineStr">
        <is>
          <t>nome do tipologia</t>
        </is>
      </c>
      <c r="D651" s="8" t="inlineStr">
        <is>
          <t>permuta_fisica[1].tipologia</t>
        </is>
      </c>
    </row>
    <row r="652">
      <c r="A652" s="5" t="inlineStr">
        <is>
          <t>Permuta física 1 — Unidades entregues</t>
        </is>
      </c>
      <c r="B652" s="15" t="n"/>
      <c r="C652" s="7" t="inlineStr">
        <is>
          <t>unidades (≤ alocado)</t>
        </is>
      </c>
      <c r="D652" s="8" t="inlineStr">
        <is>
          <t>permuta_fisica[1].unidades</t>
        </is>
      </c>
    </row>
    <row r="653">
      <c r="A653" s="5" t="inlineStr">
        <is>
          <t>Permuta física 2 — Tipologia entregue</t>
        </is>
      </c>
      <c r="B653" s="6" t="n"/>
      <c r="C653" s="7" t="inlineStr">
        <is>
          <t>nome do tipologia</t>
        </is>
      </c>
      <c r="D653" s="8" t="inlineStr">
        <is>
          <t>permuta_fisica[2].tipologia</t>
        </is>
      </c>
    </row>
    <row r="654">
      <c r="A654" s="5" t="inlineStr">
        <is>
          <t>Permuta física 2 — Unidades entregues</t>
        </is>
      </c>
      <c r="B654" s="15" t="n"/>
      <c r="C654" s="7" t="inlineStr">
        <is>
          <t>unidades (≤ alocado)</t>
        </is>
      </c>
      <c r="D654" s="8" t="inlineStr">
        <is>
          <t>permuta_fisica[2].unidades</t>
        </is>
      </c>
    </row>
    <row r="655">
      <c r="A655" s="16" t="inlineStr">
        <is>
          <t>Permuta financeira do terreno (terreno / Preço / Permuta financeira) — até 2</t>
        </is>
      </c>
    </row>
    <row r="656">
      <c r="A656" s="5" t="inlineStr">
        <is>
          <t>Permuta financeira 1 — Unidade</t>
        </is>
      </c>
      <c r="B656" s="6" t="n"/>
      <c r="C656" s="7" t="inlineStr">
        <is>
          <t>lista: rs | pct_vgv</t>
        </is>
      </c>
      <c r="D656" s="8" t="inlineStr">
        <is>
          <t>permuta_financeira[1].unidade</t>
        </is>
      </c>
    </row>
    <row r="657">
      <c r="A657" s="5" t="inlineStr">
        <is>
          <t>Permuta financeira 1 — Valor em R$</t>
        </is>
      </c>
      <c r="B657" s="17" t="n"/>
      <c r="C657" s="7" t="inlineStr">
        <is>
          <t>R$ (valor cheio; se unidade = rs)</t>
        </is>
      </c>
      <c r="D657" s="8" t="inlineStr">
        <is>
          <t>permuta_financeira[1].valor_rs</t>
        </is>
      </c>
    </row>
    <row r="658">
      <c r="A658" s="5" t="inlineStr">
        <is>
          <t>Permuta financeira 1 — Valor em % do VGV</t>
        </is>
      </c>
      <c r="B658" s="12" t="n"/>
      <c r="C658" s="7" t="inlineStr">
        <is>
          <t>% do VGV (se unidade = pct_vgv)</t>
        </is>
      </c>
      <c r="D658" s="8" t="inlineStr">
        <is>
          <t>permuta_financeira[1].valor_pct</t>
        </is>
      </c>
    </row>
    <row r="659">
      <c r="A659" s="5" t="inlineStr">
        <is>
          <t>Permuta financeira 1 — Deduzir impostos</t>
        </is>
      </c>
      <c r="B659" s="6" t="n"/>
      <c r="C659" s="7" t="inlineStr">
        <is>
          <t>Sim/Não</t>
        </is>
      </c>
      <c r="D659" s="8" t="inlineStr">
        <is>
          <t>permuta_financeira[1].deduzir_imposto</t>
        </is>
      </c>
    </row>
    <row r="660">
      <c r="A660" s="5" t="inlineStr">
        <is>
          <t>Permuta financeira 1 — Deduzir corretagem</t>
        </is>
      </c>
      <c r="B660" s="6" t="n"/>
      <c r="C660" s="7" t="inlineStr">
        <is>
          <t>Sim/Não</t>
        </is>
      </c>
      <c r="D660" s="8" t="inlineStr">
        <is>
          <t>permuta_financeira[1].deduzir_corretagem</t>
        </is>
      </c>
    </row>
    <row r="661">
      <c r="A661" s="5" t="inlineStr">
        <is>
          <t>Permuta financeira 2 — Unidade</t>
        </is>
      </c>
      <c r="B661" s="6" t="n"/>
      <c r="C661" s="7" t="inlineStr">
        <is>
          <t>lista: rs | pct_vgv</t>
        </is>
      </c>
      <c r="D661" s="8" t="inlineStr">
        <is>
          <t>permuta_financeira[2].unidade</t>
        </is>
      </c>
    </row>
    <row r="662">
      <c r="A662" s="5" t="inlineStr">
        <is>
          <t>Permuta financeira 2 — Valor em R$</t>
        </is>
      </c>
      <c r="B662" s="17" t="n"/>
      <c r="C662" s="7" t="inlineStr">
        <is>
          <t>R$ (valor cheio; se unidade = rs)</t>
        </is>
      </c>
      <c r="D662" s="8" t="inlineStr">
        <is>
          <t>permuta_financeira[2].valor_rs</t>
        </is>
      </c>
    </row>
    <row r="663">
      <c r="A663" s="5" t="inlineStr">
        <is>
          <t>Permuta financeira 2 — Valor em % do VGV</t>
        </is>
      </c>
      <c r="B663" s="12" t="n"/>
      <c r="C663" s="7" t="inlineStr">
        <is>
          <t>% do VGV (se unidade = pct_vgv)</t>
        </is>
      </c>
      <c r="D663" s="8" t="inlineStr">
        <is>
          <t>permuta_financeira[2].valor_pct</t>
        </is>
      </c>
    </row>
    <row r="664">
      <c r="A664" s="5" t="inlineStr">
        <is>
          <t>Permuta financeira 2 — Deduzir impostos</t>
        </is>
      </c>
      <c r="B664" s="6" t="n"/>
      <c r="C664" s="7" t="inlineStr">
        <is>
          <t>Sim/Não</t>
        </is>
      </c>
      <c r="D664" s="8" t="inlineStr">
        <is>
          <t>permuta_financeira[2].deduzir_imposto</t>
        </is>
      </c>
    </row>
    <row r="665">
      <c r="A665" s="5" t="inlineStr">
        <is>
          <t>Permuta financeira 2 — Deduzir corretagem</t>
        </is>
      </c>
      <c r="B665" s="6" t="n"/>
      <c r="C665" s="7" t="inlineStr">
        <is>
          <t>Sim/Não</t>
        </is>
      </c>
      <c r="D665" s="8" t="inlineStr">
        <is>
          <t>permuta_financeira[2].deduzir_corretagem</t>
        </is>
      </c>
    </row>
    <row r="666" ht="20" customHeight="1">
      <c r="A666" s="4" t="inlineStr">
        <is>
          <t>10 · Funding (operações) — 1 financiamento à produção + 3 dívidas + 3 equities + 3 antecipações de recebíveis; deixe em branco o que não existir</t>
        </is>
      </c>
    </row>
    <row r="667">
      <c r="A667" s="16" t="inlineStr">
        <is>
          <t>Financiamento à produção (no máximo um por estudo)</t>
        </is>
      </c>
    </row>
    <row r="668">
      <c r="A668" s="5" t="inlineStr">
        <is>
          <t>Financiamento à produção — Nome</t>
        </is>
      </c>
      <c r="B668" s="6" t="n"/>
      <c r="C668" s="7" t="inlineStr">
        <is>
          <t>texto</t>
        </is>
      </c>
      <c r="D668" s="8" t="inlineStr">
        <is>
          <t>funding.financiamento_producao.nome</t>
        </is>
      </c>
    </row>
    <row r="669">
      <c r="A669" s="5" t="inlineStr">
        <is>
          <t>Financiamento à produção — Ativo</t>
        </is>
      </c>
      <c r="B669" s="6" t="n"/>
      <c r="C669" s="7" t="inlineStr">
        <is>
          <t>Sim/Não</t>
        </is>
      </c>
      <c r="D669" s="8" t="inlineStr">
        <is>
          <t>funding.financiamento_producao.ativo</t>
        </is>
      </c>
    </row>
    <row r="670">
      <c r="A670" s="5" t="inlineStr">
        <is>
          <t>Financiamento à produção — Teto</t>
        </is>
      </c>
      <c r="B670" s="17" t="n"/>
      <c r="C670" s="7" t="inlineStr">
        <is>
          <t>R$ (0 = sem teto)</t>
        </is>
      </c>
      <c r="D670" s="8" t="inlineStr">
        <is>
          <t>funding.financiamento_producao.valor</t>
        </is>
      </c>
    </row>
    <row r="671">
      <c r="A671" s="5" t="inlineStr">
        <is>
          <t>Financiamento à produção — Taxa</t>
        </is>
      </c>
      <c r="B671" s="12" t="n"/>
      <c r="C671" s="7" t="inlineStr">
        <is>
          <t>% a.a.</t>
        </is>
      </c>
      <c r="D671" s="8" t="inlineStr">
        <is>
          <t>funding.financiamento_producao.taxa_anual</t>
        </is>
      </c>
    </row>
    <row r="672">
      <c r="A672" s="5" t="inlineStr">
        <is>
          <t>Financiamento à produção — Exposição mínima</t>
        </is>
      </c>
      <c r="B672" s="12" t="n"/>
      <c r="C672" s="7" t="inlineStr">
        <is>
          <t>% (do custo)</t>
        </is>
      </c>
      <c r="D672" s="8" t="inlineStr">
        <is>
          <t>funding.financiamento_producao.exposicao_minima</t>
        </is>
      </c>
    </row>
    <row r="673">
      <c r="A673" s="5" t="inlineStr">
        <is>
          <t>Financiamento à produção — % do custo financiado</t>
        </is>
      </c>
      <c r="B673" s="12" t="n"/>
      <c r="C673" s="7" t="inlineStr">
        <is>
          <t>%</t>
        </is>
      </c>
      <c r="D673" s="8" t="inlineStr">
        <is>
          <t>funding.financiamento_producao.percentual_financiavel</t>
        </is>
      </c>
    </row>
    <row r="674">
      <c r="A674" s="5" t="inlineStr">
        <is>
          <t>Financiamento à produção — Caixa amortiza antes das chaves</t>
        </is>
      </c>
      <c r="B674" s="6" t="n"/>
      <c r="C674" s="7" t="inlineStr">
        <is>
          <t>Sim/Não</t>
        </is>
      </c>
      <c r="D674" s="8" t="inlineStr">
        <is>
          <t>funding.financiamento_producao.amortizar_com_caixa_disponivel</t>
        </is>
      </c>
    </row>
    <row r="675">
      <c r="A675" s="5" t="inlineStr">
        <is>
          <t>Financiamento à produção — Base financiável</t>
        </is>
      </c>
      <c r="B675" s="6" t="n"/>
      <c r="C675" s="7" t="inlineStr">
        <is>
          <t>linhas de custo separadas por ";" — Categoria ou Categoria / Subcategoria; vazio = padrão</t>
        </is>
      </c>
      <c r="D675" s="8" t="inlineStr">
        <is>
          <t>funding.financiamento_producao.base_financiavel</t>
        </is>
      </c>
    </row>
    <row r="676">
      <c r="A676" s="16" t="inlineStr">
        <is>
          <t>Dívida 1</t>
        </is>
      </c>
    </row>
    <row r="677">
      <c r="A677" s="5" t="inlineStr">
        <is>
          <t>Dívida 1 — Nome</t>
        </is>
      </c>
      <c r="B677" s="6" t="n"/>
      <c r="C677" s="7" t="inlineStr">
        <is>
          <t>texto</t>
        </is>
      </c>
      <c r="D677" s="8" t="inlineStr">
        <is>
          <t>funding.divida[1].nome</t>
        </is>
      </c>
    </row>
    <row r="678">
      <c r="A678" s="5" t="inlineStr">
        <is>
          <t>Dívida 1 — Valor</t>
        </is>
      </c>
      <c r="B678" s="17" t="n"/>
      <c r="C678" s="7" t="inlineStr">
        <is>
          <t>R$ (valor cheio)</t>
        </is>
      </c>
      <c r="D678" s="8" t="inlineStr">
        <is>
          <t>funding.divida[1].valor</t>
        </is>
      </c>
    </row>
    <row r="679">
      <c r="A679" s="5" t="inlineStr">
        <is>
          <t>Dívida 1 — Mês do aporte</t>
        </is>
      </c>
      <c r="B679" s="6" t="n"/>
      <c r="C679" s="7" t="inlineStr">
        <is>
          <t>evento, fase ("fase: &lt;nome&gt;") ou customizado</t>
        </is>
      </c>
      <c r="D679" s="8" t="inlineStr">
        <is>
          <t>funding.divida[1].aporte</t>
        </is>
      </c>
    </row>
    <row r="680">
      <c r="A680" s="5" t="inlineStr">
        <is>
          <t>Dívida 1 — Mês (só customizado)</t>
        </is>
      </c>
      <c r="B680" s="15" t="n"/>
      <c r="C680" s="7" t="inlineStr">
        <is>
          <t>mês (inteiro ≥ 0)</t>
        </is>
      </c>
      <c r="D680" s="8" t="inlineStr">
        <is>
          <t>funding.divida[1].mes</t>
        </is>
      </c>
    </row>
    <row r="681">
      <c r="A681" s="5" t="inlineStr">
        <is>
          <t>Dívida 1 — Distribuir aporte</t>
        </is>
      </c>
      <c r="B681" s="6" t="n"/>
      <c r="C681" s="7" t="inlineStr">
        <is>
          <t>Sim/Não</t>
        </is>
      </c>
      <c r="D681" s="8" t="inlineStr">
        <is>
          <t>funding.divida[1].distribuir_aporte</t>
        </is>
      </c>
    </row>
    <row r="682">
      <c r="A682" s="5" t="inlineStr">
        <is>
          <t>Dívida 1 — Aporte em</t>
        </is>
      </c>
      <c r="B682" s="15" t="n"/>
      <c r="C682" s="7" t="inlineStr">
        <is>
          <t>meses (≥ 1)</t>
        </is>
      </c>
      <c r="D682" s="8" t="inlineStr">
        <is>
          <t>funding.divida[1].aporte_meses</t>
        </is>
      </c>
    </row>
    <row r="683">
      <c r="A683" s="5" t="inlineStr">
        <is>
          <t>Dívida 1 — Taxa</t>
        </is>
      </c>
      <c r="B683" s="12" t="n"/>
      <c r="C683" s="7" t="inlineStr">
        <is>
          <t>% a.a.</t>
        </is>
      </c>
      <c r="D683" s="8" t="inlineStr">
        <is>
          <t>funding.divida[1].taxa_anual</t>
        </is>
      </c>
    </row>
    <row r="684">
      <c r="A684" s="5" t="inlineStr">
        <is>
          <t>Dívida 1 — Amortização</t>
        </is>
      </c>
      <c r="B684" s="15" t="n"/>
      <c r="C684" s="7" t="inlineStr">
        <is>
          <t>meses</t>
        </is>
      </c>
      <c r="D684" s="8" t="inlineStr">
        <is>
          <t>funding.divida[1].amortizacao_meses</t>
        </is>
      </c>
    </row>
    <row r="685">
      <c r="A685" s="5" t="inlineStr">
        <is>
          <t>Dívida 1 — Carência</t>
        </is>
      </c>
      <c r="B685" s="15" t="n"/>
      <c r="C685" s="7" t="inlineStr">
        <is>
          <t>meses (&lt; amortização)</t>
        </is>
      </c>
      <c r="D685" s="8" t="inlineStr">
        <is>
          <t>funding.divida[1].carencia_meses</t>
        </is>
      </c>
    </row>
    <row r="686">
      <c r="A686" s="5" t="inlineStr">
        <is>
          <t>Dívida 1 — Estruturação</t>
        </is>
      </c>
      <c r="B686" s="12" t="n"/>
      <c r="C686" s="7" t="inlineStr">
        <is>
          <t>% do valor</t>
        </is>
      </c>
      <c r="D686" s="8" t="inlineStr">
        <is>
          <t>funding.divida[1].estruturacao_pct</t>
        </is>
      </c>
    </row>
    <row r="687">
      <c r="A687" s="5" t="inlineStr">
        <is>
          <t>Dívida 1 — Administração</t>
        </is>
      </c>
      <c r="B687" s="17" t="n"/>
      <c r="C687" s="7" t="inlineStr">
        <is>
          <t>R$/mês</t>
        </is>
      </c>
      <c r="D687" s="8" t="inlineStr">
        <is>
          <t>funding.divida[1].administracao_mensal</t>
        </is>
      </c>
    </row>
    <row r="688">
      <c r="A688" s="5" t="inlineStr">
        <is>
          <t>Dívida 1 — Outros encargos</t>
        </is>
      </c>
      <c r="B688" s="17" t="n"/>
      <c r="C688" s="7" t="inlineStr">
        <is>
          <t>R$ (iniciais)</t>
        </is>
      </c>
      <c r="D688" s="8" t="inlineStr">
        <is>
          <t>funding.divida[1].outros_encargos</t>
        </is>
      </c>
    </row>
    <row r="689">
      <c r="A689" s="16" t="inlineStr">
        <is>
          <t>Dívida 2</t>
        </is>
      </c>
    </row>
    <row r="690">
      <c r="A690" s="5" t="inlineStr">
        <is>
          <t>Dívida 2 — Nome</t>
        </is>
      </c>
      <c r="B690" s="6" t="n"/>
      <c r="C690" s="7" t="inlineStr">
        <is>
          <t>texto</t>
        </is>
      </c>
      <c r="D690" s="8" t="inlineStr">
        <is>
          <t>funding.divida[2].nome</t>
        </is>
      </c>
    </row>
    <row r="691">
      <c r="A691" s="5" t="inlineStr">
        <is>
          <t>Dívida 2 — Valor</t>
        </is>
      </c>
      <c r="B691" s="17" t="n"/>
      <c r="C691" s="7" t="inlineStr">
        <is>
          <t>R$ (valor cheio)</t>
        </is>
      </c>
      <c r="D691" s="8" t="inlineStr">
        <is>
          <t>funding.divida[2].valor</t>
        </is>
      </c>
    </row>
    <row r="692">
      <c r="A692" s="5" t="inlineStr">
        <is>
          <t>Dívida 2 — Mês do aporte</t>
        </is>
      </c>
      <c r="B692" s="6" t="n"/>
      <c r="C692" s="7" t="inlineStr">
        <is>
          <t>evento, fase ("fase: &lt;nome&gt;") ou customizado</t>
        </is>
      </c>
      <c r="D692" s="8" t="inlineStr">
        <is>
          <t>funding.divida[2].aporte</t>
        </is>
      </c>
    </row>
    <row r="693">
      <c r="A693" s="5" t="inlineStr">
        <is>
          <t>Dívida 2 — Mês (só customizado)</t>
        </is>
      </c>
      <c r="B693" s="15" t="n"/>
      <c r="C693" s="7" t="inlineStr">
        <is>
          <t>mês (inteiro ≥ 0)</t>
        </is>
      </c>
      <c r="D693" s="8" t="inlineStr">
        <is>
          <t>funding.divida[2].mes</t>
        </is>
      </c>
    </row>
    <row r="694">
      <c r="A694" s="5" t="inlineStr">
        <is>
          <t>Dívida 2 — Distribuir aporte</t>
        </is>
      </c>
      <c r="B694" s="6" t="n"/>
      <c r="C694" s="7" t="inlineStr">
        <is>
          <t>Sim/Não</t>
        </is>
      </c>
      <c r="D694" s="8" t="inlineStr">
        <is>
          <t>funding.divida[2].distribuir_aporte</t>
        </is>
      </c>
    </row>
    <row r="695">
      <c r="A695" s="5" t="inlineStr">
        <is>
          <t>Dívida 2 — Aporte em</t>
        </is>
      </c>
      <c r="B695" s="15" t="n"/>
      <c r="C695" s="7" t="inlineStr">
        <is>
          <t>meses (≥ 1)</t>
        </is>
      </c>
      <c r="D695" s="8" t="inlineStr">
        <is>
          <t>funding.divida[2].aporte_meses</t>
        </is>
      </c>
    </row>
    <row r="696">
      <c r="A696" s="5" t="inlineStr">
        <is>
          <t>Dívida 2 — Taxa</t>
        </is>
      </c>
      <c r="B696" s="12" t="n"/>
      <c r="C696" s="7" t="inlineStr">
        <is>
          <t>% a.a.</t>
        </is>
      </c>
      <c r="D696" s="8" t="inlineStr">
        <is>
          <t>funding.divida[2].taxa_anual</t>
        </is>
      </c>
    </row>
    <row r="697">
      <c r="A697" s="5" t="inlineStr">
        <is>
          <t>Dívida 2 — Amortização</t>
        </is>
      </c>
      <c r="B697" s="15" t="n"/>
      <c r="C697" s="7" t="inlineStr">
        <is>
          <t>meses</t>
        </is>
      </c>
      <c r="D697" s="8" t="inlineStr">
        <is>
          <t>funding.divida[2].amortizacao_meses</t>
        </is>
      </c>
    </row>
    <row r="698">
      <c r="A698" s="5" t="inlineStr">
        <is>
          <t>Dívida 2 — Carência</t>
        </is>
      </c>
      <c r="B698" s="15" t="n"/>
      <c r="C698" s="7" t="inlineStr">
        <is>
          <t>meses (&lt; amortização)</t>
        </is>
      </c>
      <c r="D698" s="8" t="inlineStr">
        <is>
          <t>funding.divida[2].carencia_meses</t>
        </is>
      </c>
    </row>
    <row r="699">
      <c r="A699" s="5" t="inlineStr">
        <is>
          <t>Dívida 2 — Estruturação</t>
        </is>
      </c>
      <c r="B699" s="12" t="n"/>
      <c r="C699" s="7" t="inlineStr">
        <is>
          <t>% do valor</t>
        </is>
      </c>
      <c r="D699" s="8" t="inlineStr">
        <is>
          <t>funding.divida[2].estruturacao_pct</t>
        </is>
      </c>
    </row>
    <row r="700">
      <c r="A700" s="5" t="inlineStr">
        <is>
          <t>Dívida 2 — Administração</t>
        </is>
      </c>
      <c r="B700" s="17" t="n"/>
      <c r="C700" s="7" t="inlineStr">
        <is>
          <t>R$/mês</t>
        </is>
      </c>
      <c r="D700" s="8" t="inlineStr">
        <is>
          <t>funding.divida[2].administracao_mensal</t>
        </is>
      </c>
    </row>
    <row r="701">
      <c r="A701" s="5" t="inlineStr">
        <is>
          <t>Dívida 2 — Outros encargos</t>
        </is>
      </c>
      <c r="B701" s="17" t="n"/>
      <c r="C701" s="7" t="inlineStr">
        <is>
          <t>R$ (iniciais)</t>
        </is>
      </c>
      <c r="D701" s="8" t="inlineStr">
        <is>
          <t>funding.divida[2].outros_encargos</t>
        </is>
      </c>
    </row>
    <row r="702">
      <c r="A702" s="16" t="inlineStr">
        <is>
          <t>Dívida 3</t>
        </is>
      </c>
    </row>
    <row r="703">
      <c r="A703" s="5" t="inlineStr">
        <is>
          <t>Dívida 3 — Nome</t>
        </is>
      </c>
      <c r="B703" s="6" t="n"/>
      <c r="C703" s="7" t="inlineStr">
        <is>
          <t>texto</t>
        </is>
      </c>
      <c r="D703" s="8" t="inlineStr">
        <is>
          <t>funding.divida[3].nome</t>
        </is>
      </c>
    </row>
    <row r="704">
      <c r="A704" s="5" t="inlineStr">
        <is>
          <t>Dívida 3 — Valor</t>
        </is>
      </c>
      <c r="B704" s="17" t="n"/>
      <c r="C704" s="7" t="inlineStr">
        <is>
          <t>R$ (valor cheio)</t>
        </is>
      </c>
      <c r="D704" s="8" t="inlineStr">
        <is>
          <t>funding.divida[3].valor</t>
        </is>
      </c>
    </row>
    <row r="705">
      <c r="A705" s="5" t="inlineStr">
        <is>
          <t>Dívida 3 — Mês do aporte</t>
        </is>
      </c>
      <c r="B705" s="6" t="n"/>
      <c r="C705" s="7" t="inlineStr">
        <is>
          <t>evento, fase ("fase: &lt;nome&gt;") ou customizado</t>
        </is>
      </c>
      <c r="D705" s="8" t="inlineStr">
        <is>
          <t>funding.divida[3].aporte</t>
        </is>
      </c>
    </row>
    <row r="706">
      <c r="A706" s="5" t="inlineStr">
        <is>
          <t>Dívida 3 — Mês (só customizado)</t>
        </is>
      </c>
      <c r="B706" s="15" t="n"/>
      <c r="C706" s="7" t="inlineStr">
        <is>
          <t>mês (inteiro ≥ 0)</t>
        </is>
      </c>
      <c r="D706" s="8" t="inlineStr">
        <is>
          <t>funding.divida[3].mes</t>
        </is>
      </c>
    </row>
    <row r="707">
      <c r="A707" s="5" t="inlineStr">
        <is>
          <t>Dívida 3 — Distribuir aporte</t>
        </is>
      </c>
      <c r="B707" s="6" t="n"/>
      <c r="C707" s="7" t="inlineStr">
        <is>
          <t>Sim/Não</t>
        </is>
      </c>
      <c r="D707" s="8" t="inlineStr">
        <is>
          <t>funding.divida[3].distribuir_aporte</t>
        </is>
      </c>
    </row>
    <row r="708">
      <c r="A708" s="5" t="inlineStr">
        <is>
          <t>Dívida 3 — Aporte em</t>
        </is>
      </c>
      <c r="B708" s="15" t="n"/>
      <c r="C708" s="7" t="inlineStr">
        <is>
          <t>meses (≥ 1)</t>
        </is>
      </c>
      <c r="D708" s="8" t="inlineStr">
        <is>
          <t>funding.divida[3].aporte_meses</t>
        </is>
      </c>
    </row>
    <row r="709">
      <c r="A709" s="5" t="inlineStr">
        <is>
          <t>Dívida 3 — Taxa</t>
        </is>
      </c>
      <c r="B709" s="12" t="n"/>
      <c r="C709" s="7" t="inlineStr">
        <is>
          <t>% a.a.</t>
        </is>
      </c>
      <c r="D709" s="8" t="inlineStr">
        <is>
          <t>funding.divida[3].taxa_anual</t>
        </is>
      </c>
    </row>
    <row r="710">
      <c r="A710" s="5" t="inlineStr">
        <is>
          <t>Dívida 3 — Amortização</t>
        </is>
      </c>
      <c r="B710" s="15" t="n"/>
      <c r="C710" s="7" t="inlineStr">
        <is>
          <t>meses</t>
        </is>
      </c>
      <c r="D710" s="8" t="inlineStr">
        <is>
          <t>funding.divida[3].amortizacao_meses</t>
        </is>
      </c>
    </row>
    <row r="711">
      <c r="A711" s="5" t="inlineStr">
        <is>
          <t>Dívida 3 — Carência</t>
        </is>
      </c>
      <c r="B711" s="15" t="n"/>
      <c r="C711" s="7" t="inlineStr">
        <is>
          <t>meses (&lt; amortização)</t>
        </is>
      </c>
      <c r="D711" s="8" t="inlineStr">
        <is>
          <t>funding.divida[3].carencia_meses</t>
        </is>
      </c>
    </row>
    <row r="712">
      <c r="A712" s="5" t="inlineStr">
        <is>
          <t>Dívida 3 — Estruturação</t>
        </is>
      </c>
      <c r="B712" s="12" t="n"/>
      <c r="C712" s="7" t="inlineStr">
        <is>
          <t>% do valor</t>
        </is>
      </c>
      <c r="D712" s="8" t="inlineStr">
        <is>
          <t>funding.divida[3].estruturacao_pct</t>
        </is>
      </c>
    </row>
    <row r="713">
      <c r="A713" s="5" t="inlineStr">
        <is>
          <t>Dívida 3 — Administração</t>
        </is>
      </c>
      <c r="B713" s="17" t="n"/>
      <c r="C713" s="7" t="inlineStr">
        <is>
          <t>R$/mês</t>
        </is>
      </c>
      <c r="D713" s="8" t="inlineStr">
        <is>
          <t>funding.divida[3].administracao_mensal</t>
        </is>
      </c>
    </row>
    <row r="714">
      <c r="A714" s="5" t="inlineStr">
        <is>
          <t>Dívida 3 — Outros encargos</t>
        </is>
      </c>
      <c r="B714" s="17" t="n"/>
      <c r="C714" s="7" t="inlineStr">
        <is>
          <t>R$ (iniciais)</t>
        </is>
      </c>
      <c r="D714" s="8" t="inlineStr">
        <is>
          <t>funding.divida[3].outros_encargos</t>
        </is>
      </c>
    </row>
    <row r="715">
      <c r="A715" s="16" t="inlineStr">
        <is>
          <t>Equity 1</t>
        </is>
      </c>
    </row>
    <row r="716">
      <c r="A716" s="5" t="inlineStr">
        <is>
          <t>Equity 1 — Nome</t>
        </is>
      </c>
      <c r="B716" s="6" t="n"/>
      <c r="C716" s="7" t="inlineStr">
        <is>
          <t>texto</t>
        </is>
      </c>
      <c r="D716" s="8" t="inlineStr">
        <is>
          <t>funding.equity[1].nome</t>
        </is>
      </c>
    </row>
    <row r="717">
      <c r="A717" s="5" t="inlineStr">
        <is>
          <t>Equity 1 — Valor</t>
        </is>
      </c>
      <c r="B717" s="17" t="n"/>
      <c r="C717" s="7" t="inlineStr">
        <is>
          <t>R$ (valor cheio)</t>
        </is>
      </c>
      <c r="D717" s="8" t="inlineStr">
        <is>
          <t>funding.equity[1].valor</t>
        </is>
      </c>
    </row>
    <row r="718">
      <c r="A718" s="5" t="inlineStr">
        <is>
          <t>Equity 1 — Mês do aporte</t>
        </is>
      </c>
      <c r="B718" s="6" t="n"/>
      <c r="C718" s="7" t="inlineStr">
        <is>
          <t>evento, fase ("fase: &lt;nome&gt;") ou customizado</t>
        </is>
      </c>
      <c r="D718" s="8" t="inlineStr">
        <is>
          <t>funding.equity[1].aporte</t>
        </is>
      </c>
    </row>
    <row r="719">
      <c r="A719" s="5" t="inlineStr">
        <is>
          <t>Equity 1 — Mês (só customizado)</t>
        </is>
      </c>
      <c r="B719" s="15" t="n"/>
      <c r="C719" s="7" t="inlineStr">
        <is>
          <t>mês (inteiro ≥ 0)</t>
        </is>
      </c>
      <c r="D719" s="8" t="inlineStr">
        <is>
          <t>funding.equity[1].mes</t>
        </is>
      </c>
    </row>
    <row r="720">
      <c r="A720" s="5" t="inlineStr">
        <is>
          <t>Equity 1 — Modo de retorno</t>
        </is>
      </c>
      <c r="B720" s="6" t="n"/>
      <c r="C720" s="7" t="inlineStr">
        <is>
          <t>lista: permuta_financeira | resultado_final</t>
        </is>
      </c>
      <c r="D720" s="8" t="inlineStr">
        <is>
          <t>funding.equity[1].modo_retorno</t>
        </is>
      </c>
    </row>
    <row r="721">
      <c r="A721" s="5" t="inlineStr">
        <is>
          <t>Equity 1 — % de retorno</t>
        </is>
      </c>
      <c r="B721" s="12" t="n"/>
      <c r="C721" s="7" t="inlineStr">
        <is>
          <t>% (do resultado final ou da receita líquida)</t>
        </is>
      </c>
      <c r="D721" s="8" t="inlineStr">
        <is>
          <t>funding.equity[1].pct_retorno</t>
        </is>
      </c>
    </row>
    <row r="722">
      <c r="A722" s="16" t="inlineStr">
        <is>
          <t>Equity 2</t>
        </is>
      </c>
    </row>
    <row r="723">
      <c r="A723" s="5" t="inlineStr">
        <is>
          <t>Equity 2 — Nome</t>
        </is>
      </c>
      <c r="B723" s="6" t="n"/>
      <c r="C723" s="7" t="inlineStr">
        <is>
          <t>texto</t>
        </is>
      </c>
      <c r="D723" s="8" t="inlineStr">
        <is>
          <t>funding.equity[2].nome</t>
        </is>
      </c>
    </row>
    <row r="724">
      <c r="A724" s="5" t="inlineStr">
        <is>
          <t>Equity 2 — Valor</t>
        </is>
      </c>
      <c r="B724" s="17" t="n"/>
      <c r="C724" s="7" t="inlineStr">
        <is>
          <t>R$ (valor cheio)</t>
        </is>
      </c>
      <c r="D724" s="8" t="inlineStr">
        <is>
          <t>funding.equity[2].valor</t>
        </is>
      </c>
    </row>
    <row r="725">
      <c r="A725" s="5" t="inlineStr">
        <is>
          <t>Equity 2 — Mês do aporte</t>
        </is>
      </c>
      <c r="B725" s="6" t="n"/>
      <c r="C725" s="7" t="inlineStr">
        <is>
          <t>evento, fase ("fase: &lt;nome&gt;") ou customizado</t>
        </is>
      </c>
      <c r="D725" s="8" t="inlineStr">
        <is>
          <t>funding.equity[2].aporte</t>
        </is>
      </c>
    </row>
    <row r="726">
      <c r="A726" s="5" t="inlineStr">
        <is>
          <t>Equity 2 — Mês (só customizado)</t>
        </is>
      </c>
      <c r="B726" s="15" t="n"/>
      <c r="C726" s="7" t="inlineStr">
        <is>
          <t>mês (inteiro ≥ 0)</t>
        </is>
      </c>
      <c r="D726" s="8" t="inlineStr">
        <is>
          <t>funding.equity[2].mes</t>
        </is>
      </c>
    </row>
    <row r="727">
      <c r="A727" s="5" t="inlineStr">
        <is>
          <t>Equity 2 — Modo de retorno</t>
        </is>
      </c>
      <c r="B727" s="6" t="n"/>
      <c r="C727" s="7" t="inlineStr">
        <is>
          <t>lista: permuta_financeira | resultado_final</t>
        </is>
      </c>
      <c r="D727" s="8" t="inlineStr">
        <is>
          <t>funding.equity[2].modo_retorno</t>
        </is>
      </c>
    </row>
    <row r="728">
      <c r="A728" s="5" t="inlineStr">
        <is>
          <t>Equity 2 — % de retorno</t>
        </is>
      </c>
      <c r="B728" s="12" t="n"/>
      <c r="C728" s="7" t="inlineStr">
        <is>
          <t>% (do resultado final ou da receita líquida)</t>
        </is>
      </c>
      <c r="D728" s="8" t="inlineStr">
        <is>
          <t>funding.equity[2].pct_retorno</t>
        </is>
      </c>
    </row>
    <row r="729">
      <c r="A729" s="16" t="inlineStr">
        <is>
          <t>Equity 3</t>
        </is>
      </c>
    </row>
    <row r="730">
      <c r="A730" s="5" t="inlineStr">
        <is>
          <t>Equity 3 — Nome</t>
        </is>
      </c>
      <c r="B730" s="6" t="n"/>
      <c r="C730" s="7" t="inlineStr">
        <is>
          <t>texto</t>
        </is>
      </c>
      <c r="D730" s="8" t="inlineStr">
        <is>
          <t>funding.equity[3].nome</t>
        </is>
      </c>
    </row>
    <row r="731">
      <c r="A731" s="5" t="inlineStr">
        <is>
          <t>Equity 3 — Valor</t>
        </is>
      </c>
      <c r="B731" s="17" t="n"/>
      <c r="C731" s="7" t="inlineStr">
        <is>
          <t>R$ (valor cheio)</t>
        </is>
      </c>
      <c r="D731" s="8" t="inlineStr">
        <is>
          <t>funding.equity[3].valor</t>
        </is>
      </c>
    </row>
    <row r="732">
      <c r="A732" s="5" t="inlineStr">
        <is>
          <t>Equity 3 — Mês do aporte</t>
        </is>
      </c>
      <c r="B732" s="6" t="n"/>
      <c r="C732" s="7" t="inlineStr">
        <is>
          <t>evento, fase ("fase: &lt;nome&gt;") ou customizado</t>
        </is>
      </c>
      <c r="D732" s="8" t="inlineStr">
        <is>
          <t>funding.equity[3].aporte</t>
        </is>
      </c>
    </row>
    <row r="733">
      <c r="A733" s="5" t="inlineStr">
        <is>
          <t>Equity 3 — Mês (só customizado)</t>
        </is>
      </c>
      <c r="B733" s="15" t="n"/>
      <c r="C733" s="7" t="inlineStr">
        <is>
          <t>mês (inteiro ≥ 0)</t>
        </is>
      </c>
      <c r="D733" s="8" t="inlineStr">
        <is>
          <t>funding.equity[3].mes</t>
        </is>
      </c>
    </row>
    <row r="734">
      <c r="A734" s="5" t="inlineStr">
        <is>
          <t>Equity 3 — Modo de retorno</t>
        </is>
      </c>
      <c r="B734" s="6" t="n"/>
      <c r="C734" s="7" t="inlineStr">
        <is>
          <t>lista: permuta_financeira | resultado_final</t>
        </is>
      </c>
      <c r="D734" s="8" t="inlineStr">
        <is>
          <t>funding.equity[3].modo_retorno</t>
        </is>
      </c>
    </row>
    <row r="735">
      <c r="A735" s="5" t="inlineStr">
        <is>
          <t>Equity 3 — % de retorno</t>
        </is>
      </c>
      <c r="B735" s="12" t="n"/>
      <c r="C735" s="7" t="inlineStr">
        <is>
          <t>% (do resultado final ou da receita líquida)</t>
        </is>
      </c>
      <c r="D735" s="8" t="inlineStr">
        <is>
          <t>funding.equity[3].pct_retorno</t>
        </is>
      </c>
    </row>
    <row r="736" ht="52" customHeight="1">
      <c r="A736" s="13" t="inlineStr">
        <is>
          <t>Antecipação de recebíveis: cessão de parte da carteira a securitizadora/CRI/FIDC. Não tem campo de valor — o app calcula o valor presente das parcelas cedidas à taxa de desconto. Com âncora num evento, a cessão é no INÍCIO dele; cedem-se as parcelas que vencem depois desse mês, das vendas feitas até ele. Uma antecipação posterior cede o % do que a anterior não cedeu. Entra só no Funding/Fluxo alavancado, nunca na Proforma nem na TIR/VPL do projeto.</t>
        </is>
      </c>
    </row>
    <row r="737">
      <c r="A737" s="16" t="inlineStr">
        <is>
          <t>Antecipação de recebíveis 1</t>
        </is>
      </c>
    </row>
    <row r="738">
      <c r="A738" s="5" t="inlineStr">
        <is>
          <t>Antecipação 1 — Nome</t>
        </is>
      </c>
      <c r="B738" s="6" t="n"/>
      <c r="C738" s="7" t="inlineStr">
        <is>
          <t>texto</t>
        </is>
      </c>
      <c r="D738" s="8" t="inlineStr">
        <is>
          <t>funding.antecipacao[1].nome</t>
        </is>
      </c>
    </row>
    <row r="739">
      <c r="A739" s="5" t="inlineStr">
        <is>
          <t>Antecipação 1 — Mês da cessão</t>
        </is>
      </c>
      <c r="B739" s="6" t="n"/>
      <c r="C739" s="7" t="inlineStr">
        <is>
          <t>evento, fase ("fase: &lt;nome&gt;") ou customizado</t>
        </is>
      </c>
      <c r="D739" s="8" t="inlineStr">
        <is>
          <t>funding.antecipacao[1].aporte</t>
        </is>
      </c>
    </row>
    <row r="740">
      <c r="A740" s="5" t="inlineStr">
        <is>
          <t>Antecipação 1 — Mês (só customizado)</t>
        </is>
      </c>
      <c r="B740" s="15" t="n"/>
      <c r="C740" s="7" t="inlineStr">
        <is>
          <t>mês (inteiro ≥ 0)</t>
        </is>
      </c>
      <c r="D740" s="8" t="inlineStr">
        <is>
          <t>funding.antecipacao[1].mes</t>
        </is>
      </c>
    </row>
    <row r="741">
      <c r="A741" s="5" t="inlineStr">
        <is>
          <t>Antecipação 1 — Carteira cedida</t>
        </is>
      </c>
      <c r="B741" s="12" t="n"/>
      <c r="C741" s="7" t="inlineStr">
        <is>
          <t>% do que as vendas até a cessão ainda vão pagar</t>
        </is>
      </c>
      <c r="D741" s="8" t="inlineStr">
        <is>
          <t>funding.antecipacao[1].pct_cedida</t>
        </is>
      </c>
    </row>
    <row r="742">
      <c r="A742" s="5" t="inlineStr">
        <is>
          <t>Antecipação 1 — Taxa de desconto</t>
        </is>
      </c>
      <c r="B742" s="12" t="n"/>
      <c r="C742" s="7" t="inlineStr">
        <is>
          <t>% a.a.</t>
        </is>
      </c>
      <c r="D742" s="8" t="inlineStr">
        <is>
          <t>funding.antecipacao[1].taxa_anual</t>
        </is>
      </c>
    </row>
    <row r="743">
      <c r="A743" s="5" t="inlineStr">
        <is>
          <t>Antecipação 1 — Estruturação</t>
        </is>
      </c>
      <c r="B743" s="12" t="n"/>
      <c r="C743" s="7" t="inlineStr">
        <is>
          <t>% do valor presente (no mês da cessão)</t>
        </is>
      </c>
      <c r="D743" s="8" t="inlineStr">
        <is>
          <t>funding.antecipacao[1].estruturacao_pct</t>
        </is>
      </c>
    </row>
    <row r="744">
      <c r="A744" s="5" t="inlineStr">
        <is>
          <t>Antecipação 1 — Administração</t>
        </is>
      </c>
      <c r="B744" s="17" t="n"/>
      <c r="C744" s="7" t="inlineStr">
        <is>
          <t>R$/mês (enquanto houver parcela cedida)</t>
        </is>
      </c>
      <c r="D744" s="8" t="inlineStr">
        <is>
          <t>funding.antecipacao[1].administracao_mensal</t>
        </is>
      </c>
    </row>
    <row r="745">
      <c r="A745" s="5" t="inlineStr">
        <is>
          <t>Antecipação 1 — Outros custos</t>
        </is>
      </c>
      <c r="B745" s="17" t="n"/>
      <c r="C745" s="7" t="inlineStr">
        <is>
          <t>R$ (no mês da cessão)</t>
        </is>
      </c>
      <c r="D745" s="8" t="inlineStr">
        <is>
          <t>funding.antecipacao[1].outros_encargos</t>
        </is>
      </c>
    </row>
    <row r="746">
      <c r="A746" s="16" t="inlineStr">
        <is>
          <t>Antecipação de recebíveis 2</t>
        </is>
      </c>
    </row>
    <row r="747">
      <c r="A747" s="5" t="inlineStr">
        <is>
          <t>Antecipação 2 — Nome</t>
        </is>
      </c>
      <c r="B747" s="6" t="n"/>
      <c r="C747" s="7" t="inlineStr">
        <is>
          <t>texto</t>
        </is>
      </c>
      <c r="D747" s="8" t="inlineStr">
        <is>
          <t>funding.antecipacao[2].nome</t>
        </is>
      </c>
    </row>
    <row r="748">
      <c r="A748" s="5" t="inlineStr">
        <is>
          <t>Antecipação 2 — Mês da cessão</t>
        </is>
      </c>
      <c r="B748" s="6" t="n"/>
      <c r="C748" s="7" t="inlineStr">
        <is>
          <t>evento, fase ("fase: &lt;nome&gt;") ou customizado</t>
        </is>
      </c>
      <c r="D748" s="8" t="inlineStr">
        <is>
          <t>funding.antecipacao[2].aporte</t>
        </is>
      </c>
    </row>
    <row r="749">
      <c r="A749" s="5" t="inlineStr">
        <is>
          <t>Antecipação 2 — Mês (só customizado)</t>
        </is>
      </c>
      <c r="B749" s="15" t="n"/>
      <c r="C749" s="7" t="inlineStr">
        <is>
          <t>mês (inteiro ≥ 0)</t>
        </is>
      </c>
      <c r="D749" s="8" t="inlineStr">
        <is>
          <t>funding.antecipacao[2].mes</t>
        </is>
      </c>
    </row>
    <row r="750">
      <c r="A750" s="5" t="inlineStr">
        <is>
          <t>Antecipação 2 — Carteira cedida</t>
        </is>
      </c>
      <c r="B750" s="12" t="n"/>
      <c r="C750" s="7" t="inlineStr">
        <is>
          <t>% do que as vendas até a cessão ainda vão pagar</t>
        </is>
      </c>
      <c r="D750" s="8" t="inlineStr">
        <is>
          <t>funding.antecipacao[2].pct_cedida</t>
        </is>
      </c>
    </row>
    <row r="751">
      <c r="A751" s="5" t="inlineStr">
        <is>
          <t>Antecipação 2 — Taxa de desconto</t>
        </is>
      </c>
      <c r="B751" s="12" t="n"/>
      <c r="C751" s="7" t="inlineStr">
        <is>
          <t>% a.a.</t>
        </is>
      </c>
      <c r="D751" s="8" t="inlineStr">
        <is>
          <t>funding.antecipacao[2].taxa_anual</t>
        </is>
      </c>
    </row>
    <row r="752">
      <c r="A752" s="5" t="inlineStr">
        <is>
          <t>Antecipação 2 — Estruturação</t>
        </is>
      </c>
      <c r="B752" s="12" t="n"/>
      <c r="C752" s="7" t="inlineStr">
        <is>
          <t>% do valor presente (no mês da cessão)</t>
        </is>
      </c>
      <c r="D752" s="8" t="inlineStr">
        <is>
          <t>funding.antecipacao[2].estruturacao_pct</t>
        </is>
      </c>
    </row>
    <row r="753">
      <c r="A753" s="5" t="inlineStr">
        <is>
          <t>Antecipação 2 — Administração</t>
        </is>
      </c>
      <c r="B753" s="17" t="n"/>
      <c r="C753" s="7" t="inlineStr">
        <is>
          <t>R$/mês (enquanto houver parcela cedida)</t>
        </is>
      </c>
      <c r="D753" s="8" t="inlineStr">
        <is>
          <t>funding.antecipacao[2].administracao_mensal</t>
        </is>
      </c>
    </row>
    <row r="754">
      <c r="A754" s="5" t="inlineStr">
        <is>
          <t>Antecipação 2 — Outros custos</t>
        </is>
      </c>
      <c r="B754" s="17" t="n"/>
      <c r="C754" s="7" t="inlineStr">
        <is>
          <t>R$ (no mês da cessão)</t>
        </is>
      </c>
      <c r="D754" s="8" t="inlineStr">
        <is>
          <t>funding.antecipacao[2].outros_encargos</t>
        </is>
      </c>
    </row>
    <row r="755">
      <c r="A755" s="16" t="inlineStr">
        <is>
          <t>Antecipação de recebíveis 3</t>
        </is>
      </c>
    </row>
    <row r="756">
      <c r="A756" s="5" t="inlineStr">
        <is>
          <t>Antecipação 3 — Nome</t>
        </is>
      </c>
      <c r="B756" s="6" t="n"/>
      <c r="C756" s="7" t="inlineStr">
        <is>
          <t>texto</t>
        </is>
      </c>
      <c r="D756" s="8" t="inlineStr">
        <is>
          <t>funding.antecipacao[3].nome</t>
        </is>
      </c>
    </row>
    <row r="757">
      <c r="A757" s="5" t="inlineStr">
        <is>
          <t>Antecipação 3 — Mês da cessão</t>
        </is>
      </c>
      <c r="B757" s="6" t="n"/>
      <c r="C757" s="7" t="inlineStr">
        <is>
          <t>evento, fase ("fase: &lt;nome&gt;") ou customizado</t>
        </is>
      </c>
      <c r="D757" s="8" t="inlineStr">
        <is>
          <t>funding.antecipacao[3].aporte</t>
        </is>
      </c>
    </row>
    <row r="758">
      <c r="A758" s="5" t="inlineStr">
        <is>
          <t>Antecipação 3 — Mês (só customizado)</t>
        </is>
      </c>
      <c r="B758" s="15" t="n"/>
      <c r="C758" s="7" t="inlineStr">
        <is>
          <t>mês (inteiro ≥ 0)</t>
        </is>
      </c>
      <c r="D758" s="8" t="inlineStr">
        <is>
          <t>funding.antecipacao[3].mes</t>
        </is>
      </c>
    </row>
    <row r="759">
      <c r="A759" s="5" t="inlineStr">
        <is>
          <t>Antecipação 3 — Carteira cedida</t>
        </is>
      </c>
      <c r="B759" s="12" t="n"/>
      <c r="C759" s="7" t="inlineStr">
        <is>
          <t>% do que as vendas até a cessão ainda vão pagar</t>
        </is>
      </c>
      <c r="D759" s="8" t="inlineStr">
        <is>
          <t>funding.antecipacao[3].pct_cedida</t>
        </is>
      </c>
    </row>
    <row r="760">
      <c r="A760" s="5" t="inlineStr">
        <is>
          <t>Antecipação 3 — Taxa de desconto</t>
        </is>
      </c>
      <c r="B760" s="12" t="n"/>
      <c r="C760" s="7" t="inlineStr">
        <is>
          <t>% a.a.</t>
        </is>
      </c>
      <c r="D760" s="8" t="inlineStr">
        <is>
          <t>funding.antecipacao[3].taxa_anual</t>
        </is>
      </c>
    </row>
    <row r="761">
      <c r="A761" s="5" t="inlineStr">
        <is>
          <t>Antecipação 3 — Estruturação</t>
        </is>
      </c>
      <c r="B761" s="12" t="n"/>
      <c r="C761" s="7" t="inlineStr">
        <is>
          <t>% do valor presente (no mês da cessão)</t>
        </is>
      </c>
      <c r="D761" s="8" t="inlineStr">
        <is>
          <t>funding.antecipacao[3].estruturacao_pct</t>
        </is>
      </c>
    </row>
    <row r="762">
      <c r="A762" s="5" t="inlineStr">
        <is>
          <t>Antecipação 3 — Administração</t>
        </is>
      </c>
      <c r="B762" s="17" t="n"/>
      <c r="C762" s="7" t="inlineStr">
        <is>
          <t>R$/mês (enquanto houver parcela cedida)</t>
        </is>
      </c>
      <c r="D762" s="8" t="inlineStr">
        <is>
          <t>funding.antecipacao[3].administracao_mensal</t>
        </is>
      </c>
    </row>
    <row r="763">
      <c r="A763" s="5" t="inlineStr">
        <is>
          <t>Antecipação 3 — Outros custos</t>
        </is>
      </c>
      <c r="B763" s="17" t="n"/>
      <c r="C763" s="7" t="inlineStr">
        <is>
          <t>R$ (no mês da cessão)</t>
        </is>
      </c>
      <c r="D763" s="8" t="inlineStr">
        <is>
          <t>funding.antecipacao[3].outros_encargos</t>
        </is>
      </c>
    </row>
    <row r="764" ht="20" customHeight="1">
      <c r="A764" s="4" t="inlineStr">
        <is>
          <t>11 · Cenários (variação sobre o estudo real) — 5 vagas</t>
        </is>
      </c>
    </row>
    <row r="765">
      <c r="A765" s="5" t="inlineStr">
        <is>
          <t>Cenário 1 — Nome</t>
        </is>
      </c>
      <c r="B765" s="6" t="n"/>
      <c r="C765" s="7" t="inlineStr">
        <is>
          <t>texto</t>
        </is>
      </c>
      <c r="D765" s="8" t="inlineStr">
        <is>
          <t>cenarios[1].nome</t>
        </is>
      </c>
    </row>
    <row r="766">
      <c r="A766" s="5" t="inlineStr">
        <is>
          <t>Cenário 1 — Preço de venda</t>
        </is>
      </c>
      <c r="B766" s="12" t="n"/>
      <c r="C766" s="7" t="inlineStr">
        <is>
          <t>variação % (pode ser negativa)</t>
        </is>
      </c>
      <c r="D766" s="8" t="inlineStr">
        <is>
          <t>cenarios[1].preco_venda_pct</t>
        </is>
      </c>
    </row>
    <row r="767">
      <c r="A767" s="5" t="inlineStr">
        <is>
          <t>Cenário 1 — Custo de obra</t>
        </is>
      </c>
      <c r="B767" s="12" t="n"/>
      <c r="C767" s="7" t="inlineStr">
        <is>
          <t>variação % (pode ser negativa)</t>
        </is>
      </c>
      <c r="D767" s="8" t="inlineStr">
        <is>
          <t>cenarios[1].custo_obra_pct</t>
        </is>
      </c>
    </row>
    <row r="768">
      <c r="A768" s="5" t="inlineStr">
        <is>
          <t>Cenário 2 — Nome</t>
        </is>
      </c>
      <c r="B768" s="6" t="n"/>
      <c r="C768" s="7" t="inlineStr">
        <is>
          <t>texto</t>
        </is>
      </c>
      <c r="D768" s="8" t="inlineStr">
        <is>
          <t>cenarios[2].nome</t>
        </is>
      </c>
    </row>
    <row r="769">
      <c r="A769" s="5" t="inlineStr">
        <is>
          <t>Cenário 2 — Preço de venda</t>
        </is>
      </c>
      <c r="B769" s="12" t="n"/>
      <c r="C769" s="7" t="inlineStr">
        <is>
          <t>variação % (pode ser negativa)</t>
        </is>
      </c>
      <c r="D769" s="8" t="inlineStr">
        <is>
          <t>cenarios[2].preco_venda_pct</t>
        </is>
      </c>
    </row>
    <row r="770">
      <c r="A770" s="5" t="inlineStr">
        <is>
          <t>Cenário 2 — Custo de obra</t>
        </is>
      </c>
      <c r="B770" s="12" t="n"/>
      <c r="C770" s="7" t="inlineStr">
        <is>
          <t>variação % (pode ser negativa)</t>
        </is>
      </c>
      <c r="D770" s="8" t="inlineStr">
        <is>
          <t>cenarios[2].custo_obra_pct</t>
        </is>
      </c>
    </row>
    <row r="771">
      <c r="A771" s="5" t="inlineStr">
        <is>
          <t>Cenário 3 — Nome</t>
        </is>
      </c>
      <c r="B771" s="6" t="n"/>
      <c r="C771" s="7" t="inlineStr">
        <is>
          <t>texto</t>
        </is>
      </c>
      <c r="D771" s="8" t="inlineStr">
        <is>
          <t>cenarios[3].nome</t>
        </is>
      </c>
    </row>
    <row r="772">
      <c r="A772" s="5" t="inlineStr">
        <is>
          <t>Cenário 3 — Preço de venda</t>
        </is>
      </c>
      <c r="B772" s="12" t="n"/>
      <c r="C772" s="7" t="inlineStr">
        <is>
          <t>variação % (pode ser negativa)</t>
        </is>
      </c>
      <c r="D772" s="8" t="inlineStr">
        <is>
          <t>cenarios[3].preco_venda_pct</t>
        </is>
      </c>
    </row>
    <row r="773">
      <c r="A773" s="5" t="inlineStr">
        <is>
          <t>Cenário 3 — Custo de obra</t>
        </is>
      </c>
      <c r="B773" s="12" t="n"/>
      <c r="C773" s="7" t="inlineStr">
        <is>
          <t>variação % (pode ser negativa)</t>
        </is>
      </c>
      <c r="D773" s="8" t="inlineStr">
        <is>
          <t>cenarios[3].custo_obra_pct</t>
        </is>
      </c>
    </row>
    <row r="774">
      <c r="A774" s="5" t="inlineStr">
        <is>
          <t>Cenário 4 — Nome</t>
        </is>
      </c>
      <c r="B774" s="6" t="n"/>
      <c r="C774" s="7" t="inlineStr">
        <is>
          <t>texto</t>
        </is>
      </c>
      <c r="D774" s="8" t="inlineStr">
        <is>
          <t>cenarios[4].nome</t>
        </is>
      </c>
    </row>
    <row r="775">
      <c r="A775" s="5" t="inlineStr">
        <is>
          <t>Cenário 4 — Preço de venda</t>
        </is>
      </c>
      <c r="B775" s="12" t="n"/>
      <c r="C775" s="7" t="inlineStr">
        <is>
          <t>variação % (pode ser negativa)</t>
        </is>
      </c>
      <c r="D775" s="8" t="inlineStr">
        <is>
          <t>cenarios[4].preco_venda_pct</t>
        </is>
      </c>
    </row>
    <row r="776">
      <c r="A776" s="5" t="inlineStr">
        <is>
          <t>Cenário 4 — Custo de obra</t>
        </is>
      </c>
      <c r="B776" s="12" t="n"/>
      <c r="C776" s="7" t="inlineStr">
        <is>
          <t>variação % (pode ser negativa)</t>
        </is>
      </c>
      <c r="D776" s="8" t="inlineStr">
        <is>
          <t>cenarios[4].custo_obra_pct</t>
        </is>
      </c>
    </row>
    <row r="777">
      <c r="A777" s="5" t="inlineStr">
        <is>
          <t>Cenário 5 — Nome</t>
        </is>
      </c>
      <c r="B777" s="6" t="n"/>
      <c r="C777" s="7" t="inlineStr">
        <is>
          <t>texto</t>
        </is>
      </c>
      <c r="D777" s="8" t="inlineStr">
        <is>
          <t>cenarios[5].nome</t>
        </is>
      </c>
    </row>
    <row r="778">
      <c r="A778" s="5" t="inlineStr">
        <is>
          <t>Cenário 5 — Preço de venda</t>
        </is>
      </c>
      <c r="B778" s="12" t="n"/>
      <c r="C778" s="7" t="inlineStr">
        <is>
          <t>variação % (pode ser negativa)</t>
        </is>
      </c>
      <c r="D778" s="8" t="inlineStr">
        <is>
          <t>cenarios[5].preco_venda_pct</t>
        </is>
      </c>
    </row>
    <row r="779">
      <c r="A779" s="5" t="inlineStr">
        <is>
          <t>Cenário 5 — Custo de obra</t>
        </is>
      </c>
      <c r="B779" s="12" t="n"/>
      <c r="C779" s="7" t="inlineStr">
        <is>
          <t>variação % (pode ser negativa)</t>
        </is>
      </c>
      <c r="D779" s="8" t="inlineStr">
        <is>
          <t>cenarios[5].custo_obra_pct</t>
        </is>
      </c>
    </row>
    <row r="780" ht="20" customHeight="1">
      <c r="A780" s="18" t="inlineStr">
        <is>
          <t>REFERÊNCIA CALCULADA — não preencher (conferência do que foi preenchido)</t>
        </is>
      </c>
    </row>
    <row r="781" ht="26" customHeight="1">
      <c r="A781" s="13" t="inlineStr">
        <is>
          <t>TIR, VPL, payback, Proforma e Fluxo de Caixa NÃO são calculados aqui: dependem do motor mensal do app. Abaixo, só o que se deduz das entradas: cronograma, áreas, VGV de tabela, absorção, repasse e custos convertidos em R$.</t>
        </is>
      </c>
    </row>
    <row r="782">
      <c r="A782" s="16" t="inlineStr">
        <is>
          <t>Cronograma — inícios travados e datas</t>
        </is>
      </c>
    </row>
    <row r="783">
      <c r="A783" s="19" t="inlineStr">
        <is>
          <t>Planejamento — fim</t>
        </is>
      </c>
      <c r="B783" s="20">
        <f>N($B$30)+N($B$31)</f>
        <v/>
      </c>
      <c r="C783" s="21" t="inlineStr">
        <is>
          <t>mês</t>
        </is>
      </c>
      <c r="D783" s="22" t="inlineStr">
        <is>
          <t>calculado</t>
        </is>
      </c>
    </row>
    <row r="784">
      <c r="A784" s="19" t="inlineStr">
        <is>
          <t>Pré-lançamento — Início (travado = fim do planejamento)</t>
        </is>
      </c>
      <c r="B784" s="20">
        <f>IF($B$29="Sim",$B$783,"—")</f>
        <v/>
      </c>
      <c r="C784" s="21" t="inlineStr">
        <is>
          <t>mês</t>
        </is>
      </c>
      <c r="D784" s="22" t="inlineStr">
        <is>
          <t>cronograma.pre_lancamento.inicio_mes</t>
        </is>
      </c>
    </row>
    <row r="785">
      <c r="A785" s="19" t="inlineStr">
        <is>
          <t>Pré-lançamento — fim</t>
        </is>
      </c>
      <c r="B785" s="20">
        <f>IF($B$29="Sim",$B$784+N($B$32),"—")</f>
        <v/>
      </c>
      <c r="C785" s="21" t="inlineStr">
        <is>
          <t>mês</t>
        </is>
      </c>
      <c r="D785" s="22" t="inlineStr">
        <is>
          <t>calculado</t>
        </is>
      </c>
    </row>
    <row r="786">
      <c r="A786" s="19" t="inlineStr">
        <is>
          <t>Lançamento — Início (travado = fim do evento anterior)</t>
        </is>
      </c>
      <c r="B786" s="20">
        <f>IF($B$29="Sim",$B$785,$B$783)</f>
        <v/>
      </c>
      <c r="C786" s="21" t="inlineStr">
        <is>
          <t>mês</t>
        </is>
      </c>
      <c r="D786" s="22" t="inlineStr">
        <is>
          <t>cronograma.lancamento.inicio_mes</t>
        </is>
      </c>
    </row>
    <row r="787">
      <c r="A787" s="19" t="inlineStr">
        <is>
          <t>Lançamento — fim</t>
        </is>
      </c>
      <c r="B787" s="20">
        <f>$B$786+N($B$33)</f>
        <v/>
      </c>
      <c r="C787" s="21" t="inlineStr">
        <is>
          <t>mês</t>
        </is>
      </c>
      <c r="D787" s="22" t="inlineStr">
        <is>
          <t>calculado</t>
        </is>
      </c>
    </row>
    <row r="788">
      <c r="A788" s="19" t="inlineStr">
        <is>
          <t>Obra — fim</t>
        </is>
      </c>
      <c r="B788" s="20">
        <f>N($B$34)+N($B$35)</f>
        <v/>
      </c>
      <c r="C788" s="21" t="inlineStr">
        <is>
          <t>mês</t>
        </is>
      </c>
      <c r="D788" s="22" t="inlineStr">
        <is>
          <t>calculado</t>
        </is>
      </c>
    </row>
    <row r="789">
      <c r="A789" s="19" t="inlineStr">
        <is>
          <t>Pós-obras — Início (travado = fim da obra)</t>
        </is>
      </c>
      <c r="B789" s="20">
        <f>$B$788</f>
        <v/>
      </c>
      <c r="C789" s="21" t="inlineStr">
        <is>
          <t>mês</t>
        </is>
      </c>
      <c r="D789" s="22" t="inlineStr">
        <is>
          <t>cronograma.pos_obra.inicio_mes</t>
        </is>
      </c>
    </row>
    <row r="790">
      <c r="A790" s="19" t="inlineStr">
        <is>
          <t>Pós-obras — fim = fim do projeto</t>
        </is>
      </c>
      <c r="B790" s="20">
        <f>$B$789+N($B$36)</f>
        <v/>
      </c>
      <c r="C790" s="21" t="inlineStr">
        <is>
          <t>mês</t>
        </is>
      </c>
      <c r="D790" s="22" t="inlineStr">
        <is>
          <t>calculado</t>
        </is>
      </c>
    </row>
    <row r="791">
      <c r="A791" s="19" t="inlineStr">
        <is>
          <t>Data do Lançamento</t>
        </is>
      </c>
      <c r="B791" s="23">
        <f>IF(ISNUMBER($B$28),EDATE($B$28,$B$786),"")</f>
        <v/>
      </c>
      <c r="C791" s="21" t="inlineStr">
        <is>
          <t>mês/ano</t>
        </is>
      </c>
      <c r="D791" s="22" t="inlineStr">
        <is>
          <t>calculado</t>
        </is>
      </c>
    </row>
    <row r="792">
      <c r="A792" s="19" t="inlineStr">
        <is>
          <t>Data de início da Obra</t>
        </is>
      </c>
      <c r="B792" s="23">
        <f>IF(ISNUMBER($B$28),EDATE($B$28,$B$34),"")</f>
        <v/>
      </c>
      <c r="C792" s="21" t="inlineStr">
        <is>
          <t>mês/ano</t>
        </is>
      </c>
      <c r="D792" s="22" t="inlineStr">
        <is>
          <t>calculado</t>
        </is>
      </c>
    </row>
    <row r="793">
      <c r="A793" s="19" t="inlineStr">
        <is>
          <t>Data das chaves (fim da Obra)</t>
        </is>
      </c>
      <c r="B793" s="23">
        <f>IF(ISNUMBER($B$28),EDATE($B$28,$B$788),"")</f>
        <v/>
      </c>
      <c r="C793" s="21" t="inlineStr">
        <is>
          <t>mês/ano</t>
        </is>
      </c>
      <c r="D793" s="22" t="inlineStr">
        <is>
          <t>calculado</t>
        </is>
      </c>
    </row>
    <row r="794">
      <c r="A794" s="19" t="inlineStr">
        <is>
          <t>Data de fim do projeto</t>
        </is>
      </c>
      <c r="B794" s="23">
        <f>IF(ISNUMBER($B$28),EDATE($B$28,$B$790),"")</f>
        <v/>
      </c>
      <c r="C794" s="21" t="inlineStr">
        <is>
          <t>mês/ano</t>
        </is>
      </c>
      <c r="D794" s="22" t="inlineStr">
        <is>
          <t>calculado</t>
        </is>
      </c>
    </row>
    <row r="795">
      <c r="A795" s="19" t="inlineStr">
        <is>
          <t>Obra começa antes do fim do Lançamento?</t>
        </is>
      </c>
      <c r="B795" s="24">
        <f>IF(N($B$34)&lt;$B$787,"⚠ obra inicia antes do fim do lançamento","OK")</f>
        <v/>
      </c>
      <c r="C795" s="21" t="inlineStr">
        <is>
          <t>alerta</t>
        </is>
      </c>
      <c r="D795" s="22" t="inlineStr">
        <is>
          <t>calculado</t>
        </is>
      </c>
    </row>
    <row r="796">
      <c r="A796" s="16" t="inlineStr">
        <is>
          <t>Tipologias — catálogo</t>
        </is>
      </c>
    </row>
    <row r="797">
      <c r="A797" s="19" t="inlineStr">
        <is>
          <t>Tipologia 1 — VGV de catálogo (preço sugerido)</t>
        </is>
      </c>
      <c r="B797" s="25">
        <f>(N($B$61)+N($B$62))*N($B$65)*N($B$66)</f>
        <v/>
      </c>
      <c r="C797" s="21" t="inlineStr">
        <is>
          <t>R$</t>
        </is>
      </c>
      <c r="D797" s="22" t="inlineStr">
        <is>
          <t>calculado</t>
        </is>
      </c>
    </row>
    <row r="798">
      <c r="A798" s="19" t="inlineStr">
        <is>
          <t>Tipologia 2 — VGV de catálogo (preço sugerido)</t>
        </is>
      </c>
      <c r="B798" s="25">
        <f>(N($B$70)+N($B$71))*N($B$74)*N($B$75)</f>
        <v/>
      </c>
      <c r="C798" s="21" t="inlineStr">
        <is>
          <t>R$</t>
        </is>
      </c>
      <c r="D798" s="22" t="inlineStr">
        <is>
          <t>calculado</t>
        </is>
      </c>
    </row>
    <row r="799">
      <c r="A799" s="19" t="inlineStr">
        <is>
          <t>Tipologia 3 — VGV de catálogo (preço sugerido)</t>
        </is>
      </c>
      <c r="B799" s="25">
        <f>(N($B$79)+N($B$80))*N($B$83)*N($B$84)</f>
        <v/>
      </c>
      <c r="C799" s="21" t="inlineStr">
        <is>
          <t>R$</t>
        </is>
      </c>
      <c r="D799" s="22" t="inlineStr">
        <is>
          <t>calculado</t>
        </is>
      </c>
    </row>
    <row r="800">
      <c r="A800" s="19" t="inlineStr">
        <is>
          <t>Tipologia 4 — VGV de catálogo (preço sugerido)</t>
        </is>
      </c>
      <c r="B800" s="25">
        <f>(N($B$88)+N($B$89))*N($B$92)*N($B$93)</f>
        <v/>
      </c>
      <c r="C800" s="21" t="inlineStr">
        <is>
          <t>R$</t>
        </is>
      </c>
      <c r="D800" s="22" t="inlineStr">
        <is>
          <t>calculado</t>
        </is>
      </c>
    </row>
    <row r="801">
      <c r="A801" s="19" t="inlineStr">
        <is>
          <t>Tipologia 5 — VGV de catálogo (preço sugerido)</t>
        </is>
      </c>
      <c r="B801" s="25">
        <f>(N($B$97)+N($B$98))*N($B$101)*N($B$102)</f>
        <v/>
      </c>
      <c r="C801" s="21" t="inlineStr">
        <is>
          <t>R$</t>
        </is>
      </c>
      <c r="D801" s="22" t="inlineStr">
        <is>
          <t>calculado</t>
        </is>
      </c>
    </row>
    <row r="802">
      <c r="A802" s="19" t="inlineStr">
        <is>
          <t>Tipologia 6 — VGV de catálogo (preço sugerido)</t>
        </is>
      </c>
      <c r="B802" s="25">
        <f>(N($B$106)+N($B$107))*N($B$110)*N($B$111)</f>
        <v/>
      </c>
      <c r="C802" s="21" t="inlineStr">
        <is>
          <t>R$</t>
        </is>
      </c>
      <c r="D802" s="22" t="inlineStr">
        <is>
          <t>calculado</t>
        </is>
      </c>
    </row>
    <row r="803">
      <c r="A803" s="19" t="inlineStr">
        <is>
          <t>Tipologia 7 — VGV de catálogo (preço sugerido)</t>
        </is>
      </c>
      <c r="B803" s="25">
        <f>(N($B$115)+N($B$116))*N($B$119)*N($B$120)</f>
        <v/>
      </c>
      <c r="C803" s="21" t="inlineStr">
        <is>
          <t>R$</t>
        </is>
      </c>
      <c r="D803" s="22" t="inlineStr">
        <is>
          <t>calculado</t>
        </is>
      </c>
    </row>
    <row r="804">
      <c r="A804" s="19" t="inlineStr">
        <is>
          <t>Tipologia 8 — VGV de catálogo (preço sugerido)</t>
        </is>
      </c>
      <c r="B804" s="25">
        <f>(N($B$124)+N($B$125))*N($B$128)*N($B$129)</f>
        <v/>
      </c>
      <c r="C804" s="21" t="inlineStr">
        <is>
          <t>R$</t>
        </is>
      </c>
      <c r="D804" s="22" t="inlineStr">
        <is>
          <t>calculado</t>
        </is>
      </c>
    </row>
    <row r="805">
      <c r="A805" s="19" t="inlineStr">
        <is>
          <t>Tipologia 9 — VGV de catálogo (preço sugerido)</t>
        </is>
      </c>
      <c r="B805" s="25">
        <f>(N($B$133)+N($B$134))*N($B$137)*N($B$138)</f>
        <v/>
      </c>
      <c r="C805" s="21" t="inlineStr">
        <is>
          <t>R$</t>
        </is>
      </c>
      <c r="D805" s="22" t="inlineStr">
        <is>
          <t>calculado</t>
        </is>
      </c>
    </row>
    <row r="806">
      <c r="A806" s="19" t="inlineStr">
        <is>
          <t>Tipologia 10 — VGV de catálogo (preço sugerido)</t>
        </is>
      </c>
      <c r="B806" s="25">
        <f>(N($B$142)+N($B$143))*N($B$146)*N($B$147)</f>
        <v/>
      </c>
      <c r="C806" s="21" t="inlineStr">
        <is>
          <t>R$</t>
        </is>
      </c>
      <c r="D806" s="22" t="inlineStr">
        <is>
          <t>calculado</t>
        </is>
      </c>
    </row>
    <row r="807">
      <c r="A807" s="19" t="inlineStr">
        <is>
          <t>Unidades no catálogo</t>
        </is>
      </c>
      <c r="B807" s="20">
        <f>N($B$65)+N($B$74)+N($B$83)+N($B$92)+N($B$101)+N($B$110)+N($B$119)+N($B$128)+N($B$137)+N($B$146)</f>
        <v/>
      </c>
      <c r="C807" s="21" t="inlineStr">
        <is>
          <t>unidades</t>
        </is>
      </c>
      <c r="D807" s="22" t="inlineStr">
        <is>
          <t>calculado</t>
        </is>
      </c>
    </row>
    <row r="808">
      <c r="A808" s="19" t="inlineStr">
        <is>
          <t>VGV de catálogo (preço sugerido)</t>
        </is>
      </c>
      <c r="B808" s="25">
        <f>$B$797+$B$798+$B$799+$B$800+$B$801+$B$802+$B$803+$B$804+$B$805+$B$806</f>
        <v/>
      </c>
      <c r="C808" s="21" t="inlineStr">
        <is>
          <t>R$</t>
        </is>
      </c>
      <c r="D808" s="22" t="inlineStr">
        <is>
          <t>calculado</t>
        </is>
      </c>
    </row>
    <row r="809">
      <c r="A809" s="16" t="inlineStr">
        <is>
          <t>Alocações — VGV de tabela por alocação (unidades × (privativa+aberta) × preço)</t>
        </is>
      </c>
    </row>
    <row r="810">
      <c r="A810" s="19" t="inlineStr">
        <is>
          <t>Alocação 1 — área (privativa+aberta) × unidades</t>
        </is>
      </c>
      <c r="B810" s="26">
        <f>IF($B$291="",0,(($B$59=$B$291)*(N($B$61)+N($B$62))+($B$68=$B$291)*(N($B$70)+N($B$71))+($B$77=$B$291)*(N($B$79)+N($B$80))+($B$86=$B$291)*(N($B$88)+N($B$89))+($B$95=$B$291)*(N($B$97)+N($B$98))+($B$104=$B$291)*(N($B$106)+N($B$107))+($B$113=$B$291)*(N($B$115)+N($B$116))+($B$122=$B$291)*(N($B$124)+N($B$125))+($B$131=$B$291)*(N($B$133)+N($B$134))+($B$140=$B$291)*(N($B$142)+N($B$143)))*N($B$292))</f>
        <v/>
      </c>
      <c r="C810" s="21" t="inlineStr">
        <is>
          <t>m²</t>
        </is>
      </c>
      <c r="D810" s="22" t="inlineStr">
        <is>
          <t>calculado</t>
        </is>
      </c>
    </row>
    <row r="811">
      <c r="A811" s="19" t="inlineStr">
        <is>
          <t>Alocação 1 — VGV de tabela</t>
        </is>
      </c>
      <c r="B811" s="25">
        <f>$B$810*N($B$293)</f>
        <v/>
      </c>
      <c r="C811" s="21" t="inlineStr">
        <is>
          <t>R$</t>
        </is>
      </c>
      <c r="D811" s="22" t="inlineStr">
        <is>
          <t>calculado</t>
        </is>
      </c>
    </row>
    <row r="812">
      <c r="A812" s="19" t="inlineStr">
        <is>
          <t>Alocação 2 — área (privativa+aberta) × unidades</t>
        </is>
      </c>
      <c r="B812" s="26">
        <f>IF($B$296="",0,(($B$59=$B$296)*(N($B$61)+N($B$62))+($B$68=$B$296)*(N($B$70)+N($B$71))+($B$77=$B$296)*(N($B$79)+N($B$80))+($B$86=$B$296)*(N($B$88)+N($B$89))+($B$95=$B$296)*(N($B$97)+N($B$98))+($B$104=$B$296)*(N($B$106)+N($B$107))+($B$113=$B$296)*(N($B$115)+N($B$116))+($B$122=$B$296)*(N($B$124)+N($B$125))+($B$131=$B$296)*(N($B$133)+N($B$134))+($B$140=$B$296)*(N($B$142)+N($B$143)))*N($B$297))</f>
        <v/>
      </c>
      <c r="C812" s="21" t="inlineStr">
        <is>
          <t>m²</t>
        </is>
      </c>
      <c r="D812" s="22" t="inlineStr">
        <is>
          <t>calculado</t>
        </is>
      </c>
    </row>
    <row r="813">
      <c r="A813" s="19" t="inlineStr">
        <is>
          <t>Alocação 2 — VGV de tabela</t>
        </is>
      </c>
      <c r="B813" s="25">
        <f>$B$812*N($B$298)</f>
        <v/>
      </c>
      <c r="C813" s="21" t="inlineStr">
        <is>
          <t>R$</t>
        </is>
      </c>
      <c r="D813" s="22" t="inlineStr">
        <is>
          <t>calculado</t>
        </is>
      </c>
    </row>
    <row r="814">
      <c r="A814" s="19" t="inlineStr">
        <is>
          <t>Alocação 3 — área (privativa+aberta) × unidades</t>
        </is>
      </c>
      <c r="B814" s="26">
        <f>IF($B$301="",0,(($B$59=$B$301)*(N($B$61)+N($B$62))+($B$68=$B$301)*(N($B$70)+N($B$71))+($B$77=$B$301)*(N($B$79)+N($B$80))+($B$86=$B$301)*(N($B$88)+N($B$89))+($B$95=$B$301)*(N($B$97)+N($B$98))+($B$104=$B$301)*(N($B$106)+N($B$107))+($B$113=$B$301)*(N($B$115)+N($B$116))+($B$122=$B$301)*(N($B$124)+N($B$125))+($B$131=$B$301)*(N($B$133)+N($B$134))+($B$140=$B$301)*(N($B$142)+N($B$143)))*N($B$302))</f>
        <v/>
      </c>
      <c r="C814" s="21" t="inlineStr">
        <is>
          <t>m²</t>
        </is>
      </c>
      <c r="D814" s="22" t="inlineStr">
        <is>
          <t>calculado</t>
        </is>
      </c>
    </row>
    <row r="815">
      <c r="A815" s="19" t="inlineStr">
        <is>
          <t>Alocação 3 — VGV de tabela</t>
        </is>
      </c>
      <c r="B815" s="25">
        <f>$B$814*N($B$303)</f>
        <v/>
      </c>
      <c r="C815" s="21" t="inlineStr">
        <is>
          <t>R$</t>
        </is>
      </c>
      <c r="D815" s="22" t="inlineStr">
        <is>
          <t>calculado</t>
        </is>
      </c>
    </row>
    <row r="816">
      <c r="A816" s="19" t="inlineStr">
        <is>
          <t>Alocação 4 — área (privativa+aberta) × unidades</t>
        </is>
      </c>
      <c r="B816" s="26">
        <f>IF($B$306="",0,(($B$59=$B$306)*(N($B$61)+N($B$62))+($B$68=$B$306)*(N($B$70)+N($B$71))+($B$77=$B$306)*(N($B$79)+N($B$80))+($B$86=$B$306)*(N($B$88)+N($B$89))+($B$95=$B$306)*(N($B$97)+N($B$98))+($B$104=$B$306)*(N($B$106)+N($B$107))+($B$113=$B$306)*(N($B$115)+N($B$116))+($B$122=$B$306)*(N($B$124)+N($B$125))+($B$131=$B$306)*(N($B$133)+N($B$134))+($B$140=$B$306)*(N($B$142)+N($B$143)))*N($B$307))</f>
        <v/>
      </c>
      <c r="C816" s="21" t="inlineStr">
        <is>
          <t>m²</t>
        </is>
      </c>
      <c r="D816" s="22" t="inlineStr">
        <is>
          <t>calculado</t>
        </is>
      </c>
    </row>
    <row r="817">
      <c r="A817" s="19" t="inlineStr">
        <is>
          <t>Alocação 4 — VGV de tabela</t>
        </is>
      </c>
      <c r="B817" s="25">
        <f>$B$816*N($B$308)</f>
        <v/>
      </c>
      <c r="C817" s="21" t="inlineStr">
        <is>
          <t>R$</t>
        </is>
      </c>
      <c r="D817" s="22" t="inlineStr">
        <is>
          <t>calculado</t>
        </is>
      </c>
    </row>
    <row r="818">
      <c r="A818" s="19" t="inlineStr">
        <is>
          <t>Alocação 5 — área (privativa+aberta) × unidades</t>
        </is>
      </c>
      <c r="B818" s="26">
        <f>IF($B$311="",0,(($B$59=$B$311)*(N($B$61)+N($B$62))+($B$68=$B$311)*(N($B$70)+N($B$71))+($B$77=$B$311)*(N($B$79)+N($B$80))+($B$86=$B$311)*(N($B$88)+N($B$89))+($B$95=$B$311)*(N($B$97)+N($B$98))+($B$104=$B$311)*(N($B$106)+N($B$107))+($B$113=$B$311)*(N($B$115)+N($B$116))+($B$122=$B$311)*(N($B$124)+N($B$125))+($B$131=$B$311)*(N($B$133)+N($B$134))+($B$140=$B$311)*(N($B$142)+N($B$143)))*N($B$312))</f>
        <v/>
      </c>
      <c r="C818" s="21" t="inlineStr">
        <is>
          <t>m²</t>
        </is>
      </c>
      <c r="D818" s="22" t="inlineStr">
        <is>
          <t>calculado</t>
        </is>
      </c>
    </row>
    <row r="819">
      <c r="A819" s="19" t="inlineStr">
        <is>
          <t>Alocação 5 — VGV de tabela</t>
        </is>
      </c>
      <c r="B819" s="25">
        <f>$B$818*N($B$313)</f>
        <v/>
      </c>
      <c r="C819" s="21" t="inlineStr">
        <is>
          <t>R$</t>
        </is>
      </c>
      <c r="D819" s="22" t="inlineStr">
        <is>
          <t>calculado</t>
        </is>
      </c>
    </row>
    <row r="820">
      <c r="A820" s="19" t="inlineStr">
        <is>
          <t>Alocação 6 — área (privativa+aberta) × unidades</t>
        </is>
      </c>
      <c r="B820" s="26">
        <f>IF($B$316="",0,(($B$59=$B$316)*(N($B$61)+N($B$62))+($B$68=$B$316)*(N($B$70)+N($B$71))+($B$77=$B$316)*(N($B$79)+N($B$80))+($B$86=$B$316)*(N($B$88)+N($B$89))+($B$95=$B$316)*(N($B$97)+N($B$98))+($B$104=$B$316)*(N($B$106)+N($B$107))+($B$113=$B$316)*(N($B$115)+N($B$116))+($B$122=$B$316)*(N($B$124)+N($B$125))+($B$131=$B$316)*(N($B$133)+N($B$134))+($B$140=$B$316)*(N($B$142)+N($B$143)))*N($B$317))</f>
        <v/>
      </c>
      <c r="C820" s="21" t="inlineStr">
        <is>
          <t>m²</t>
        </is>
      </c>
      <c r="D820" s="22" t="inlineStr">
        <is>
          <t>calculado</t>
        </is>
      </c>
    </row>
    <row r="821">
      <c r="A821" s="19" t="inlineStr">
        <is>
          <t>Alocação 6 — VGV de tabela</t>
        </is>
      </c>
      <c r="B821" s="25">
        <f>$B$820*N($B$318)</f>
        <v/>
      </c>
      <c r="C821" s="21" t="inlineStr">
        <is>
          <t>R$</t>
        </is>
      </c>
      <c r="D821" s="22" t="inlineStr">
        <is>
          <t>calculado</t>
        </is>
      </c>
    </row>
    <row r="822">
      <c r="A822" s="19" t="inlineStr">
        <is>
          <t>Alocação 7 — área (privativa+aberta) × unidades</t>
        </is>
      </c>
      <c r="B822" s="26">
        <f>IF($B$321="",0,(($B$59=$B$321)*(N($B$61)+N($B$62))+($B$68=$B$321)*(N($B$70)+N($B$71))+($B$77=$B$321)*(N($B$79)+N($B$80))+($B$86=$B$321)*(N($B$88)+N($B$89))+($B$95=$B$321)*(N($B$97)+N($B$98))+($B$104=$B$321)*(N($B$106)+N($B$107))+($B$113=$B$321)*(N($B$115)+N($B$116))+($B$122=$B$321)*(N($B$124)+N($B$125))+($B$131=$B$321)*(N($B$133)+N($B$134))+($B$140=$B$321)*(N($B$142)+N($B$143)))*N($B$322))</f>
        <v/>
      </c>
      <c r="C822" s="21" t="inlineStr">
        <is>
          <t>m²</t>
        </is>
      </c>
      <c r="D822" s="22" t="inlineStr">
        <is>
          <t>calculado</t>
        </is>
      </c>
    </row>
    <row r="823">
      <c r="A823" s="19" t="inlineStr">
        <is>
          <t>Alocação 7 — VGV de tabela</t>
        </is>
      </c>
      <c r="B823" s="25">
        <f>$B$822*N($B$323)</f>
        <v/>
      </c>
      <c r="C823" s="21" t="inlineStr">
        <is>
          <t>R$</t>
        </is>
      </c>
      <c r="D823" s="22" t="inlineStr">
        <is>
          <t>calculado</t>
        </is>
      </c>
    </row>
    <row r="824">
      <c r="A824" s="19" t="inlineStr">
        <is>
          <t>Alocação 8 — área (privativa+aberta) × unidades</t>
        </is>
      </c>
      <c r="B824" s="26">
        <f>IF($B$326="",0,(($B$59=$B$326)*(N($B$61)+N($B$62))+($B$68=$B$326)*(N($B$70)+N($B$71))+($B$77=$B$326)*(N($B$79)+N($B$80))+($B$86=$B$326)*(N($B$88)+N($B$89))+($B$95=$B$326)*(N($B$97)+N($B$98))+($B$104=$B$326)*(N($B$106)+N($B$107))+($B$113=$B$326)*(N($B$115)+N($B$116))+($B$122=$B$326)*(N($B$124)+N($B$125))+($B$131=$B$326)*(N($B$133)+N($B$134))+($B$140=$B$326)*(N($B$142)+N($B$143)))*N($B$327))</f>
        <v/>
      </c>
      <c r="C824" s="21" t="inlineStr">
        <is>
          <t>m²</t>
        </is>
      </c>
      <c r="D824" s="22" t="inlineStr">
        <is>
          <t>calculado</t>
        </is>
      </c>
    </row>
    <row r="825">
      <c r="A825" s="19" t="inlineStr">
        <is>
          <t>Alocação 8 — VGV de tabela</t>
        </is>
      </c>
      <c r="B825" s="25">
        <f>$B$824*N($B$328)</f>
        <v/>
      </c>
      <c r="C825" s="21" t="inlineStr">
        <is>
          <t>R$</t>
        </is>
      </c>
      <c r="D825" s="22" t="inlineStr">
        <is>
          <t>calculado</t>
        </is>
      </c>
    </row>
    <row r="826">
      <c r="A826" s="19" t="inlineStr">
        <is>
          <t>Alocação 9 — área (privativa+aberta) × unidades</t>
        </is>
      </c>
      <c r="B826" s="26">
        <f>IF($B$331="",0,(($B$59=$B$331)*(N($B$61)+N($B$62))+($B$68=$B$331)*(N($B$70)+N($B$71))+($B$77=$B$331)*(N($B$79)+N($B$80))+($B$86=$B$331)*(N($B$88)+N($B$89))+($B$95=$B$331)*(N($B$97)+N($B$98))+($B$104=$B$331)*(N($B$106)+N($B$107))+($B$113=$B$331)*(N($B$115)+N($B$116))+($B$122=$B$331)*(N($B$124)+N($B$125))+($B$131=$B$331)*(N($B$133)+N($B$134))+($B$140=$B$331)*(N($B$142)+N($B$143)))*N($B$332))</f>
        <v/>
      </c>
      <c r="C826" s="21" t="inlineStr">
        <is>
          <t>m²</t>
        </is>
      </c>
      <c r="D826" s="22" t="inlineStr">
        <is>
          <t>calculado</t>
        </is>
      </c>
    </row>
    <row r="827">
      <c r="A827" s="19" t="inlineStr">
        <is>
          <t>Alocação 9 — VGV de tabela</t>
        </is>
      </c>
      <c r="B827" s="25">
        <f>$B$826*N($B$333)</f>
        <v/>
      </c>
      <c r="C827" s="21" t="inlineStr">
        <is>
          <t>R$</t>
        </is>
      </c>
      <c r="D827" s="22" t="inlineStr">
        <is>
          <t>calculado</t>
        </is>
      </c>
    </row>
    <row r="828">
      <c r="A828" s="19" t="inlineStr">
        <is>
          <t>Alocação 10 — área (privativa+aberta) × unidades</t>
        </is>
      </c>
      <c r="B828" s="26">
        <f>IF($B$336="",0,(($B$59=$B$336)*(N($B$61)+N($B$62))+($B$68=$B$336)*(N($B$70)+N($B$71))+($B$77=$B$336)*(N($B$79)+N($B$80))+($B$86=$B$336)*(N($B$88)+N($B$89))+($B$95=$B$336)*(N($B$97)+N($B$98))+($B$104=$B$336)*(N($B$106)+N($B$107))+($B$113=$B$336)*(N($B$115)+N($B$116))+($B$122=$B$336)*(N($B$124)+N($B$125))+($B$131=$B$336)*(N($B$133)+N($B$134))+($B$140=$B$336)*(N($B$142)+N($B$143)))*N($B$337))</f>
        <v/>
      </c>
      <c r="C828" s="21" t="inlineStr">
        <is>
          <t>m²</t>
        </is>
      </c>
      <c r="D828" s="22" t="inlineStr">
        <is>
          <t>calculado</t>
        </is>
      </c>
    </row>
    <row r="829">
      <c r="A829" s="19" t="inlineStr">
        <is>
          <t>Alocação 10 — VGV de tabela</t>
        </is>
      </c>
      <c r="B829" s="25">
        <f>$B$828*N($B$338)</f>
        <v/>
      </c>
      <c r="C829" s="21" t="inlineStr">
        <is>
          <t>R$</t>
        </is>
      </c>
      <c r="D829" s="22" t="inlineStr">
        <is>
          <t>calculado</t>
        </is>
      </c>
    </row>
    <row r="830">
      <c r="A830" s="19" t="inlineStr">
        <is>
          <t>Área privativa total alocada (base de R$/m² priv.)</t>
        </is>
      </c>
      <c r="B830" s="26">
        <f>$B$810+$B$812+$B$814+$B$816+$B$818+$B$820+$B$822+$B$824+$B$826+$B$828</f>
        <v/>
      </c>
      <c r="C830" s="21" t="inlineStr">
        <is>
          <t>m²</t>
        </is>
      </c>
      <c r="D830" s="22" t="inlineStr">
        <is>
          <t>calculado</t>
        </is>
      </c>
    </row>
    <row r="831">
      <c r="A831" s="19" t="inlineStr">
        <is>
          <t>Unidades alocadas</t>
        </is>
      </c>
      <c r="B831" s="20">
        <f>N($B$292)+N($B$297)+N($B$302)+N($B$307)+N($B$312)+N($B$317)+N($B$322)+N($B$327)+N($B$332)+N($B$337)</f>
        <v/>
      </c>
      <c r="C831" s="21" t="inlineStr">
        <is>
          <t>unidades</t>
        </is>
      </c>
      <c r="D831" s="22" t="inlineStr">
        <is>
          <t>calculado</t>
        </is>
      </c>
    </row>
    <row r="832">
      <c r="A832" s="19" t="inlineStr">
        <is>
          <t>VGV de tabela (Σ alocações)</t>
        </is>
      </c>
      <c r="B832" s="25">
        <f>$B$811+$B$813+$B$815+$B$817+$B$819+$B$821+$B$823+$B$825+$B$827+$B$829</f>
        <v/>
      </c>
      <c r="C832" s="21" t="inlineStr">
        <is>
          <t>R$</t>
        </is>
      </c>
      <c r="D832" s="22" t="inlineStr">
        <is>
          <t>calculado</t>
        </is>
      </c>
    </row>
    <row r="833">
      <c r="A833" s="19" t="inlineStr">
        <is>
          <t>Preço médio de tabela</t>
        </is>
      </c>
      <c r="B833" s="25">
        <f>IF($B$830&gt;0,$B$832/$B$830,"")</f>
        <v/>
      </c>
      <c r="C833" s="21" t="inlineStr">
        <is>
          <t>R$/m² priv.</t>
        </is>
      </c>
      <c r="D833" s="22" t="inlineStr">
        <is>
          <t>calculado</t>
        </is>
      </c>
    </row>
    <row r="834">
      <c r="A834" s="19" t="inlineStr">
        <is>
          <t>Tipologia 1 — unidades alocadas</t>
        </is>
      </c>
      <c r="B834" s="20">
        <f>($B$291=$B$59)*N($B$292)+($B$296=$B$59)*N($B$297)+($B$301=$B$59)*N($B$302)+($B$306=$B$59)*N($B$307)+($B$311=$B$59)*N($B$312)+($B$316=$B$59)*N($B$317)+($B$321=$B$59)*N($B$322)+($B$326=$B$59)*N($B$327)+($B$331=$B$59)*N($B$332)+($B$336=$B$59)*N($B$337)</f>
        <v/>
      </c>
      <c r="C834" s="21" t="inlineStr">
        <is>
          <t>unidades</t>
        </is>
      </c>
      <c r="D834" s="22" t="inlineStr">
        <is>
          <t>calculado</t>
        </is>
      </c>
    </row>
    <row r="835">
      <c r="A835" s="19" t="inlineStr">
        <is>
          <t>Tipologia 1 — alocado × catálogo</t>
        </is>
      </c>
      <c r="B835" s="24">
        <f>IF($B$59="","",IF($B$834&gt;N($B$65),"⚠ alocado &gt; catálogo",IF($B$834&lt;N($B$65),"há unidades sem alocar","OK")))</f>
        <v/>
      </c>
      <c r="C835" s="21" t="inlineStr">
        <is>
          <t>alerta</t>
        </is>
      </c>
      <c r="D835" s="22" t="inlineStr">
        <is>
          <t>calculado</t>
        </is>
      </c>
    </row>
    <row r="836">
      <c r="A836" s="19" t="inlineStr">
        <is>
          <t>Tipologia 2 — unidades alocadas</t>
        </is>
      </c>
      <c r="B836" s="20">
        <f>($B$291=$B$68)*N($B$292)+($B$296=$B$68)*N($B$297)+($B$301=$B$68)*N($B$302)+($B$306=$B$68)*N($B$307)+($B$311=$B$68)*N($B$312)+($B$316=$B$68)*N($B$317)+($B$321=$B$68)*N($B$322)+($B$326=$B$68)*N($B$327)+($B$331=$B$68)*N($B$332)+($B$336=$B$68)*N($B$337)</f>
        <v/>
      </c>
      <c r="C836" s="21" t="inlineStr">
        <is>
          <t>unidades</t>
        </is>
      </c>
      <c r="D836" s="22" t="inlineStr">
        <is>
          <t>calculado</t>
        </is>
      </c>
    </row>
    <row r="837">
      <c r="A837" s="19" t="inlineStr">
        <is>
          <t>Tipologia 2 — alocado × catálogo</t>
        </is>
      </c>
      <c r="B837" s="24">
        <f>IF($B$68="","",IF($B$836&gt;N($B$74),"⚠ alocado &gt; catálogo",IF($B$836&lt;N($B$74),"há unidades sem alocar","OK")))</f>
        <v/>
      </c>
      <c r="C837" s="21" t="inlineStr">
        <is>
          <t>alerta</t>
        </is>
      </c>
      <c r="D837" s="22" t="inlineStr">
        <is>
          <t>calculado</t>
        </is>
      </c>
    </row>
    <row r="838">
      <c r="A838" s="19" t="inlineStr">
        <is>
          <t>Tipologia 3 — unidades alocadas</t>
        </is>
      </c>
      <c r="B838" s="20">
        <f>($B$291=$B$77)*N($B$292)+($B$296=$B$77)*N($B$297)+($B$301=$B$77)*N($B$302)+($B$306=$B$77)*N($B$307)+($B$311=$B$77)*N($B$312)+($B$316=$B$77)*N($B$317)+($B$321=$B$77)*N($B$322)+($B$326=$B$77)*N($B$327)+($B$331=$B$77)*N($B$332)+($B$336=$B$77)*N($B$337)</f>
        <v/>
      </c>
      <c r="C838" s="21" t="inlineStr">
        <is>
          <t>unidades</t>
        </is>
      </c>
      <c r="D838" s="22" t="inlineStr">
        <is>
          <t>calculado</t>
        </is>
      </c>
    </row>
    <row r="839">
      <c r="A839" s="19" t="inlineStr">
        <is>
          <t>Tipologia 3 — alocado × catálogo</t>
        </is>
      </c>
      <c r="B839" s="24">
        <f>IF($B$77="","",IF($B$838&gt;N($B$83),"⚠ alocado &gt; catálogo",IF($B$838&lt;N($B$83),"há unidades sem alocar","OK")))</f>
        <v/>
      </c>
      <c r="C839" s="21" t="inlineStr">
        <is>
          <t>alerta</t>
        </is>
      </c>
      <c r="D839" s="22" t="inlineStr">
        <is>
          <t>calculado</t>
        </is>
      </c>
    </row>
    <row r="840">
      <c r="A840" s="19" t="inlineStr">
        <is>
          <t>Tipologia 4 — unidades alocadas</t>
        </is>
      </c>
      <c r="B840" s="20">
        <f>($B$291=$B$86)*N($B$292)+($B$296=$B$86)*N($B$297)+($B$301=$B$86)*N($B$302)+($B$306=$B$86)*N($B$307)+($B$311=$B$86)*N($B$312)+($B$316=$B$86)*N($B$317)+($B$321=$B$86)*N($B$322)+($B$326=$B$86)*N($B$327)+($B$331=$B$86)*N($B$332)+($B$336=$B$86)*N($B$337)</f>
        <v/>
      </c>
      <c r="C840" s="21" t="inlineStr">
        <is>
          <t>unidades</t>
        </is>
      </c>
      <c r="D840" s="22" t="inlineStr">
        <is>
          <t>calculado</t>
        </is>
      </c>
    </row>
    <row r="841">
      <c r="A841" s="19" t="inlineStr">
        <is>
          <t>Tipologia 4 — alocado × catálogo</t>
        </is>
      </c>
      <c r="B841" s="24">
        <f>IF($B$86="","",IF($B$840&gt;N($B$92),"⚠ alocado &gt; catálogo",IF($B$840&lt;N($B$92),"há unidades sem alocar","OK")))</f>
        <v/>
      </c>
      <c r="C841" s="21" t="inlineStr">
        <is>
          <t>alerta</t>
        </is>
      </c>
      <c r="D841" s="22" t="inlineStr">
        <is>
          <t>calculado</t>
        </is>
      </c>
    </row>
    <row r="842">
      <c r="A842" s="19" t="inlineStr">
        <is>
          <t>Tipologia 5 — unidades alocadas</t>
        </is>
      </c>
      <c r="B842" s="20">
        <f>($B$291=$B$95)*N($B$292)+($B$296=$B$95)*N($B$297)+($B$301=$B$95)*N($B$302)+($B$306=$B$95)*N($B$307)+($B$311=$B$95)*N($B$312)+($B$316=$B$95)*N($B$317)+($B$321=$B$95)*N($B$322)+($B$326=$B$95)*N($B$327)+($B$331=$B$95)*N($B$332)+($B$336=$B$95)*N($B$337)</f>
        <v/>
      </c>
      <c r="C842" s="21" t="inlineStr">
        <is>
          <t>unidades</t>
        </is>
      </c>
      <c r="D842" s="22" t="inlineStr">
        <is>
          <t>calculado</t>
        </is>
      </c>
    </row>
    <row r="843">
      <c r="A843" s="19" t="inlineStr">
        <is>
          <t>Tipologia 5 — alocado × catálogo</t>
        </is>
      </c>
      <c r="B843" s="24">
        <f>IF($B$95="","",IF($B$842&gt;N($B$101),"⚠ alocado &gt; catálogo",IF($B$842&lt;N($B$101),"há unidades sem alocar","OK")))</f>
        <v/>
      </c>
      <c r="C843" s="21" t="inlineStr">
        <is>
          <t>alerta</t>
        </is>
      </c>
      <c r="D843" s="22" t="inlineStr">
        <is>
          <t>calculado</t>
        </is>
      </c>
    </row>
    <row r="844">
      <c r="A844" s="19" t="inlineStr">
        <is>
          <t>Tipologia 6 — unidades alocadas</t>
        </is>
      </c>
      <c r="B844" s="20">
        <f>($B$291=$B$104)*N($B$292)+($B$296=$B$104)*N($B$297)+($B$301=$B$104)*N($B$302)+($B$306=$B$104)*N($B$307)+($B$311=$B$104)*N($B$312)+($B$316=$B$104)*N($B$317)+($B$321=$B$104)*N($B$322)+($B$326=$B$104)*N($B$327)+($B$331=$B$104)*N($B$332)+($B$336=$B$104)*N($B$337)</f>
        <v/>
      </c>
      <c r="C844" s="21" t="inlineStr">
        <is>
          <t>unidades</t>
        </is>
      </c>
      <c r="D844" s="22" t="inlineStr">
        <is>
          <t>calculado</t>
        </is>
      </c>
    </row>
    <row r="845">
      <c r="A845" s="19" t="inlineStr">
        <is>
          <t>Tipologia 6 — alocado × catálogo</t>
        </is>
      </c>
      <c r="B845" s="24">
        <f>IF($B$104="","",IF($B$844&gt;N($B$110),"⚠ alocado &gt; catálogo",IF($B$844&lt;N($B$110),"há unidades sem alocar","OK")))</f>
        <v/>
      </c>
      <c r="C845" s="21" t="inlineStr">
        <is>
          <t>alerta</t>
        </is>
      </c>
      <c r="D845" s="22" t="inlineStr">
        <is>
          <t>calculado</t>
        </is>
      </c>
    </row>
    <row r="846">
      <c r="A846" s="19" t="inlineStr">
        <is>
          <t>Tipologia 7 — unidades alocadas</t>
        </is>
      </c>
      <c r="B846" s="20">
        <f>($B$291=$B$113)*N($B$292)+($B$296=$B$113)*N($B$297)+($B$301=$B$113)*N($B$302)+($B$306=$B$113)*N($B$307)+($B$311=$B$113)*N($B$312)+($B$316=$B$113)*N($B$317)+($B$321=$B$113)*N($B$322)+($B$326=$B$113)*N($B$327)+($B$331=$B$113)*N($B$332)+($B$336=$B$113)*N($B$337)</f>
        <v/>
      </c>
      <c r="C846" s="21" t="inlineStr">
        <is>
          <t>unidades</t>
        </is>
      </c>
      <c r="D846" s="22" t="inlineStr">
        <is>
          <t>calculado</t>
        </is>
      </c>
    </row>
    <row r="847">
      <c r="A847" s="19" t="inlineStr">
        <is>
          <t>Tipologia 7 — alocado × catálogo</t>
        </is>
      </c>
      <c r="B847" s="24">
        <f>IF($B$113="","",IF($B$846&gt;N($B$119),"⚠ alocado &gt; catálogo",IF($B$846&lt;N($B$119),"há unidades sem alocar","OK")))</f>
        <v/>
      </c>
      <c r="C847" s="21" t="inlineStr">
        <is>
          <t>alerta</t>
        </is>
      </c>
      <c r="D847" s="22" t="inlineStr">
        <is>
          <t>calculado</t>
        </is>
      </c>
    </row>
    <row r="848">
      <c r="A848" s="19" t="inlineStr">
        <is>
          <t>Tipologia 8 — unidades alocadas</t>
        </is>
      </c>
      <c r="B848" s="20">
        <f>($B$291=$B$122)*N($B$292)+($B$296=$B$122)*N($B$297)+($B$301=$B$122)*N($B$302)+($B$306=$B$122)*N($B$307)+($B$311=$B$122)*N($B$312)+($B$316=$B$122)*N($B$317)+($B$321=$B$122)*N($B$322)+($B$326=$B$122)*N($B$327)+($B$331=$B$122)*N($B$332)+($B$336=$B$122)*N($B$337)</f>
        <v/>
      </c>
      <c r="C848" s="21" t="inlineStr">
        <is>
          <t>unidades</t>
        </is>
      </c>
      <c r="D848" s="22" t="inlineStr">
        <is>
          <t>calculado</t>
        </is>
      </c>
    </row>
    <row r="849">
      <c r="A849" s="19" t="inlineStr">
        <is>
          <t>Tipologia 8 — alocado × catálogo</t>
        </is>
      </c>
      <c r="B849" s="24">
        <f>IF($B$122="","",IF($B$848&gt;N($B$128),"⚠ alocado &gt; catálogo",IF($B$848&lt;N($B$128),"há unidades sem alocar","OK")))</f>
        <v/>
      </c>
      <c r="C849" s="21" t="inlineStr">
        <is>
          <t>alerta</t>
        </is>
      </c>
      <c r="D849" s="22" t="inlineStr">
        <is>
          <t>calculado</t>
        </is>
      </c>
    </row>
    <row r="850">
      <c r="A850" s="19" t="inlineStr">
        <is>
          <t>Tipologia 9 — unidades alocadas</t>
        </is>
      </c>
      <c r="B850" s="20">
        <f>($B$291=$B$131)*N($B$292)+($B$296=$B$131)*N($B$297)+($B$301=$B$131)*N($B$302)+($B$306=$B$131)*N($B$307)+($B$311=$B$131)*N($B$312)+($B$316=$B$131)*N($B$317)+($B$321=$B$131)*N($B$322)+($B$326=$B$131)*N($B$327)+($B$331=$B$131)*N($B$332)+($B$336=$B$131)*N($B$337)</f>
        <v/>
      </c>
      <c r="C850" s="21" t="inlineStr">
        <is>
          <t>unidades</t>
        </is>
      </c>
      <c r="D850" s="22" t="inlineStr">
        <is>
          <t>calculado</t>
        </is>
      </c>
    </row>
    <row r="851">
      <c r="A851" s="19" t="inlineStr">
        <is>
          <t>Tipologia 9 — alocado × catálogo</t>
        </is>
      </c>
      <c r="B851" s="24">
        <f>IF($B$131="","",IF($B$850&gt;N($B$137),"⚠ alocado &gt; catálogo",IF($B$850&lt;N($B$137),"há unidades sem alocar","OK")))</f>
        <v/>
      </c>
      <c r="C851" s="21" t="inlineStr">
        <is>
          <t>alerta</t>
        </is>
      </c>
      <c r="D851" s="22" t="inlineStr">
        <is>
          <t>calculado</t>
        </is>
      </c>
    </row>
    <row r="852">
      <c r="A852" s="19" t="inlineStr">
        <is>
          <t>Tipologia 10 — unidades alocadas</t>
        </is>
      </c>
      <c r="B852" s="20">
        <f>($B$291=$B$140)*N($B$292)+($B$296=$B$140)*N($B$297)+($B$301=$B$140)*N($B$302)+($B$306=$B$140)*N($B$307)+($B$311=$B$140)*N($B$312)+($B$316=$B$140)*N($B$317)+($B$321=$B$140)*N($B$322)+($B$326=$B$140)*N($B$327)+($B$331=$B$140)*N($B$332)+($B$336=$B$140)*N($B$337)</f>
        <v/>
      </c>
      <c r="C852" s="21" t="inlineStr">
        <is>
          <t>unidades</t>
        </is>
      </c>
      <c r="D852" s="22" t="inlineStr">
        <is>
          <t>calculado</t>
        </is>
      </c>
    </row>
    <row r="853">
      <c r="A853" s="19" t="inlineStr">
        <is>
          <t>Tipologia 10 — alocado × catálogo</t>
        </is>
      </c>
      <c r="B853" s="24">
        <f>IF($B$140="","",IF($B$852&gt;N($B$146),"⚠ alocado &gt; catálogo",IF($B$852&lt;N($B$146),"há unidades sem alocar","OK")))</f>
        <v/>
      </c>
      <c r="C853" s="21" t="inlineStr">
        <is>
          <t>alerta</t>
        </is>
      </c>
      <c r="D853" s="22" t="inlineStr">
        <is>
          <t>calculado</t>
        </is>
      </c>
    </row>
    <row r="854">
      <c r="A854" s="19" t="inlineStr">
        <is>
          <t>Alocação 1 — item encontrado?</t>
        </is>
      </c>
      <c r="B854" s="24">
        <f>IF($B$291="","",IF((($B$59=$B$291)*1+($B$68=$B$291)*1+($B$77=$B$291)*1+($B$86=$B$291)*1+($B$95=$B$291)*1+($B$104=$B$291)*1+($B$113=$B$291)*1+($B$122=$B$291)*1+($B$131=$B$291)*1+($B$140=$B$291)*1)&gt;0,"OK","⚠ nome não bate com a seção 5"))</f>
        <v/>
      </c>
      <c r="C854" s="21" t="inlineStr">
        <is>
          <t>alerta</t>
        </is>
      </c>
      <c r="D854" s="22" t="inlineStr">
        <is>
          <t>calculado</t>
        </is>
      </c>
    </row>
    <row r="855">
      <c r="A855" s="19" t="inlineStr">
        <is>
          <t>Alocação 2 — item encontrado?</t>
        </is>
      </c>
      <c r="B855" s="24">
        <f>IF($B$296="","",IF((($B$59=$B$296)*1+($B$68=$B$296)*1+($B$77=$B$296)*1+($B$86=$B$296)*1+($B$95=$B$296)*1+($B$104=$B$296)*1+($B$113=$B$296)*1+($B$122=$B$296)*1+($B$131=$B$296)*1+($B$140=$B$296)*1)&gt;0,"OK","⚠ nome não bate com a seção 5"))</f>
        <v/>
      </c>
      <c r="C855" s="21" t="inlineStr">
        <is>
          <t>alerta</t>
        </is>
      </c>
      <c r="D855" s="22" t="inlineStr">
        <is>
          <t>calculado</t>
        </is>
      </c>
    </row>
    <row r="856">
      <c r="A856" s="19" t="inlineStr">
        <is>
          <t>Alocação 3 — item encontrado?</t>
        </is>
      </c>
      <c r="B856" s="24">
        <f>IF($B$301="","",IF((($B$59=$B$301)*1+($B$68=$B$301)*1+($B$77=$B$301)*1+($B$86=$B$301)*1+($B$95=$B$301)*1+($B$104=$B$301)*1+($B$113=$B$301)*1+($B$122=$B$301)*1+($B$131=$B$301)*1+($B$140=$B$301)*1)&gt;0,"OK","⚠ nome não bate com a seção 5"))</f>
        <v/>
      </c>
      <c r="C856" s="21" t="inlineStr">
        <is>
          <t>alerta</t>
        </is>
      </c>
      <c r="D856" s="22" t="inlineStr">
        <is>
          <t>calculado</t>
        </is>
      </c>
    </row>
    <row r="857">
      <c r="A857" s="19" t="inlineStr">
        <is>
          <t>Alocação 4 — item encontrado?</t>
        </is>
      </c>
      <c r="B857" s="24">
        <f>IF($B$306="","",IF((($B$59=$B$306)*1+($B$68=$B$306)*1+($B$77=$B$306)*1+($B$86=$B$306)*1+($B$95=$B$306)*1+($B$104=$B$306)*1+($B$113=$B$306)*1+($B$122=$B$306)*1+($B$131=$B$306)*1+($B$140=$B$306)*1)&gt;0,"OK","⚠ nome não bate com a seção 5"))</f>
        <v/>
      </c>
      <c r="C857" s="21" t="inlineStr">
        <is>
          <t>alerta</t>
        </is>
      </c>
      <c r="D857" s="22" t="inlineStr">
        <is>
          <t>calculado</t>
        </is>
      </c>
    </row>
    <row r="858">
      <c r="A858" s="19" t="inlineStr">
        <is>
          <t>Alocação 5 — item encontrado?</t>
        </is>
      </c>
      <c r="B858" s="24">
        <f>IF($B$311="","",IF((($B$59=$B$311)*1+($B$68=$B$311)*1+($B$77=$B$311)*1+($B$86=$B$311)*1+($B$95=$B$311)*1+($B$104=$B$311)*1+($B$113=$B$311)*1+($B$122=$B$311)*1+($B$131=$B$311)*1+($B$140=$B$311)*1)&gt;0,"OK","⚠ nome não bate com a seção 5"))</f>
        <v/>
      </c>
      <c r="C858" s="21" t="inlineStr">
        <is>
          <t>alerta</t>
        </is>
      </c>
      <c r="D858" s="22" t="inlineStr">
        <is>
          <t>calculado</t>
        </is>
      </c>
    </row>
    <row r="859">
      <c r="A859" s="19" t="inlineStr">
        <is>
          <t>Alocação 6 — item encontrado?</t>
        </is>
      </c>
      <c r="B859" s="24">
        <f>IF($B$316="","",IF((($B$59=$B$316)*1+($B$68=$B$316)*1+($B$77=$B$316)*1+($B$86=$B$316)*1+($B$95=$B$316)*1+($B$104=$B$316)*1+($B$113=$B$316)*1+($B$122=$B$316)*1+($B$131=$B$316)*1+($B$140=$B$316)*1)&gt;0,"OK","⚠ nome não bate com a seção 5"))</f>
        <v/>
      </c>
      <c r="C859" s="21" t="inlineStr">
        <is>
          <t>alerta</t>
        </is>
      </c>
      <c r="D859" s="22" t="inlineStr">
        <is>
          <t>calculado</t>
        </is>
      </c>
    </row>
    <row r="860">
      <c r="A860" s="19" t="inlineStr">
        <is>
          <t>Alocação 7 — item encontrado?</t>
        </is>
      </c>
      <c r="B860" s="24">
        <f>IF($B$321="","",IF((($B$59=$B$321)*1+($B$68=$B$321)*1+($B$77=$B$321)*1+($B$86=$B$321)*1+($B$95=$B$321)*1+($B$104=$B$321)*1+($B$113=$B$321)*1+($B$122=$B$321)*1+($B$131=$B$321)*1+($B$140=$B$321)*1)&gt;0,"OK","⚠ nome não bate com a seção 5"))</f>
        <v/>
      </c>
      <c r="C860" s="21" t="inlineStr">
        <is>
          <t>alerta</t>
        </is>
      </c>
      <c r="D860" s="22" t="inlineStr">
        <is>
          <t>calculado</t>
        </is>
      </c>
    </row>
    <row r="861">
      <c r="A861" s="19" t="inlineStr">
        <is>
          <t>Alocação 8 — item encontrado?</t>
        </is>
      </c>
      <c r="B861" s="24">
        <f>IF($B$326="","",IF((($B$59=$B$326)*1+($B$68=$B$326)*1+($B$77=$B$326)*1+($B$86=$B$326)*1+($B$95=$B$326)*1+($B$104=$B$326)*1+($B$113=$B$326)*1+($B$122=$B$326)*1+($B$131=$B$326)*1+($B$140=$B$326)*1)&gt;0,"OK","⚠ nome não bate com a seção 5"))</f>
        <v/>
      </c>
      <c r="C861" s="21" t="inlineStr">
        <is>
          <t>alerta</t>
        </is>
      </c>
      <c r="D861" s="22" t="inlineStr">
        <is>
          <t>calculado</t>
        </is>
      </c>
    </row>
    <row r="862">
      <c r="A862" s="19" t="inlineStr">
        <is>
          <t>Alocação 9 — item encontrado?</t>
        </is>
      </c>
      <c r="B862" s="24">
        <f>IF($B$331="","",IF((($B$59=$B$331)*1+($B$68=$B$331)*1+($B$77=$B$331)*1+($B$86=$B$331)*1+($B$95=$B$331)*1+($B$104=$B$331)*1+($B$113=$B$331)*1+($B$122=$B$331)*1+($B$131=$B$331)*1+($B$140=$B$331)*1)&gt;0,"OK","⚠ nome não bate com a seção 5"))</f>
        <v/>
      </c>
      <c r="C862" s="21" t="inlineStr">
        <is>
          <t>alerta</t>
        </is>
      </c>
      <c r="D862" s="22" t="inlineStr">
        <is>
          <t>calculado</t>
        </is>
      </c>
    </row>
    <row r="863">
      <c r="A863" s="19" t="inlineStr">
        <is>
          <t>Alocação 10 — item encontrado?</t>
        </is>
      </c>
      <c r="B863" s="24">
        <f>IF($B$336="","",IF((($B$59=$B$336)*1+($B$68=$B$336)*1+($B$77=$B$336)*1+($B$86=$B$336)*1+($B$95=$B$336)*1+($B$104=$B$336)*1+($B$113=$B$336)*1+($B$122=$B$336)*1+($B$131=$B$336)*1+($B$140=$B$336)*1)&gt;0,"OK","⚠ nome não bate com a seção 5"))</f>
        <v/>
      </c>
      <c r="C863" s="21" t="inlineStr">
        <is>
          <t>alerta</t>
        </is>
      </c>
      <c r="D863" s="22" t="inlineStr">
        <is>
          <t>calculado</t>
        </is>
      </c>
    </row>
    <row r="864">
      <c r="A864" s="16" t="inlineStr">
        <is>
          <t>Grupos de venda — absorção, repasse e VGV</t>
        </is>
      </c>
    </row>
    <row r="865">
      <c r="A865" s="19" t="inlineStr">
        <is>
          <t>Grupo 1 — Absorção Pós-chaves</t>
        </is>
      </c>
      <c r="B865" s="27">
        <f>IF($B$152="","",1-N($B$153)-N($B$154)-N($B$155))</f>
        <v/>
      </c>
      <c r="C865" s="21" t="inlineStr">
        <is>
          <t>% (= 100% − pré − lançamento − obra)</t>
        </is>
      </c>
      <c r="D865" s="22" t="inlineStr">
        <is>
          <t>calculado (absorcao pós-chaves)</t>
        </is>
      </c>
    </row>
    <row r="866">
      <c r="A866" s="19" t="inlineStr">
        <is>
          <t>Grupo 1 — Σ % do pagamento</t>
        </is>
      </c>
      <c r="B866" s="27">
        <f>IF($B$152="","",IF($B$209=$B$152,N($B$211),0)+IF($B$217=$B$152,N($B$219),0)+IF($B$225=$B$152,N($B$227),0)+IF($B$233=$B$152,N($B$235),0)+IF($B$241=$B$152,N($B$243),0)+IF($B$249=$B$152,N($B$251),0)+IF($B$257=$B$152,N($B$259),0)+IF($B$265=$B$152,N($B$267),0)+IF($B$273=$B$152,N($B$275),0)+IF($B$281=$B$152,N($B$283),0))</f>
        <v/>
      </c>
      <c r="C866" s="21" t="inlineStr">
        <is>
          <t>% do preço</t>
        </is>
      </c>
      <c r="D866" s="22" t="inlineStr">
        <is>
          <t>calculado</t>
        </is>
      </c>
    </row>
    <row r="867">
      <c r="A867" s="19" t="inlineStr">
        <is>
          <t>Grupo 1 — Repasse</t>
        </is>
      </c>
      <c r="B867" s="27">
        <f>IF($B$152="","",1-$B$866)</f>
        <v/>
      </c>
      <c r="C867" s="21" t="inlineStr">
        <is>
          <t>% (= 100% − Σ pagamento)</t>
        </is>
      </c>
      <c r="D867" s="22" t="inlineStr">
        <is>
          <t>calculado (repasse)</t>
        </is>
      </c>
    </row>
    <row r="868">
      <c r="A868" s="19" t="inlineStr">
        <is>
          <t>Grupo 1 — Carteira própria</t>
        </is>
      </c>
      <c r="B868" s="27">
        <f>IF($B$152="","",$B$867*(1-IF($B$159="",1,N($B$159))))</f>
        <v/>
      </c>
      <c r="C868" s="21" t="inlineStr">
        <is>
          <t>% do preço (= Repasse × (100% − Repasse bancário))</t>
        </is>
      </c>
      <c r="D868" s="22" t="inlineStr">
        <is>
          <t>calculado (carteira própria)</t>
        </is>
      </c>
    </row>
    <row r="869">
      <c r="A869" s="19" t="inlineStr">
        <is>
          <t>Grupo 1 — VGV de tabela</t>
        </is>
      </c>
      <c r="B869" s="25">
        <f>IF($B$152="","",IF($B$290=$B$152,$B$811,0)+IF($B$295=$B$152,$B$813,0)+IF($B$300=$B$152,$B$815,0)+IF($B$305=$B$152,$B$817,0)+IF($B$310=$B$152,$B$819,0)+IF($B$315=$B$152,$B$821,0)+IF($B$320=$B$152,$B$823,0)+IF($B$325=$B$152,$B$825,0)+IF($B$330=$B$152,$B$827,0)+IF($B$335=$B$152,$B$829,0))</f>
        <v/>
      </c>
      <c r="C869" s="21" t="inlineStr">
        <is>
          <t>R$</t>
        </is>
      </c>
      <c r="D869" s="22" t="inlineStr">
        <is>
          <t>calculado</t>
        </is>
      </c>
    </row>
    <row r="870">
      <c r="A870" s="19" t="inlineStr">
        <is>
          <t>Grupo 1 — conferência</t>
        </is>
      </c>
      <c r="B870" s="24">
        <f>IF($B$152="","",IF(N($B$153)+N($B$154)+N($B$155)&gt;1.00001,"⚠ absorção &gt; 100%",IF($B$866&gt;1.00001,"⚠ Σ pagamento &gt; 100%",IF(AND($B$29="Não",N($B$153)&gt;0),"⚠ absorção de pré sem pré-lançamento",IF(IF(AND($B$209=$B$152,$B$210="Parcelamento"),1,0)+IF(AND($B$217=$B$152,$B$218="Parcelamento"),1,0)+IF(AND($B$225=$B$152,$B$226="Parcelamento"),1,0)+IF(AND($B$233=$B$152,$B$234="Parcelamento"),1,0)+IF(AND($B$241=$B$152,$B$242="Parcelamento"),1,0)+IF(AND($B$249=$B$152,$B$250="Parcelamento"),1,0)+IF(AND($B$257=$B$152,$B$258="Parcelamento"),1,0)+IF(AND($B$265=$B$152,$B$266="Parcelamento"),1,0)+IF(AND($B$273=$B$152,$B$274="Parcelamento"),1,0)+IF(AND($B$281=$B$152,$B$282="Parcelamento"),1,0)&gt;4,"⚠ mais de 4 parcelamentos",IF(AND($B$159&lt;&gt;"",N($B$159)&lt;0.99999,$B$160=""),"⚠ repasse &lt; 100% sem nº de parcelas da carteira","OK")))))) </f>
        <v/>
      </c>
      <c r="C870" s="21" t="inlineStr">
        <is>
          <t>alerta</t>
        </is>
      </c>
      <c r="D870" s="22" t="inlineStr">
        <is>
          <t>calculado</t>
        </is>
      </c>
    </row>
    <row r="871">
      <c r="A871" s="19" t="inlineStr">
        <is>
          <t>Grupo 2 — Absorção Pós-chaves</t>
        </is>
      </c>
      <c r="B871" s="27">
        <f>IF($B$163="","",1-N($B$164)-N($B$165)-N($B$166))</f>
        <v/>
      </c>
      <c r="C871" s="21" t="inlineStr">
        <is>
          <t>% (= 100% − pré − lançamento − obra)</t>
        </is>
      </c>
      <c r="D871" s="22" t="inlineStr">
        <is>
          <t>calculado (absorcao pós-chaves)</t>
        </is>
      </c>
    </row>
    <row r="872">
      <c r="A872" s="19" t="inlineStr">
        <is>
          <t>Grupo 2 — Σ % do pagamento</t>
        </is>
      </c>
      <c r="B872" s="27">
        <f>IF($B$163="","",IF($B$209=$B$163,N($B$211),0)+IF($B$217=$B$163,N($B$219),0)+IF($B$225=$B$163,N($B$227),0)+IF($B$233=$B$163,N($B$235),0)+IF($B$241=$B$163,N($B$243),0)+IF($B$249=$B$163,N($B$251),0)+IF($B$257=$B$163,N($B$259),0)+IF($B$265=$B$163,N($B$267),0)+IF($B$273=$B$163,N($B$275),0)+IF($B$281=$B$163,N($B$283),0))</f>
        <v/>
      </c>
      <c r="C872" s="21" t="inlineStr">
        <is>
          <t>% do preço</t>
        </is>
      </c>
      <c r="D872" s="22" t="inlineStr">
        <is>
          <t>calculado</t>
        </is>
      </c>
    </row>
    <row r="873">
      <c r="A873" s="19" t="inlineStr">
        <is>
          <t>Grupo 2 — Repasse</t>
        </is>
      </c>
      <c r="B873" s="27">
        <f>IF($B$163="","",1-$B$872)</f>
        <v/>
      </c>
      <c r="C873" s="21" t="inlineStr">
        <is>
          <t>% (= 100% − Σ pagamento)</t>
        </is>
      </c>
      <c r="D873" s="22" t="inlineStr">
        <is>
          <t>calculado (repasse)</t>
        </is>
      </c>
    </row>
    <row r="874">
      <c r="A874" s="19" t="inlineStr">
        <is>
          <t>Grupo 2 — Carteira própria</t>
        </is>
      </c>
      <c r="B874" s="27">
        <f>IF($B$163="","",$B$873*(1-IF($B$170="",1,N($B$170))))</f>
        <v/>
      </c>
      <c r="C874" s="21" t="inlineStr">
        <is>
          <t>% do preço (= Repasse × (100% − Repasse bancário))</t>
        </is>
      </c>
      <c r="D874" s="22" t="inlineStr">
        <is>
          <t>calculado (carteira própria)</t>
        </is>
      </c>
    </row>
    <row r="875">
      <c r="A875" s="19" t="inlineStr">
        <is>
          <t>Grupo 2 — VGV de tabela</t>
        </is>
      </c>
      <c r="B875" s="25">
        <f>IF($B$163="","",IF($B$290=$B$163,$B$811,0)+IF($B$295=$B$163,$B$813,0)+IF($B$300=$B$163,$B$815,0)+IF($B$305=$B$163,$B$817,0)+IF($B$310=$B$163,$B$819,0)+IF($B$315=$B$163,$B$821,0)+IF($B$320=$B$163,$B$823,0)+IF($B$325=$B$163,$B$825,0)+IF($B$330=$B$163,$B$827,0)+IF($B$335=$B$163,$B$829,0))</f>
        <v/>
      </c>
      <c r="C875" s="21" t="inlineStr">
        <is>
          <t>R$</t>
        </is>
      </c>
      <c r="D875" s="22" t="inlineStr">
        <is>
          <t>calculado</t>
        </is>
      </c>
    </row>
    <row r="876">
      <c r="A876" s="19" t="inlineStr">
        <is>
          <t>Grupo 2 — conferência</t>
        </is>
      </c>
      <c r="B876" s="24">
        <f>IF($B$163="","",IF(N($B$164)+N($B$165)+N($B$166)&gt;1.00001,"⚠ absorção &gt; 100%",IF($B$872&gt;1.00001,"⚠ Σ pagamento &gt; 100%",IF(AND($B$29="Não",N($B$164)&gt;0),"⚠ absorção de pré sem pré-lançamento",IF(IF(AND($B$209=$B$163,$B$210="Parcelamento"),1,0)+IF(AND($B$217=$B$163,$B$218="Parcelamento"),1,0)+IF(AND($B$225=$B$163,$B$226="Parcelamento"),1,0)+IF(AND($B$233=$B$163,$B$234="Parcelamento"),1,0)+IF(AND($B$241=$B$163,$B$242="Parcelamento"),1,0)+IF(AND($B$249=$B$163,$B$250="Parcelamento"),1,0)+IF(AND($B$257=$B$163,$B$258="Parcelamento"),1,0)+IF(AND($B$265=$B$163,$B$266="Parcelamento"),1,0)+IF(AND($B$273=$B$163,$B$274="Parcelamento"),1,0)+IF(AND($B$281=$B$163,$B$282="Parcelamento"),1,0)&gt;4,"⚠ mais de 4 parcelamentos",IF(AND($B$170&lt;&gt;"",N($B$170)&lt;0.99999,$B$171=""),"⚠ repasse &lt; 100% sem nº de parcelas da carteira","OK")))))) </f>
        <v/>
      </c>
      <c r="C876" s="21" t="inlineStr">
        <is>
          <t>alerta</t>
        </is>
      </c>
      <c r="D876" s="22" t="inlineStr">
        <is>
          <t>calculado</t>
        </is>
      </c>
    </row>
    <row r="877">
      <c r="A877" s="19" t="inlineStr">
        <is>
          <t>Grupo 3 — Absorção Pós-chaves</t>
        </is>
      </c>
      <c r="B877" s="27">
        <f>IF($B$174="","",1-N($B$175)-N($B$176)-N($B$177))</f>
        <v/>
      </c>
      <c r="C877" s="21" t="inlineStr">
        <is>
          <t>% (= 100% − pré − lançamento − obra)</t>
        </is>
      </c>
      <c r="D877" s="22" t="inlineStr">
        <is>
          <t>calculado (absorcao pós-chaves)</t>
        </is>
      </c>
    </row>
    <row r="878">
      <c r="A878" s="19" t="inlineStr">
        <is>
          <t>Grupo 3 — Σ % do pagamento</t>
        </is>
      </c>
      <c r="B878" s="27">
        <f>IF($B$174="","",IF($B$209=$B$174,N($B$211),0)+IF($B$217=$B$174,N($B$219),0)+IF($B$225=$B$174,N($B$227),0)+IF($B$233=$B$174,N($B$235),0)+IF($B$241=$B$174,N($B$243),0)+IF($B$249=$B$174,N($B$251),0)+IF($B$257=$B$174,N($B$259),0)+IF($B$265=$B$174,N($B$267),0)+IF($B$273=$B$174,N($B$275),0)+IF($B$281=$B$174,N($B$283),0))</f>
        <v/>
      </c>
      <c r="C878" s="21" t="inlineStr">
        <is>
          <t>% do preço</t>
        </is>
      </c>
      <c r="D878" s="22" t="inlineStr">
        <is>
          <t>calculado</t>
        </is>
      </c>
    </row>
    <row r="879">
      <c r="A879" s="19" t="inlineStr">
        <is>
          <t>Grupo 3 — Repasse</t>
        </is>
      </c>
      <c r="B879" s="27">
        <f>IF($B$174="","",1-$B$878)</f>
        <v/>
      </c>
      <c r="C879" s="21" t="inlineStr">
        <is>
          <t>% (= 100% − Σ pagamento)</t>
        </is>
      </c>
      <c r="D879" s="22" t="inlineStr">
        <is>
          <t>calculado (repasse)</t>
        </is>
      </c>
    </row>
    <row r="880">
      <c r="A880" s="19" t="inlineStr">
        <is>
          <t>Grupo 3 — Carteira própria</t>
        </is>
      </c>
      <c r="B880" s="27">
        <f>IF($B$174="","",$B$879*(1-IF($B$181="",1,N($B$181))))</f>
        <v/>
      </c>
      <c r="C880" s="21" t="inlineStr">
        <is>
          <t>% do preço (= Repasse × (100% − Repasse bancário))</t>
        </is>
      </c>
      <c r="D880" s="22" t="inlineStr">
        <is>
          <t>calculado (carteira própria)</t>
        </is>
      </c>
    </row>
    <row r="881">
      <c r="A881" s="19" t="inlineStr">
        <is>
          <t>Grupo 3 — VGV de tabela</t>
        </is>
      </c>
      <c r="B881" s="25">
        <f>IF($B$174="","",IF($B$290=$B$174,$B$811,0)+IF($B$295=$B$174,$B$813,0)+IF($B$300=$B$174,$B$815,0)+IF($B$305=$B$174,$B$817,0)+IF($B$310=$B$174,$B$819,0)+IF($B$315=$B$174,$B$821,0)+IF($B$320=$B$174,$B$823,0)+IF($B$325=$B$174,$B$825,0)+IF($B$330=$B$174,$B$827,0)+IF($B$335=$B$174,$B$829,0))</f>
        <v/>
      </c>
      <c r="C881" s="21" t="inlineStr">
        <is>
          <t>R$</t>
        </is>
      </c>
      <c r="D881" s="22" t="inlineStr">
        <is>
          <t>calculado</t>
        </is>
      </c>
    </row>
    <row r="882">
      <c r="A882" s="19" t="inlineStr">
        <is>
          <t>Grupo 3 — conferência</t>
        </is>
      </c>
      <c r="B882" s="24">
        <f>IF($B$174="","",IF(N($B$175)+N($B$176)+N($B$177)&gt;1.00001,"⚠ absorção &gt; 100%",IF($B$878&gt;1.00001,"⚠ Σ pagamento &gt; 100%",IF(AND($B$29="Não",N($B$175)&gt;0),"⚠ absorção de pré sem pré-lançamento",IF(IF(AND($B$209=$B$174,$B$210="Parcelamento"),1,0)+IF(AND($B$217=$B$174,$B$218="Parcelamento"),1,0)+IF(AND($B$225=$B$174,$B$226="Parcelamento"),1,0)+IF(AND($B$233=$B$174,$B$234="Parcelamento"),1,0)+IF(AND($B$241=$B$174,$B$242="Parcelamento"),1,0)+IF(AND($B$249=$B$174,$B$250="Parcelamento"),1,0)+IF(AND($B$257=$B$174,$B$258="Parcelamento"),1,0)+IF(AND($B$265=$B$174,$B$266="Parcelamento"),1,0)+IF(AND($B$273=$B$174,$B$274="Parcelamento"),1,0)+IF(AND($B$281=$B$174,$B$282="Parcelamento"),1,0)&gt;4,"⚠ mais de 4 parcelamentos",IF(AND($B$181&lt;&gt;"",N($B$181)&lt;0.99999,$B$182=""),"⚠ repasse &lt; 100% sem nº de parcelas da carteira","OK")))))) </f>
        <v/>
      </c>
      <c r="C882" s="21" t="inlineStr">
        <is>
          <t>alerta</t>
        </is>
      </c>
      <c r="D882" s="22" t="inlineStr">
        <is>
          <t>calculado</t>
        </is>
      </c>
    </row>
    <row r="883">
      <c r="A883" s="19" t="inlineStr">
        <is>
          <t>Grupo 4 — Absorção Pós-chaves</t>
        </is>
      </c>
      <c r="B883" s="27">
        <f>IF($B$185="","",1-N($B$186)-N($B$187)-N($B$188))</f>
        <v/>
      </c>
      <c r="C883" s="21" t="inlineStr">
        <is>
          <t>% (= 100% − pré − lançamento − obra)</t>
        </is>
      </c>
      <c r="D883" s="22" t="inlineStr">
        <is>
          <t>calculado (absorcao pós-chaves)</t>
        </is>
      </c>
    </row>
    <row r="884">
      <c r="A884" s="19" t="inlineStr">
        <is>
          <t>Grupo 4 — Σ % do pagamento</t>
        </is>
      </c>
      <c r="B884" s="27">
        <f>IF($B$185="","",IF($B$209=$B$185,N($B$211),0)+IF($B$217=$B$185,N($B$219),0)+IF($B$225=$B$185,N($B$227),0)+IF($B$233=$B$185,N($B$235),0)+IF($B$241=$B$185,N($B$243),0)+IF($B$249=$B$185,N($B$251),0)+IF($B$257=$B$185,N($B$259),0)+IF($B$265=$B$185,N($B$267),0)+IF($B$273=$B$185,N($B$275),0)+IF($B$281=$B$185,N($B$283),0))</f>
        <v/>
      </c>
      <c r="C884" s="21" t="inlineStr">
        <is>
          <t>% do preço</t>
        </is>
      </c>
      <c r="D884" s="22" t="inlineStr">
        <is>
          <t>calculado</t>
        </is>
      </c>
    </row>
    <row r="885">
      <c r="A885" s="19" t="inlineStr">
        <is>
          <t>Grupo 4 — Repasse</t>
        </is>
      </c>
      <c r="B885" s="27">
        <f>IF($B$185="","",1-$B$884)</f>
        <v/>
      </c>
      <c r="C885" s="21" t="inlineStr">
        <is>
          <t>% (= 100% − Σ pagamento)</t>
        </is>
      </c>
      <c r="D885" s="22" t="inlineStr">
        <is>
          <t>calculado (repasse)</t>
        </is>
      </c>
    </row>
    <row r="886">
      <c r="A886" s="19" t="inlineStr">
        <is>
          <t>Grupo 4 — Carteira própria</t>
        </is>
      </c>
      <c r="B886" s="27">
        <f>IF($B$185="","",$B$885*(1-IF($B$192="",1,N($B$192))))</f>
        <v/>
      </c>
      <c r="C886" s="21" t="inlineStr">
        <is>
          <t>% do preço (= Repasse × (100% − Repasse bancário))</t>
        </is>
      </c>
      <c r="D886" s="22" t="inlineStr">
        <is>
          <t>calculado (carteira própria)</t>
        </is>
      </c>
    </row>
    <row r="887">
      <c r="A887" s="19" t="inlineStr">
        <is>
          <t>Grupo 4 — VGV de tabela</t>
        </is>
      </c>
      <c r="B887" s="25">
        <f>IF($B$185="","",IF($B$290=$B$185,$B$811,0)+IF($B$295=$B$185,$B$813,0)+IF($B$300=$B$185,$B$815,0)+IF($B$305=$B$185,$B$817,0)+IF($B$310=$B$185,$B$819,0)+IF($B$315=$B$185,$B$821,0)+IF($B$320=$B$185,$B$823,0)+IF($B$325=$B$185,$B$825,0)+IF($B$330=$B$185,$B$827,0)+IF($B$335=$B$185,$B$829,0))</f>
        <v/>
      </c>
      <c r="C887" s="21" t="inlineStr">
        <is>
          <t>R$</t>
        </is>
      </c>
      <c r="D887" s="22" t="inlineStr">
        <is>
          <t>calculado</t>
        </is>
      </c>
    </row>
    <row r="888">
      <c r="A888" s="19" t="inlineStr">
        <is>
          <t>Grupo 4 — conferência</t>
        </is>
      </c>
      <c r="B888" s="24">
        <f>IF($B$185="","",IF(N($B$186)+N($B$187)+N($B$188)&gt;1.00001,"⚠ absorção &gt; 100%",IF($B$884&gt;1.00001,"⚠ Σ pagamento &gt; 100%",IF(AND($B$29="Não",N($B$186)&gt;0),"⚠ absorção de pré sem pré-lançamento",IF(IF(AND($B$209=$B$185,$B$210="Parcelamento"),1,0)+IF(AND($B$217=$B$185,$B$218="Parcelamento"),1,0)+IF(AND($B$225=$B$185,$B$226="Parcelamento"),1,0)+IF(AND($B$233=$B$185,$B$234="Parcelamento"),1,0)+IF(AND($B$241=$B$185,$B$242="Parcelamento"),1,0)+IF(AND($B$249=$B$185,$B$250="Parcelamento"),1,0)+IF(AND($B$257=$B$185,$B$258="Parcelamento"),1,0)+IF(AND($B$265=$B$185,$B$266="Parcelamento"),1,0)+IF(AND($B$273=$B$185,$B$274="Parcelamento"),1,0)+IF(AND($B$281=$B$185,$B$282="Parcelamento"),1,0)&gt;4,"⚠ mais de 4 parcelamentos",IF(AND($B$192&lt;&gt;"",N($B$192)&lt;0.99999,$B$193=""),"⚠ repasse &lt; 100% sem nº de parcelas da carteira","OK")))))) </f>
        <v/>
      </c>
      <c r="C888" s="21" t="inlineStr">
        <is>
          <t>alerta</t>
        </is>
      </c>
      <c r="D888" s="22" t="inlineStr">
        <is>
          <t>calculado</t>
        </is>
      </c>
    </row>
    <row r="889">
      <c r="A889" s="19" t="inlineStr">
        <is>
          <t>Grupo 5 — Absorção Pós-chaves</t>
        </is>
      </c>
      <c r="B889" s="27">
        <f>IF($B$196="","",1-N($B$197)-N($B$198)-N($B$199))</f>
        <v/>
      </c>
      <c r="C889" s="21" t="inlineStr">
        <is>
          <t>% (= 100% − pré − lançamento − obra)</t>
        </is>
      </c>
      <c r="D889" s="22" t="inlineStr">
        <is>
          <t>calculado (absorcao pós-chaves)</t>
        </is>
      </c>
    </row>
    <row r="890">
      <c r="A890" s="19" t="inlineStr">
        <is>
          <t>Grupo 5 — Σ % do pagamento</t>
        </is>
      </c>
      <c r="B890" s="27">
        <f>IF($B$196="","",IF($B$209=$B$196,N($B$211),0)+IF($B$217=$B$196,N($B$219),0)+IF($B$225=$B$196,N($B$227),0)+IF($B$233=$B$196,N($B$235),0)+IF($B$241=$B$196,N($B$243),0)+IF($B$249=$B$196,N($B$251),0)+IF($B$257=$B$196,N($B$259),0)+IF($B$265=$B$196,N($B$267),0)+IF($B$273=$B$196,N($B$275),0)+IF($B$281=$B$196,N($B$283),0))</f>
        <v/>
      </c>
      <c r="C890" s="21" t="inlineStr">
        <is>
          <t>% do preço</t>
        </is>
      </c>
      <c r="D890" s="22" t="inlineStr">
        <is>
          <t>calculado</t>
        </is>
      </c>
    </row>
    <row r="891">
      <c r="A891" s="19" t="inlineStr">
        <is>
          <t>Grupo 5 — Repasse</t>
        </is>
      </c>
      <c r="B891" s="27">
        <f>IF($B$196="","",1-$B$890)</f>
        <v/>
      </c>
      <c r="C891" s="21" t="inlineStr">
        <is>
          <t>% (= 100% − Σ pagamento)</t>
        </is>
      </c>
      <c r="D891" s="22" t="inlineStr">
        <is>
          <t>calculado (repasse)</t>
        </is>
      </c>
    </row>
    <row r="892">
      <c r="A892" s="19" t="inlineStr">
        <is>
          <t>Grupo 5 — Carteira própria</t>
        </is>
      </c>
      <c r="B892" s="27">
        <f>IF($B$196="","",$B$891*(1-IF($B$203="",1,N($B$203))))</f>
        <v/>
      </c>
      <c r="C892" s="21" t="inlineStr">
        <is>
          <t>% do preço (= Repasse × (100% − Repasse bancário))</t>
        </is>
      </c>
      <c r="D892" s="22" t="inlineStr">
        <is>
          <t>calculado (carteira própria)</t>
        </is>
      </c>
    </row>
    <row r="893">
      <c r="A893" s="19" t="inlineStr">
        <is>
          <t>Grupo 5 — VGV de tabela</t>
        </is>
      </c>
      <c r="B893" s="25">
        <f>IF($B$196="","",IF($B$290=$B$196,$B$811,0)+IF($B$295=$B$196,$B$813,0)+IF($B$300=$B$196,$B$815,0)+IF($B$305=$B$196,$B$817,0)+IF($B$310=$B$196,$B$819,0)+IF($B$315=$B$196,$B$821,0)+IF($B$320=$B$196,$B$823,0)+IF($B$325=$B$196,$B$825,0)+IF($B$330=$B$196,$B$827,0)+IF($B$335=$B$196,$B$829,0))</f>
        <v/>
      </c>
      <c r="C893" s="21" t="inlineStr">
        <is>
          <t>R$</t>
        </is>
      </c>
      <c r="D893" s="22" t="inlineStr">
        <is>
          <t>calculado</t>
        </is>
      </c>
    </row>
    <row r="894">
      <c r="A894" s="19" t="inlineStr">
        <is>
          <t>Grupo 5 — conferência</t>
        </is>
      </c>
      <c r="B894" s="24">
        <f>IF($B$196="","",IF(N($B$197)+N($B$198)+N($B$199)&gt;1.00001,"⚠ absorção &gt; 100%",IF($B$890&gt;1.00001,"⚠ Σ pagamento &gt; 100%",IF(AND($B$29="Não",N($B$197)&gt;0),"⚠ absorção de pré sem pré-lançamento",IF(IF(AND($B$209=$B$196,$B$210="Parcelamento"),1,0)+IF(AND($B$217=$B$196,$B$218="Parcelamento"),1,0)+IF(AND($B$225=$B$196,$B$226="Parcelamento"),1,0)+IF(AND($B$233=$B$196,$B$234="Parcelamento"),1,0)+IF(AND($B$241=$B$196,$B$242="Parcelamento"),1,0)+IF(AND($B$249=$B$196,$B$250="Parcelamento"),1,0)+IF(AND($B$257=$B$196,$B$258="Parcelamento"),1,0)+IF(AND($B$265=$B$196,$B$266="Parcelamento"),1,0)+IF(AND($B$273=$B$196,$B$274="Parcelamento"),1,0)+IF(AND($B$281=$B$196,$B$282="Parcelamento"),1,0)&gt;4,"⚠ mais de 4 parcelamentos",IF(AND($B$203&lt;&gt;"",N($B$203)&lt;0.99999,$B$204=""),"⚠ repasse &lt; 100% sem nº de parcelas da carteira","OK")))))) </f>
        <v/>
      </c>
      <c r="C894" s="21" t="inlineStr">
        <is>
          <t>alerta</t>
        </is>
      </c>
      <c r="D894" s="22" t="inlineStr">
        <is>
          <t>calculado</t>
        </is>
      </c>
    </row>
    <row r="895">
      <c r="A895" s="16" t="inlineStr">
        <is>
          <t>Custos convertidos em R$ (quando dá para converter sem o fluxo)</t>
        </is>
      </c>
    </row>
    <row r="896">
      <c r="A896" s="19" t="inlineStr">
        <is>
          <t>Custo 1 — equivalente em R$</t>
        </is>
      </c>
      <c r="B896" s="25">
        <f>IF($B$346="","",IF($B$346="rs",N($B$347),IF($B$346="rs_m2_priv",N($B$347)*$B$830,IF($B$346="rs_m2_terreno",N($B$347)*N($B$15),IF($B$346="pct_vgv",N($B$348)*$B$832,"depende do fluxo (app)")))))</f>
        <v/>
      </c>
      <c r="C896" s="21" t="inlineStr">
        <is>
          <t>R$ (ou texto se depender do fluxo)</t>
        </is>
      </c>
      <c r="D896" s="22" t="inlineStr">
        <is>
          <t>calculado</t>
        </is>
      </c>
    </row>
    <row r="897">
      <c r="A897" s="19" t="inlineStr">
        <is>
          <t>Custo 2 — equivalente em R$</t>
        </is>
      </c>
      <c r="B897" s="25">
        <f>IF($B$357="","",IF($B$357="rs",N($B$358),IF($B$357="rs_m2_priv",N($B$358)*$B$830,IF($B$357="rs_m2_terreno",N($B$358)*N($B$15),IF($B$357="pct_vgv",N($B$359)*$B$832,"depende do fluxo (app)")))))</f>
        <v/>
      </c>
      <c r="C897" s="21" t="inlineStr">
        <is>
          <t>R$ (ou texto se depender do fluxo)</t>
        </is>
      </c>
      <c r="D897" s="22" t="inlineStr">
        <is>
          <t>calculado</t>
        </is>
      </c>
    </row>
    <row r="898">
      <c r="A898" s="19" t="inlineStr">
        <is>
          <t>Custo 3 — equivalente em R$</t>
        </is>
      </c>
      <c r="B898" s="25">
        <f>IF($B$368="","",IF($B$368="rs",N($B$369),IF($B$368="rs_m2_priv",N($B$369)*$B$830,IF($B$368="rs_m2_terreno",N($B$369)*N($B$15),IF($B$368="pct_vgv",N($B$370)*$B$832,"depende do fluxo (app)")))))</f>
        <v/>
      </c>
      <c r="C898" s="21" t="inlineStr">
        <is>
          <t>R$ (ou texto se depender do fluxo)</t>
        </is>
      </c>
      <c r="D898" s="22" t="inlineStr">
        <is>
          <t>calculado</t>
        </is>
      </c>
    </row>
    <row r="899">
      <c r="A899" s="19" t="inlineStr">
        <is>
          <t>Custo 4 — equivalente em R$</t>
        </is>
      </c>
      <c r="B899" s="25">
        <f>IF($B$379="","",IF($B$379="rs",N($B$380),IF($B$379="rs_m2_priv",N($B$380)*$B$830,IF($B$379="rs_m2_terreno",N($B$380)*N($B$15),IF($B$379="pct_vgv",N($B$381)*$B$832,"depende do fluxo (app)")))))</f>
        <v/>
      </c>
      <c r="C899" s="21" t="inlineStr">
        <is>
          <t>R$ (ou texto se depender do fluxo)</t>
        </is>
      </c>
      <c r="D899" s="22" t="inlineStr">
        <is>
          <t>calculado</t>
        </is>
      </c>
    </row>
    <row r="900">
      <c r="A900" s="19" t="inlineStr">
        <is>
          <t>Custo 5 — equivalente em R$</t>
        </is>
      </c>
      <c r="B900" s="25">
        <f>IF($B$390="","",IF($B$390="rs",N($B$391),IF($B$390="rs_m2_priv",N($B$391)*$B$830,IF($B$390="rs_m2_terreno",N($B$391)*N($B$15),IF($B$390="pct_vgv",N($B$392)*$B$832,"depende do fluxo (app)")))))</f>
        <v/>
      </c>
      <c r="C900" s="21" t="inlineStr">
        <is>
          <t>R$ (ou texto se depender do fluxo)</t>
        </is>
      </c>
      <c r="D900" s="22" t="inlineStr">
        <is>
          <t>calculado</t>
        </is>
      </c>
    </row>
    <row r="901">
      <c r="A901" s="19" t="inlineStr">
        <is>
          <t>Custo 6 — equivalente em R$</t>
        </is>
      </c>
      <c r="B901" s="25">
        <f>IF($B$401="","",IF($B$401="rs",N($B$402),IF($B$401="rs_m2_priv",N($B$402)*$B$830,IF($B$401="rs_m2_terreno",N($B$402)*N($B$15),IF($B$401="pct_vgv",N($B$403)*$B$832,"depende do fluxo (app)")))))</f>
        <v/>
      </c>
      <c r="C901" s="21" t="inlineStr">
        <is>
          <t>R$ (ou texto se depender do fluxo)</t>
        </is>
      </c>
      <c r="D901" s="22" t="inlineStr">
        <is>
          <t>calculado</t>
        </is>
      </c>
    </row>
    <row r="902">
      <c r="A902" s="19" t="inlineStr">
        <is>
          <t>Custo 7 — equivalente em R$</t>
        </is>
      </c>
      <c r="B902" s="25">
        <f>IF($B$412="","",IF($B$412="rs",N($B$413),IF($B$412="rs_m2_priv",N($B$413)*$B$830,IF($B$412="rs_m2_terreno",N($B$413)*N($B$15),IF($B$412="pct_vgv",N($B$414)*$B$832,"depende do fluxo (app)")))))</f>
        <v/>
      </c>
      <c r="C902" s="21" t="inlineStr">
        <is>
          <t>R$ (ou texto se depender do fluxo)</t>
        </is>
      </c>
      <c r="D902" s="22" t="inlineStr">
        <is>
          <t>calculado</t>
        </is>
      </c>
    </row>
    <row r="903">
      <c r="A903" s="19" t="inlineStr">
        <is>
          <t>Custo 8 — equivalente em R$</t>
        </is>
      </c>
      <c r="B903" s="25">
        <f>IF($B$423="","",IF($B$423="rs",N($B$424),IF($B$423="rs_m2_priv",N($B$424)*$B$830,IF($B$423="rs_m2_terreno",N($B$424)*N($B$15),IF($B$423="pct_vgv",N($B$425)*$B$832,"depende do fluxo (app)")))))</f>
        <v/>
      </c>
      <c r="C903" s="21" t="inlineStr">
        <is>
          <t>R$ (ou texto se depender do fluxo)</t>
        </is>
      </c>
      <c r="D903" s="22" t="inlineStr">
        <is>
          <t>calculado</t>
        </is>
      </c>
    </row>
    <row r="904">
      <c r="A904" s="19" t="inlineStr">
        <is>
          <t>Custo 9 — equivalente em R$</t>
        </is>
      </c>
      <c r="B904" s="25">
        <f>IF($B$434="","",IF($B$434="rs",N($B$435),IF($B$434="rs_m2_priv",N($B$435)*$B$830,IF($B$434="rs_m2_terreno",N($B$435)*N($B$15),IF($B$434="pct_vgv",N($B$436)*$B$832,"depende do fluxo (app)")))))</f>
        <v/>
      </c>
      <c r="C904" s="21" t="inlineStr">
        <is>
          <t>R$ (ou texto se depender do fluxo)</t>
        </is>
      </c>
      <c r="D904" s="22" t="inlineStr">
        <is>
          <t>calculado</t>
        </is>
      </c>
    </row>
    <row r="905">
      <c r="A905" s="19" t="inlineStr">
        <is>
          <t>Custo 10 — equivalente em R$</t>
        </is>
      </c>
      <c r="B905" s="25">
        <f>IF($B$445="","",IF($B$445="rs",N($B$446),IF($B$445="rs_m2_priv",N($B$446)*$B$830,IF($B$445="rs_m2_terreno",N($B$446)*N($B$15),IF($B$445="pct_vgv",N($B$447)*$B$832,"depende do fluxo (app)")))))</f>
        <v/>
      </c>
      <c r="C905" s="21" t="inlineStr">
        <is>
          <t>R$ (ou texto se depender do fluxo)</t>
        </is>
      </c>
      <c r="D905" s="22" t="inlineStr">
        <is>
          <t>calculado</t>
        </is>
      </c>
    </row>
    <row r="906">
      <c r="A906" s="19" t="inlineStr">
        <is>
          <t>Custo 11 — equivalente em R$</t>
        </is>
      </c>
      <c r="B906" s="25">
        <f>IF($B$456="","",IF($B$456="rs",N($B$457),IF($B$456="rs_m2_priv",N($B$457)*$B$830,IF($B$456="rs_m2_terreno",N($B$457)*N($B$15),IF($B$456="pct_vgv",N($B$458)*$B$832,"depende do fluxo (app)")))))</f>
        <v/>
      </c>
      <c r="C906" s="21" t="inlineStr">
        <is>
          <t>R$ (ou texto se depender do fluxo)</t>
        </is>
      </c>
      <c r="D906" s="22" t="inlineStr">
        <is>
          <t>calculado</t>
        </is>
      </c>
    </row>
    <row r="907">
      <c r="A907" s="19" t="inlineStr">
        <is>
          <t>Custo 12 — equivalente em R$</t>
        </is>
      </c>
      <c r="B907" s="25">
        <f>IF($B$467="","",IF($B$467="rs",N($B$468),IF($B$467="rs_m2_priv",N($B$468)*$B$830,IF($B$467="rs_m2_terreno",N($B$468)*N($B$15),IF($B$467="pct_vgv",N($B$469)*$B$832,"depende do fluxo (app)")))))</f>
        <v/>
      </c>
      <c r="C907" s="21" t="inlineStr">
        <is>
          <t>R$ (ou texto se depender do fluxo)</t>
        </is>
      </c>
      <c r="D907" s="22" t="inlineStr">
        <is>
          <t>calculado</t>
        </is>
      </c>
    </row>
    <row r="908">
      <c r="A908" s="19" t="inlineStr">
        <is>
          <t>Custo 13 — equivalente em R$</t>
        </is>
      </c>
      <c r="B908" s="25">
        <f>IF($B$478="","",IF($B$478="rs",N($B$479),IF($B$478="rs_m2_priv",N($B$479)*$B$830,IF($B$478="rs_m2_terreno",N($B$479)*N($B$15),IF($B$478="pct_vgv",N($B$480)*$B$832,"depende do fluxo (app)")))))</f>
        <v/>
      </c>
      <c r="C908" s="21" t="inlineStr">
        <is>
          <t>R$ (ou texto se depender do fluxo)</t>
        </is>
      </c>
      <c r="D908" s="22" t="inlineStr">
        <is>
          <t>calculado</t>
        </is>
      </c>
    </row>
    <row r="909">
      <c r="A909" s="19" t="inlineStr">
        <is>
          <t>Custo 14 — equivalente em R$</t>
        </is>
      </c>
      <c r="B909" s="25">
        <f>IF($B$489="","",IF($B$489="rs",N($B$490),IF($B$489="rs_m2_priv",N($B$490)*$B$830,IF($B$489="rs_m2_terreno",N($B$490)*N($B$15),IF($B$489="pct_vgv",N($B$491)*$B$832,"depende do fluxo (app)")))))</f>
        <v/>
      </c>
      <c r="C909" s="21" t="inlineStr">
        <is>
          <t>R$ (ou texto se depender do fluxo)</t>
        </is>
      </c>
      <c r="D909" s="22" t="inlineStr">
        <is>
          <t>calculado</t>
        </is>
      </c>
    </row>
    <row r="910">
      <c r="A910" s="19" t="inlineStr">
        <is>
          <t>Custo 15 — equivalente em R$</t>
        </is>
      </c>
      <c r="B910" s="25">
        <f>IF($B$500="","",IF($B$500="rs",N($B$501),IF($B$500="rs_m2_priv",N($B$501)*$B$830,IF($B$500="rs_m2_terreno",N($B$501)*N($B$15),IF($B$500="pct_vgv",N($B$502)*$B$832,"depende do fluxo (app)")))))</f>
        <v/>
      </c>
      <c r="C910" s="21" t="inlineStr">
        <is>
          <t>R$ (ou texto se depender do fluxo)</t>
        </is>
      </c>
      <c r="D910" s="22" t="inlineStr">
        <is>
          <t>calculado</t>
        </is>
      </c>
    </row>
    <row r="911">
      <c r="A911" s="19" t="inlineStr">
        <is>
          <t>Custo 16 — equivalente em R$</t>
        </is>
      </c>
      <c r="B911" s="25">
        <f>IF($B$511="","",IF($B$511="rs",N($B$512),IF($B$511="rs_m2_priv",N($B$512)*$B$830,IF($B$511="rs_m2_terreno",N($B$512)*N($B$15),IF($B$511="pct_vgv",N($B$513)*$B$832,"depende do fluxo (app)")))))</f>
        <v/>
      </c>
      <c r="C911" s="21" t="inlineStr">
        <is>
          <t>R$ (ou texto se depender do fluxo)</t>
        </is>
      </c>
      <c r="D911" s="22" t="inlineStr">
        <is>
          <t>calculado</t>
        </is>
      </c>
    </row>
    <row r="912">
      <c r="A912" s="19" t="inlineStr">
        <is>
          <t>Custo 17 — equivalente em R$</t>
        </is>
      </c>
      <c r="B912" s="25">
        <f>IF($B$522="","",IF($B$522="rs",N($B$523),IF($B$522="rs_m2_priv",N($B$523)*$B$830,IF($B$522="rs_m2_terreno",N($B$523)*N($B$15),IF($B$522="pct_vgv",N($B$524)*$B$832,"depende do fluxo (app)")))))</f>
        <v/>
      </c>
      <c r="C912" s="21" t="inlineStr">
        <is>
          <t>R$ (ou texto se depender do fluxo)</t>
        </is>
      </c>
      <c r="D912" s="22" t="inlineStr">
        <is>
          <t>calculado</t>
        </is>
      </c>
    </row>
    <row r="913">
      <c r="A913" s="19" t="inlineStr">
        <is>
          <t>Custo 18 — equivalente em R$</t>
        </is>
      </c>
      <c r="B913" s="25">
        <f>IF($B$533="","",IF($B$533="rs",N($B$534),IF($B$533="rs_m2_priv",N($B$534)*$B$830,IF($B$533="rs_m2_terreno",N($B$534)*N($B$15),IF($B$533="pct_vgv",N($B$535)*$B$832,"depende do fluxo (app)")))))</f>
        <v/>
      </c>
      <c r="C913" s="21" t="inlineStr">
        <is>
          <t>R$ (ou texto se depender do fluxo)</t>
        </is>
      </c>
      <c r="D913" s="22" t="inlineStr">
        <is>
          <t>calculado</t>
        </is>
      </c>
    </row>
    <row r="914">
      <c r="A914" s="19" t="inlineStr">
        <is>
          <t>Custo 19 — equivalente em R$</t>
        </is>
      </c>
      <c r="B914" s="25">
        <f>IF($B$544="","",IF($B$544="rs",N($B$545),IF($B$544="rs_m2_priv",N($B$545)*$B$830,IF($B$544="rs_m2_terreno",N($B$545)*N($B$15),IF($B$544="pct_vgv",N($B$546)*$B$832,"depende do fluxo (app)")))))</f>
        <v/>
      </c>
      <c r="C914" s="21" t="inlineStr">
        <is>
          <t>R$ (ou texto se depender do fluxo)</t>
        </is>
      </c>
      <c r="D914" s="22" t="inlineStr">
        <is>
          <t>calculado</t>
        </is>
      </c>
    </row>
    <row r="915">
      <c r="A915" s="19" t="inlineStr">
        <is>
          <t>Custo 20 — equivalente em R$</t>
        </is>
      </c>
      <c r="B915" s="25">
        <f>IF($B$555="","",IF($B$555="rs",N($B$556),IF($B$555="rs_m2_priv",N($B$556)*$B$830,IF($B$555="rs_m2_terreno",N($B$556)*N($B$15),IF($B$555="pct_vgv",N($B$557)*$B$832,"depende do fluxo (app)")))))</f>
        <v/>
      </c>
      <c r="C915" s="21" t="inlineStr">
        <is>
          <t>R$ (ou texto se depender do fluxo)</t>
        </is>
      </c>
      <c r="D915" s="22" t="inlineStr">
        <is>
          <t>calculado</t>
        </is>
      </c>
    </row>
    <row r="916">
      <c r="A916" s="19" t="inlineStr">
        <is>
          <t>Custo 21 — equivalente em R$</t>
        </is>
      </c>
      <c r="B916" s="25">
        <f>IF($B$566="","",IF($B$566="rs",N($B$567),IF($B$566="rs_m2_priv",N($B$567)*$B$830,IF($B$566="rs_m2_terreno",N($B$567)*N($B$15),IF($B$566="pct_vgv",N($B$568)*$B$832,"depende do fluxo (app)")))))</f>
        <v/>
      </c>
      <c r="C916" s="21" t="inlineStr">
        <is>
          <t>R$ (ou texto se depender do fluxo)</t>
        </is>
      </c>
      <c r="D916" s="22" t="inlineStr">
        <is>
          <t>calculado</t>
        </is>
      </c>
    </row>
    <row r="917">
      <c r="A917" s="19" t="inlineStr">
        <is>
          <t>Custo 22 — equivalente em R$</t>
        </is>
      </c>
      <c r="B917" s="25">
        <f>IF($B$577="","",IF($B$577="rs",N($B$578),IF($B$577="rs_m2_priv",N($B$578)*$B$830,IF($B$577="rs_m2_terreno",N($B$578)*N($B$15),IF($B$577="pct_vgv",N($B$579)*$B$832,"depende do fluxo (app)")))))</f>
        <v/>
      </c>
      <c r="C917" s="21" t="inlineStr">
        <is>
          <t>R$ (ou texto se depender do fluxo)</t>
        </is>
      </c>
      <c r="D917" s="22" t="inlineStr">
        <is>
          <t>calculado</t>
        </is>
      </c>
    </row>
    <row r="918">
      <c r="A918" s="19" t="inlineStr">
        <is>
          <t>Custo 23 — equivalente em R$</t>
        </is>
      </c>
      <c r="B918" s="25">
        <f>IF($B$588="","",IF($B$588="rs",N($B$589),IF($B$588="rs_m2_priv",N($B$589)*$B$830,IF($B$588="rs_m2_terreno",N($B$589)*N($B$15),IF($B$588="pct_vgv",N($B$590)*$B$832,"depende do fluxo (app)")))))</f>
        <v/>
      </c>
      <c r="C918" s="21" t="inlineStr">
        <is>
          <t>R$ (ou texto se depender do fluxo)</t>
        </is>
      </c>
      <c r="D918" s="22" t="inlineStr">
        <is>
          <t>calculado</t>
        </is>
      </c>
    </row>
    <row r="919">
      <c r="A919" s="19" t="inlineStr">
        <is>
          <t>Custo 24 — equivalente em R$</t>
        </is>
      </c>
      <c r="B919" s="25">
        <f>IF($B$599="","",IF($B$599="rs",N($B$600),IF($B$599="rs_m2_priv",N($B$600)*$B$830,IF($B$599="rs_m2_terreno",N($B$600)*N($B$15),IF($B$599="pct_vgv",N($B$601)*$B$832,"depende do fluxo (app)")))))</f>
        <v/>
      </c>
      <c r="C919" s="21" t="inlineStr">
        <is>
          <t>R$ (ou texto se depender do fluxo)</t>
        </is>
      </c>
      <c r="D919" s="22" t="inlineStr">
        <is>
          <t>calculado</t>
        </is>
      </c>
    </row>
    <row r="920">
      <c r="A920" s="19" t="inlineStr">
        <is>
          <t>Custo 25 — equivalente em R$</t>
        </is>
      </c>
      <c r="B920" s="25">
        <f>IF($B$610="","",IF($B$610="rs",N($B$611),IF($B$610="rs_m2_priv",N($B$611)*$B$830,IF($B$610="rs_m2_terreno",N($B$611)*N($B$15),IF($B$610="pct_vgv",N($B$612)*$B$832,"depende do fluxo (app)")))))</f>
        <v/>
      </c>
      <c r="C920" s="21" t="inlineStr">
        <is>
          <t>R$ (ou texto se depender do fluxo)</t>
        </is>
      </c>
      <c r="D920" s="22" t="inlineStr">
        <is>
          <t>calculado</t>
        </is>
      </c>
    </row>
    <row r="921">
      <c r="A921" s="19" t="inlineStr">
        <is>
          <t>Custo 26 — equivalente em R$</t>
        </is>
      </c>
      <c r="B921" s="25">
        <f>IF($B$621="","",IF($B$621="rs",N($B$622),IF($B$621="rs_m2_priv",N($B$622)*$B$830,IF($B$621="rs_m2_terreno",N($B$622)*N($B$15),IF($B$621="pct_vgv",N($B$623)*$B$832,"depende do fluxo (app)")))))</f>
        <v/>
      </c>
      <c r="C921" s="21" t="inlineStr">
        <is>
          <t>R$ (ou texto se depender do fluxo)</t>
        </is>
      </c>
      <c r="D921" s="22" t="inlineStr">
        <is>
          <t>calculado</t>
        </is>
      </c>
    </row>
    <row r="922">
      <c r="A922" s="19" t="inlineStr">
        <is>
          <t>Custo 27 — equivalente em R$</t>
        </is>
      </c>
      <c r="B922" s="25">
        <f>IF($B$632="","",IF($B$632="rs",N($B$633),IF($B$632="rs_m2_priv",N($B$633)*$B$830,IF($B$632="rs_m2_terreno",N($B$633)*N($B$15),IF($B$632="pct_vgv",N($B$634)*$B$832,"depende do fluxo (app)")))))</f>
        <v/>
      </c>
      <c r="C922" s="21" t="inlineStr">
        <is>
          <t>R$ (ou texto se depender do fluxo)</t>
        </is>
      </c>
      <c r="D922" s="22" t="inlineStr">
        <is>
          <t>calculado</t>
        </is>
      </c>
    </row>
    <row r="923">
      <c r="A923" s="19" t="inlineStr">
        <is>
          <t>Custo 28 — equivalente em R$</t>
        </is>
      </c>
      <c r="B923" s="25">
        <f>IF($B$643="","",IF($B$643="rs",N($B$644),IF($B$643="rs_m2_priv",N($B$644)*$B$830,IF($B$643="rs_m2_terreno",N($B$644)*N($B$15),IF($B$643="pct_vgv",N($B$645)*$B$832,"depende do fluxo (app)")))))</f>
        <v/>
      </c>
      <c r="C923" s="21" t="inlineStr">
        <is>
          <t>R$ (ou texto se depender do fluxo)</t>
        </is>
      </c>
      <c r="D923" s="22" t="inlineStr">
        <is>
          <t>calculado</t>
        </is>
      </c>
    </row>
    <row r="924">
      <c r="A924" s="19" t="inlineStr">
        <is>
          <t>Custo 1 — conferência</t>
        </is>
      </c>
      <c r="B924" s="24">
        <f>IF(AND($B$343="",$B$344=""),"",IF(OR($B$343="",$B$344="",$B$346=""),"⚠ falta grupo, categoria ou unidade",IF(NOT(OR(AND($B$343="terreno",$B$344="Preço",OR($B$346="rs",$B$346="rs_m2_terreno")),AND($B$343="terreno",$B$344="Registro",OR($B$346="rs",$B$346="rs_m2_priv")),AND($B$343="terreno",$B$344="Outro",OR($B$346="rs",$B$346="pct_vgv")),AND($B$343="obra",$B$344="Construção",OR($B$346="rs",$B$346="rs_m2_priv")),AND($B$343="obra",$B$344="Outorga",OR($B$346="rs",$B$346="pct_vgv")),AND($B$343="obra",$B$344="Decoração",OR($B$346="rs",$B$346="rs_m2_priv")),AND($B$343="obra",$B$344="Gestão da obra",OR($B$346="rs",$B$346="pct_obra")),AND($B$343="obra",$B$344="Contingência",OR($B$346="rs",$B$346="pct_vgv")),AND($B$343="obra",$B$344="Outro",OR($B$346="rs",$B$346="pct_vgv")),AND($B$343="diretos",$B$344="Marketing &amp; Publicidade",OR($B$346="rs",$B$346="pct_vgv",$B$346="pct_recebido")),AND($B$343="diretos",$B$344="Corretagem de vendas",OR($B$346="pct_vgv")),AND($B$343="diretos",$B$344="Projetos",OR($B$346="rs",$B$346="rs_m2_priv",$B$346="pct_constr")),AND($B$343="diretos",$B$344="Licenças e Aprovações",OR($B$346="rs",$B$346="rs_m2_priv")),AND($B$343="diretos",$B$344="Manutenção pós-obra",OR($B$346="rs",$B$346="pct_vgv",$B$346="pct_recebido")),AND($B$343="diretos",$B$344="Outro",OR($B$346="rs",$B$346="pct_vgv",$B$346="pct_recebido")),AND($B$343="indireto",$B$344="Marketing global",OR($B$346="rs",$B$346="pct_vgv",$B$346="pct_recebido")),AND($B$343="indireto",$B$344="Stand de vendas",OR($B$346="rs",$B$346="pct_vgv")),AND($B$343="indireto",$B$344="Gestão",OR($B$346="rs",$B$346="pct_vgv",$B$346="pct_recebido")),AND($B$343="indireto",$B$344="Outro",OR($B$346="rs",$B$346="pct_vgv",$B$346="pct_recebido")),AND($B$343="financeiro",$B$344="Juros de financiamento",OR($B$346="rs",$B$346="pct_vgv")),AND($B$343="financeiro",$B$344="Taxas bancárias",OR($B$346="rs",$B$346="pct_vgv")),AND($B$343="financeiro",$B$344="Estruturação de dívida",OR($B$346="rs",$B$346="pct_vgv")),AND($B$343="financeiro",$B$344="Investidores",OR($B$346="rs",$B$346="pct_vgv")),AND($B$343="financeiro",$B$344="Outro",OR($B$346="rs",$B$346="pct_vgv")))),"⚠ unidade não aceita nesta categoria",IF(AND($B$347&lt;&gt;"",$B$348&lt;&gt;""),"⚠ preencha só uma linha de valor",IF(IF(LEFT($B$346,3)="pct",$B$348="",$B$347=""),"⚠ falta o valor na linha certa","OK")))))</f>
        <v/>
      </c>
      <c r="C924" s="21" t="inlineStr">
        <is>
          <t>alerta</t>
        </is>
      </c>
      <c r="D924" s="22" t="inlineStr">
        <is>
          <t>calculado</t>
        </is>
      </c>
    </row>
    <row r="925">
      <c r="A925" s="19" t="inlineStr">
        <is>
          <t>Custo 2 — conferência</t>
        </is>
      </c>
      <c r="B925" s="24">
        <f>IF(AND($B$354="",$B$355=""),"",IF(OR($B$354="",$B$355="",$B$357=""),"⚠ falta grupo, categoria ou unidade",IF(NOT(OR(AND($B$354="terreno",$B$355="Preço",OR($B$357="rs",$B$357="rs_m2_terreno")),AND($B$354="terreno",$B$355="Registro",OR($B$357="rs",$B$357="rs_m2_priv")),AND($B$354="terreno",$B$355="Outro",OR($B$357="rs",$B$357="pct_vgv")),AND($B$354="obra",$B$355="Construção",OR($B$357="rs",$B$357="rs_m2_priv")),AND($B$354="obra",$B$355="Outorga",OR($B$357="rs",$B$357="pct_vgv")),AND($B$354="obra",$B$355="Decoração",OR($B$357="rs",$B$357="rs_m2_priv")),AND($B$354="obra",$B$355="Gestão da obra",OR($B$357="rs",$B$357="pct_obra")),AND($B$354="obra",$B$355="Contingência",OR($B$357="rs",$B$357="pct_vgv")),AND($B$354="obra",$B$355="Outro",OR($B$357="rs",$B$357="pct_vgv")),AND($B$354="diretos",$B$355="Marketing &amp; Publicidade",OR($B$357="rs",$B$357="pct_vgv",$B$357="pct_recebido")),AND($B$354="diretos",$B$355="Corretagem de vendas",OR($B$357="pct_vgv")),AND($B$354="diretos",$B$355="Projetos",OR($B$357="rs",$B$357="rs_m2_priv",$B$357="pct_constr")),AND($B$354="diretos",$B$355="Licenças e Aprovações",OR($B$357="rs",$B$357="rs_m2_priv")),AND($B$354="diretos",$B$355="Manutenção pós-obra",OR($B$357="rs",$B$357="pct_vgv",$B$357="pct_recebido")),AND($B$354="diretos",$B$355="Outro",OR($B$357="rs",$B$357="pct_vgv",$B$357="pct_recebido")),AND($B$354="indireto",$B$355="Marketing global",OR($B$357="rs",$B$357="pct_vgv",$B$357="pct_recebido")),AND($B$354="indireto",$B$355="Stand de vendas",OR($B$357="rs",$B$357="pct_vgv")),AND($B$354="indireto",$B$355="Gestão",OR($B$357="rs",$B$357="pct_vgv",$B$357="pct_recebido")),AND($B$354="indireto",$B$355="Outro",OR($B$357="rs",$B$357="pct_vgv",$B$357="pct_recebido")),AND($B$354="financeiro",$B$355="Juros de financiamento",OR($B$357="rs",$B$357="pct_vgv")),AND($B$354="financeiro",$B$355="Taxas bancárias",OR($B$357="rs",$B$357="pct_vgv")),AND($B$354="financeiro",$B$355="Estruturação de dívida",OR($B$357="rs",$B$357="pct_vgv")),AND($B$354="financeiro",$B$355="Investidores",OR($B$357="rs",$B$357="pct_vgv")),AND($B$354="financeiro",$B$355="Outro",OR($B$357="rs",$B$357="pct_vgv")))),"⚠ unidade não aceita nesta categoria",IF(AND($B$358&lt;&gt;"",$B$359&lt;&gt;""),"⚠ preencha só uma linha de valor",IF(IF(LEFT($B$357,3)="pct",$B$359="",$B$358=""),"⚠ falta o valor na linha certa","OK")))))</f>
        <v/>
      </c>
      <c r="C925" s="21" t="inlineStr">
        <is>
          <t>alerta</t>
        </is>
      </c>
      <c r="D925" s="22" t="inlineStr">
        <is>
          <t>calculado</t>
        </is>
      </c>
    </row>
    <row r="926">
      <c r="A926" s="19" t="inlineStr">
        <is>
          <t>Custo 3 — conferência</t>
        </is>
      </c>
      <c r="B926" s="24">
        <f>IF(AND($B$365="",$B$366=""),"",IF(OR($B$365="",$B$366="",$B$368=""),"⚠ falta grupo, categoria ou unidade",IF(NOT(OR(AND($B$365="terreno",$B$366="Preço",OR($B$368="rs",$B$368="rs_m2_terreno")),AND($B$365="terreno",$B$366="Registro",OR($B$368="rs",$B$368="rs_m2_priv")),AND($B$365="terreno",$B$366="Outro",OR($B$368="rs",$B$368="pct_vgv")),AND($B$365="obra",$B$366="Construção",OR($B$368="rs",$B$368="rs_m2_priv")),AND($B$365="obra",$B$366="Outorga",OR($B$368="rs",$B$368="pct_vgv")),AND($B$365="obra",$B$366="Decoração",OR($B$368="rs",$B$368="rs_m2_priv")),AND($B$365="obra",$B$366="Gestão da obra",OR($B$368="rs",$B$368="pct_obra")),AND($B$365="obra",$B$366="Contingência",OR($B$368="rs",$B$368="pct_vgv")),AND($B$365="obra",$B$366="Outro",OR($B$368="rs",$B$368="pct_vgv")),AND($B$365="diretos",$B$366="Marketing &amp; Publicidade",OR($B$368="rs",$B$368="pct_vgv",$B$368="pct_recebido")),AND($B$365="diretos",$B$366="Corretagem de vendas",OR($B$368="pct_vgv")),AND($B$365="diretos",$B$366="Projetos",OR($B$368="rs",$B$368="rs_m2_priv",$B$368="pct_constr")),AND($B$365="diretos",$B$366="Licenças e Aprovações",OR($B$368="rs",$B$368="rs_m2_priv")),AND($B$365="diretos",$B$366="Manutenção pós-obra",OR($B$368="rs",$B$368="pct_vgv",$B$368="pct_recebido")),AND($B$365="diretos",$B$366="Outro",OR($B$368="rs",$B$368="pct_vgv",$B$368="pct_recebido")),AND($B$365="indireto",$B$366="Marketing global",OR($B$368="rs",$B$368="pct_vgv",$B$368="pct_recebido")),AND($B$365="indireto",$B$366="Stand de vendas",OR($B$368="rs",$B$368="pct_vgv")),AND($B$365="indireto",$B$366="Gestão",OR($B$368="rs",$B$368="pct_vgv",$B$368="pct_recebido")),AND($B$365="indireto",$B$366="Outro",OR($B$368="rs",$B$368="pct_vgv",$B$368="pct_recebido")),AND($B$365="financeiro",$B$366="Juros de financiamento",OR($B$368="rs",$B$368="pct_vgv")),AND($B$365="financeiro",$B$366="Taxas bancárias",OR($B$368="rs",$B$368="pct_vgv")),AND($B$365="financeiro",$B$366="Estruturação de dívida",OR($B$368="rs",$B$368="pct_vgv")),AND($B$365="financeiro",$B$366="Investidores",OR($B$368="rs",$B$368="pct_vgv")),AND($B$365="financeiro",$B$366="Outro",OR($B$368="rs",$B$368="pct_vgv")))),"⚠ unidade não aceita nesta categoria",IF(AND($B$369&lt;&gt;"",$B$370&lt;&gt;""),"⚠ preencha só uma linha de valor",IF(IF(LEFT($B$368,3)="pct",$B$370="",$B$369=""),"⚠ falta o valor na linha certa","OK")))))</f>
        <v/>
      </c>
      <c r="C926" s="21" t="inlineStr">
        <is>
          <t>alerta</t>
        </is>
      </c>
      <c r="D926" s="22" t="inlineStr">
        <is>
          <t>calculado</t>
        </is>
      </c>
    </row>
    <row r="927">
      <c r="A927" s="19" t="inlineStr">
        <is>
          <t>Custo 4 — conferência</t>
        </is>
      </c>
      <c r="B927" s="24">
        <f>IF(AND($B$376="",$B$377=""),"",IF(OR($B$376="",$B$377="",$B$379=""),"⚠ falta grupo, categoria ou unidade",IF(NOT(OR(AND($B$376="terreno",$B$377="Preço",OR($B$379="rs",$B$379="rs_m2_terreno")),AND($B$376="terreno",$B$377="Registro",OR($B$379="rs",$B$379="rs_m2_priv")),AND($B$376="terreno",$B$377="Outro",OR($B$379="rs",$B$379="pct_vgv")),AND($B$376="obra",$B$377="Construção",OR($B$379="rs",$B$379="rs_m2_priv")),AND($B$376="obra",$B$377="Outorga",OR($B$379="rs",$B$379="pct_vgv")),AND($B$376="obra",$B$377="Decoração",OR($B$379="rs",$B$379="rs_m2_priv")),AND($B$376="obra",$B$377="Gestão da obra",OR($B$379="rs",$B$379="pct_obra")),AND($B$376="obra",$B$377="Contingência",OR($B$379="rs",$B$379="pct_vgv")),AND($B$376="obra",$B$377="Outro",OR($B$379="rs",$B$379="pct_vgv")),AND($B$376="diretos",$B$377="Marketing &amp; Publicidade",OR($B$379="rs",$B$379="pct_vgv",$B$379="pct_recebido")),AND($B$376="diretos",$B$377="Corretagem de vendas",OR($B$379="pct_vgv")),AND($B$376="diretos",$B$377="Projetos",OR($B$379="rs",$B$379="rs_m2_priv",$B$379="pct_constr")),AND($B$376="diretos",$B$377="Licenças e Aprovações",OR($B$379="rs",$B$379="rs_m2_priv")),AND($B$376="diretos",$B$377="Manutenção pós-obra",OR($B$379="rs",$B$379="pct_vgv",$B$379="pct_recebido")),AND($B$376="diretos",$B$377="Outro",OR($B$379="rs",$B$379="pct_vgv",$B$379="pct_recebido")),AND($B$376="indireto",$B$377="Marketing global",OR($B$379="rs",$B$379="pct_vgv",$B$379="pct_recebido")),AND($B$376="indireto",$B$377="Stand de vendas",OR($B$379="rs",$B$379="pct_vgv")),AND($B$376="indireto",$B$377="Gestão",OR($B$379="rs",$B$379="pct_vgv",$B$379="pct_recebido")),AND($B$376="indireto",$B$377="Outro",OR($B$379="rs",$B$379="pct_vgv",$B$379="pct_recebido")),AND($B$376="financeiro",$B$377="Juros de financiamento",OR($B$379="rs",$B$379="pct_vgv")),AND($B$376="financeiro",$B$377="Taxas bancárias",OR($B$379="rs",$B$379="pct_vgv")),AND($B$376="financeiro",$B$377="Estruturação de dívida",OR($B$379="rs",$B$379="pct_vgv")),AND($B$376="financeiro",$B$377="Investidores",OR($B$379="rs",$B$379="pct_vgv")),AND($B$376="financeiro",$B$377="Outro",OR($B$379="rs",$B$379="pct_vgv")))),"⚠ unidade não aceita nesta categoria",IF(AND($B$380&lt;&gt;"",$B$381&lt;&gt;""),"⚠ preencha só uma linha de valor",IF(IF(LEFT($B$379,3)="pct",$B$381="",$B$380=""),"⚠ falta o valor na linha certa","OK")))))</f>
        <v/>
      </c>
      <c r="C927" s="21" t="inlineStr">
        <is>
          <t>alerta</t>
        </is>
      </c>
      <c r="D927" s="22" t="inlineStr">
        <is>
          <t>calculado</t>
        </is>
      </c>
    </row>
    <row r="928">
      <c r="A928" s="19" t="inlineStr">
        <is>
          <t>Custo 5 — conferência</t>
        </is>
      </c>
      <c r="B928" s="24">
        <f>IF(AND($B$387="",$B$388=""),"",IF(OR($B$387="",$B$388="",$B$390=""),"⚠ falta grupo, categoria ou unidade",IF(NOT(OR(AND($B$387="terreno",$B$388="Preço",OR($B$390="rs",$B$390="rs_m2_terreno")),AND($B$387="terreno",$B$388="Registro",OR($B$390="rs",$B$390="rs_m2_priv")),AND($B$387="terreno",$B$388="Outro",OR($B$390="rs",$B$390="pct_vgv")),AND($B$387="obra",$B$388="Construção",OR($B$390="rs",$B$390="rs_m2_priv")),AND($B$387="obra",$B$388="Outorga",OR($B$390="rs",$B$390="pct_vgv")),AND($B$387="obra",$B$388="Decoração",OR($B$390="rs",$B$390="rs_m2_priv")),AND($B$387="obra",$B$388="Gestão da obra",OR($B$390="rs",$B$390="pct_obra")),AND($B$387="obra",$B$388="Contingência",OR($B$390="rs",$B$390="pct_vgv")),AND($B$387="obra",$B$388="Outro",OR($B$390="rs",$B$390="pct_vgv")),AND($B$387="diretos",$B$388="Marketing &amp; Publicidade",OR($B$390="rs",$B$390="pct_vgv",$B$390="pct_recebido")),AND($B$387="diretos",$B$388="Corretagem de vendas",OR($B$390="pct_vgv")),AND($B$387="diretos",$B$388="Projetos",OR($B$390="rs",$B$390="rs_m2_priv",$B$390="pct_constr")),AND($B$387="diretos",$B$388="Licenças e Aprovações",OR($B$390="rs",$B$390="rs_m2_priv")),AND($B$387="diretos",$B$388="Manutenção pós-obra",OR($B$390="rs",$B$390="pct_vgv",$B$390="pct_recebido")),AND($B$387="diretos",$B$388="Outro",OR($B$390="rs",$B$390="pct_vgv",$B$390="pct_recebido")),AND($B$387="indireto",$B$388="Marketing global",OR($B$390="rs",$B$390="pct_vgv",$B$390="pct_recebido")),AND($B$387="indireto",$B$388="Stand de vendas",OR($B$390="rs",$B$390="pct_vgv")),AND($B$387="indireto",$B$388="Gestão",OR($B$390="rs",$B$390="pct_vgv",$B$390="pct_recebido")),AND($B$387="indireto",$B$388="Outro",OR($B$390="rs",$B$390="pct_vgv",$B$390="pct_recebido")),AND($B$387="financeiro",$B$388="Juros de financiamento",OR($B$390="rs",$B$390="pct_vgv")),AND($B$387="financeiro",$B$388="Taxas bancárias",OR($B$390="rs",$B$390="pct_vgv")),AND($B$387="financeiro",$B$388="Estruturação de dívida",OR($B$390="rs",$B$390="pct_vgv")),AND($B$387="financeiro",$B$388="Investidores",OR($B$390="rs",$B$390="pct_vgv")),AND($B$387="financeiro",$B$388="Outro",OR($B$390="rs",$B$390="pct_vgv")))),"⚠ unidade não aceita nesta categoria",IF(AND($B$391&lt;&gt;"",$B$392&lt;&gt;""),"⚠ preencha só uma linha de valor",IF(IF(LEFT($B$390,3)="pct",$B$392="",$B$391=""),"⚠ falta o valor na linha certa","OK")))))</f>
        <v/>
      </c>
      <c r="C928" s="21" t="inlineStr">
        <is>
          <t>alerta</t>
        </is>
      </c>
      <c r="D928" s="22" t="inlineStr">
        <is>
          <t>calculado</t>
        </is>
      </c>
    </row>
    <row r="929">
      <c r="A929" s="19" t="inlineStr">
        <is>
          <t>Custo 6 — conferência</t>
        </is>
      </c>
      <c r="B929" s="24">
        <f>IF(AND($B$398="",$B$399=""),"",IF(OR($B$398="",$B$399="",$B$401=""),"⚠ falta grupo, categoria ou unidade",IF(NOT(OR(AND($B$398="terreno",$B$399="Preço",OR($B$401="rs",$B$401="rs_m2_terreno")),AND($B$398="terreno",$B$399="Registro",OR($B$401="rs",$B$401="rs_m2_priv")),AND($B$398="terreno",$B$399="Outro",OR($B$401="rs",$B$401="pct_vgv")),AND($B$398="obra",$B$399="Construção",OR($B$401="rs",$B$401="rs_m2_priv")),AND($B$398="obra",$B$399="Outorga",OR($B$401="rs",$B$401="pct_vgv")),AND($B$398="obra",$B$399="Decoração",OR($B$401="rs",$B$401="rs_m2_priv")),AND($B$398="obra",$B$399="Gestão da obra",OR($B$401="rs",$B$401="pct_obra")),AND($B$398="obra",$B$399="Contingência",OR($B$401="rs",$B$401="pct_vgv")),AND($B$398="obra",$B$399="Outro",OR($B$401="rs",$B$401="pct_vgv")),AND($B$398="diretos",$B$399="Marketing &amp; Publicidade",OR($B$401="rs",$B$401="pct_vgv",$B$401="pct_recebido")),AND($B$398="diretos",$B$399="Corretagem de vendas",OR($B$401="pct_vgv")),AND($B$398="diretos",$B$399="Projetos",OR($B$401="rs",$B$401="rs_m2_priv",$B$401="pct_constr")),AND($B$398="diretos",$B$399="Licenças e Aprovações",OR($B$401="rs",$B$401="rs_m2_priv")),AND($B$398="diretos",$B$399="Manutenção pós-obra",OR($B$401="rs",$B$401="pct_vgv",$B$401="pct_recebido")),AND($B$398="diretos",$B$399="Outro",OR($B$401="rs",$B$401="pct_vgv",$B$401="pct_recebido")),AND($B$398="indireto",$B$399="Marketing global",OR($B$401="rs",$B$401="pct_vgv",$B$401="pct_recebido")),AND($B$398="indireto",$B$399="Stand de vendas",OR($B$401="rs",$B$401="pct_vgv")),AND($B$398="indireto",$B$399="Gestão",OR($B$401="rs",$B$401="pct_vgv",$B$401="pct_recebido")),AND($B$398="indireto",$B$399="Outro",OR($B$401="rs",$B$401="pct_vgv",$B$401="pct_recebido")),AND($B$398="financeiro",$B$399="Juros de financiamento",OR($B$401="rs",$B$401="pct_vgv")),AND($B$398="financeiro",$B$399="Taxas bancárias",OR($B$401="rs",$B$401="pct_vgv")),AND($B$398="financeiro",$B$399="Estruturação de dívida",OR($B$401="rs",$B$401="pct_vgv")),AND($B$398="financeiro",$B$399="Investidores",OR($B$401="rs",$B$401="pct_vgv")),AND($B$398="financeiro",$B$399="Outro",OR($B$401="rs",$B$401="pct_vgv")))),"⚠ unidade não aceita nesta categoria",IF(AND($B$402&lt;&gt;"",$B$403&lt;&gt;""),"⚠ preencha só uma linha de valor",IF(IF(LEFT($B$401,3)="pct",$B$403="",$B$402=""),"⚠ falta o valor na linha certa","OK")))))</f>
        <v/>
      </c>
      <c r="C929" s="21" t="inlineStr">
        <is>
          <t>alerta</t>
        </is>
      </c>
      <c r="D929" s="22" t="inlineStr">
        <is>
          <t>calculado</t>
        </is>
      </c>
    </row>
    <row r="930">
      <c r="A930" s="19" t="inlineStr">
        <is>
          <t>Custo 7 — conferência</t>
        </is>
      </c>
      <c r="B930" s="24">
        <f>IF(AND($B$409="",$B$410=""),"",IF(OR($B$409="",$B$410="",$B$412=""),"⚠ falta grupo, categoria ou unidade",IF(NOT(OR(AND($B$409="terreno",$B$410="Preço",OR($B$412="rs",$B$412="rs_m2_terreno")),AND($B$409="terreno",$B$410="Registro",OR($B$412="rs",$B$412="rs_m2_priv")),AND($B$409="terreno",$B$410="Outro",OR($B$412="rs",$B$412="pct_vgv")),AND($B$409="obra",$B$410="Construção",OR($B$412="rs",$B$412="rs_m2_priv")),AND($B$409="obra",$B$410="Outorga",OR($B$412="rs",$B$412="pct_vgv")),AND($B$409="obra",$B$410="Decoração",OR($B$412="rs",$B$412="rs_m2_priv")),AND($B$409="obra",$B$410="Gestão da obra",OR($B$412="rs",$B$412="pct_obra")),AND($B$409="obra",$B$410="Contingência",OR($B$412="rs",$B$412="pct_vgv")),AND($B$409="obra",$B$410="Outro",OR($B$412="rs",$B$412="pct_vgv")),AND($B$409="diretos",$B$410="Marketing &amp; Publicidade",OR($B$412="rs",$B$412="pct_vgv",$B$412="pct_recebido")),AND($B$409="diretos",$B$410="Corretagem de vendas",OR($B$412="pct_vgv")),AND($B$409="diretos",$B$410="Projetos",OR($B$412="rs",$B$412="rs_m2_priv",$B$412="pct_constr")),AND($B$409="diretos",$B$410="Licenças e Aprovações",OR($B$412="rs",$B$412="rs_m2_priv")),AND($B$409="diretos",$B$410="Manutenção pós-obra",OR($B$412="rs",$B$412="pct_vgv",$B$412="pct_recebido")),AND($B$409="diretos",$B$410="Outro",OR($B$412="rs",$B$412="pct_vgv",$B$412="pct_recebido")),AND($B$409="indireto",$B$410="Marketing global",OR($B$412="rs",$B$412="pct_vgv",$B$412="pct_recebido")),AND($B$409="indireto",$B$410="Stand de vendas",OR($B$412="rs",$B$412="pct_vgv")),AND($B$409="indireto",$B$410="Gestão",OR($B$412="rs",$B$412="pct_vgv",$B$412="pct_recebido")),AND($B$409="indireto",$B$410="Outro",OR($B$412="rs",$B$412="pct_vgv",$B$412="pct_recebido")),AND($B$409="financeiro",$B$410="Juros de financiamento",OR($B$412="rs",$B$412="pct_vgv")),AND($B$409="financeiro",$B$410="Taxas bancárias",OR($B$412="rs",$B$412="pct_vgv")),AND($B$409="financeiro",$B$410="Estruturação de dívida",OR($B$412="rs",$B$412="pct_vgv")),AND($B$409="financeiro",$B$410="Investidores",OR($B$412="rs",$B$412="pct_vgv")),AND($B$409="financeiro",$B$410="Outro",OR($B$412="rs",$B$412="pct_vgv")))),"⚠ unidade não aceita nesta categoria",IF(AND($B$413&lt;&gt;"",$B$414&lt;&gt;""),"⚠ preencha só uma linha de valor",IF(IF(LEFT($B$412,3)="pct",$B$414="",$B$413=""),"⚠ falta o valor na linha certa","OK")))))</f>
        <v/>
      </c>
      <c r="C930" s="21" t="inlineStr">
        <is>
          <t>alerta</t>
        </is>
      </c>
      <c r="D930" s="22" t="inlineStr">
        <is>
          <t>calculado</t>
        </is>
      </c>
    </row>
    <row r="931">
      <c r="A931" s="19" t="inlineStr">
        <is>
          <t>Custo 8 — conferência</t>
        </is>
      </c>
      <c r="B931" s="24">
        <f>IF(AND($B$420="",$B$421=""),"",IF(OR($B$420="",$B$421="",$B$423=""),"⚠ falta grupo, categoria ou unidade",IF(NOT(OR(AND($B$420="terreno",$B$421="Preço",OR($B$423="rs",$B$423="rs_m2_terreno")),AND($B$420="terreno",$B$421="Registro",OR($B$423="rs",$B$423="rs_m2_priv")),AND($B$420="terreno",$B$421="Outro",OR($B$423="rs",$B$423="pct_vgv")),AND($B$420="obra",$B$421="Construção",OR($B$423="rs",$B$423="rs_m2_priv")),AND($B$420="obra",$B$421="Outorga",OR($B$423="rs",$B$423="pct_vgv")),AND($B$420="obra",$B$421="Decoração",OR($B$423="rs",$B$423="rs_m2_priv")),AND($B$420="obra",$B$421="Gestão da obra",OR($B$423="rs",$B$423="pct_obra")),AND($B$420="obra",$B$421="Contingência",OR($B$423="rs",$B$423="pct_vgv")),AND($B$420="obra",$B$421="Outro",OR($B$423="rs",$B$423="pct_vgv")),AND($B$420="diretos",$B$421="Marketing &amp; Publicidade",OR($B$423="rs",$B$423="pct_vgv",$B$423="pct_recebido")),AND($B$420="diretos",$B$421="Corretagem de vendas",OR($B$423="pct_vgv")),AND($B$420="diretos",$B$421="Projetos",OR($B$423="rs",$B$423="rs_m2_priv",$B$423="pct_constr")),AND($B$420="diretos",$B$421="Licenças e Aprovações",OR($B$423="rs",$B$423="rs_m2_priv")),AND($B$420="diretos",$B$421="Manutenção pós-obra",OR($B$423="rs",$B$423="pct_vgv",$B$423="pct_recebido")),AND($B$420="diretos",$B$421="Outro",OR($B$423="rs",$B$423="pct_vgv",$B$423="pct_recebido")),AND($B$420="indireto",$B$421="Marketing global",OR($B$423="rs",$B$423="pct_vgv",$B$423="pct_recebido")),AND($B$420="indireto",$B$421="Stand de vendas",OR($B$423="rs",$B$423="pct_vgv")),AND($B$420="indireto",$B$421="Gestão",OR($B$423="rs",$B$423="pct_vgv",$B$423="pct_recebido")),AND($B$420="indireto",$B$421="Outro",OR($B$423="rs",$B$423="pct_vgv",$B$423="pct_recebido")),AND($B$420="financeiro",$B$421="Juros de financiamento",OR($B$423="rs",$B$423="pct_vgv")),AND($B$420="financeiro",$B$421="Taxas bancárias",OR($B$423="rs",$B$423="pct_vgv")),AND($B$420="financeiro",$B$421="Estruturação de dívida",OR($B$423="rs",$B$423="pct_vgv")),AND($B$420="financeiro",$B$421="Investidores",OR($B$423="rs",$B$423="pct_vgv")),AND($B$420="financeiro",$B$421="Outro",OR($B$423="rs",$B$423="pct_vgv")))),"⚠ unidade não aceita nesta categoria",IF(AND($B$424&lt;&gt;"",$B$425&lt;&gt;""),"⚠ preencha só uma linha de valor",IF(IF(LEFT($B$423,3)="pct",$B$425="",$B$424=""),"⚠ falta o valor na linha certa","OK")))))</f>
        <v/>
      </c>
      <c r="C931" s="21" t="inlineStr">
        <is>
          <t>alerta</t>
        </is>
      </c>
      <c r="D931" s="22" t="inlineStr">
        <is>
          <t>calculado</t>
        </is>
      </c>
    </row>
    <row r="932">
      <c r="A932" s="19" t="inlineStr">
        <is>
          <t>Custo 9 — conferência</t>
        </is>
      </c>
      <c r="B932" s="24">
        <f>IF(AND($B$431="",$B$432=""),"",IF(OR($B$431="",$B$432="",$B$434=""),"⚠ falta grupo, categoria ou unidade",IF(NOT(OR(AND($B$431="terreno",$B$432="Preço",OR($B$434="rs",$B$434="rs_m2_terreno")),AND($B$431="terreno",$B$432="Registro",OR($B$434="rs",$B$434="rs_m2_priv")),AND($B$431="terreno",$B$432="Outro",OR($B$434="rs",$B$434="pct_vgv")),AND($B$431="obra",$B$432="Construção",OR($B$434="rs",$B$434="rs_m2_priv")),AND($B$431="obra",$B$432="Outorga",OR($B$434="rs",$B$434="pct_vgv")),AND($B$431="obra",$B$432="Decoração",OR($B$434="rs",$B$434="rs_m2_priv")),AND($B$431="obra",$B$432="Gestão da obra",OR($B$434="rs",$B$434="pct_obra")),AND($B$431="obra",$B$432="Contingência",OR($B$434="rs",$B$434="pct_vgv")),AND($B$431="obra",$B$432="Outro",OR($B$434="rs",$B$434="pct_vgv")),AND($B$431="diretos",$B$432="Marketing &amp; Publicidade",OR($B$434="rs",$B$434="pct_vgv",$B$434="pct_recebido")),AND($B$431="diretos",$B$432="Corretagem de vendas",OR($B$434="pct_vgv")),AND($B$431="diretos",$B$432="Projetos",OR($B$434="rs",$B$434="rs_m2_priv",$B$434="pct_constr")),AND($B$431="diretos",$B$432="Licenças e Aprovações",OR($B$434="rs",$B$434="rs_m2_priv")),AND($B$431="diretos",$B$432="Manutenção pós-obra",OR($B$434="rs",$B$434="pct_vgv",$B$434="pct_recebido")),AND($B$431="diretos",$B$432="Outro",OR($B$434="rs",$B$434="pct_vgv",$B$434="pct_recebido")),AND($B$431="indireto",$B$432="Marketing global",OR($B$434="rs",$B$434="pct_vgv",$B$434="pct_recebido")),AND($B$431="indireto",$B$432="Stand de vendas",OR($B$434="rs",$B$434="pct_vgv")),AND($B$431="indireto",$B$432="Gestão",OR($B$434="rs",$B$434="pct_vgv",$B$434="pct_recebido")),AND($B$431="indireto",$B$432="Outro",OR($B$434="rs",$B$434="pct_vgv",$B$434="pct_recebido")),AND($B$431="financeiro",$B$432="Juros de financiamento",OR($B$434="rs",$B$434="pct_vgv")),AND($B$431="financeiro",$B$432="Taxas bancárias",OR($B$434="rs",$B$434="pct_vgv")),AND($B$431="financeiro",$B$432="Estruturação de dívida",OR($B$434="rs",$B$434="pct_vgv")),AND($B$431="financeiro",$B$432="Investidores",OR($B$434="rs",$B$434="pct_vgv")),AND($B$431="financeiro",$B$432="Outro",OR($B$434="rs",$B$434="pct_vgv")))),"⚠ unidade não aceita nesta categoria",IF(AND($B$435&lt;&gt;"",$B$436&lt;&gt;""),"⚠ preencha só uma linha de valor",IF(IF(LEFT($B$434,3)="pct",$B$436="",$B$435=""),"⚠ falta o valor na linha certa","OK")))))</f>
        <v/>
      </c>
      <c r="C932" s="21" t="inlineStr">
        <is>
          <t>alerta</t>
        </is>
      </c>
      <c r="D932" s="22" t="inlineStr">
        <is>
          <t>calculado</t>
        </is>
      </c>
    </row>
    <row r="933">
      <c r="A933" s="19" t="inlineStr">
        <is>
          <t>Custo 10 — conferência</t>
        </is>
      </c>
      <c r="B933" s="24">
        <f>IF(AND($B$442="",$B$443=""),"",IF(OR($B$442="",$B$443="",$B$445=""),"⚠ falta grupo, categoria ou unidade",IF(NOT(OR(AND($B$442="terreno",$B$443="Preço",OR($B$445="rs",$B$445="rs_m2_terreno")),AND($B$442="terreno",$B$443="Registro",OR($B$445="rs",$B$445="rs_m2_priv")),AND($B$442="terreno",$B$443="Outro",OR($B$445="rs",$B$445="pct_vgv")),AND($B$442="obra",$B$443="Construção",OR($B$445="rs",$B$445="rs_m2_priv")),AND($B$442="obra",$B$443="Outorga",OR($B$445="rs",$B$445="pct_vgv")),AND($B$442="obra",$B$443="Decoração",OR($B$445="rs",$B$445="rs_m2_priv")),AND($B$442="obra",$B$443="Gestão da obra",OR($B$445="rs",$B$445="pct_obra")),AND($B$442="obra",$B$443="Contingência",OR($B$445="rs",$B$445="pct_vgv")),AND($B$442="obra",$B$443="Outro",OR($B$445="rs",$B$445="pct_vgv")),AND($B$442="diretos",$B$443="Marketing &amp; Publicidade",OR($B$445="rs",$B$445="pct_vgv",$B$445="pct_recebido")),AND($B$442="diretos",$B$443="Corretagem de vendas",OR($B$445="pct_vgv")),AND($B$442="diretos",$B$443="Projetos",OR($B$445="rs",$B$445="rs_m2_priv",$B$445="pct_constr")),AND($B$442="diretos",$B$443="Licenças e Aprovações",OR($B$445="rs",$B$445="rs_m2_priv")),AND($B$442="diretos",$B$443="Manutenção pós-obra",OR($B$445="rs",$B$445="pct_vgv",$B$445="pct_recebido")),AND($B$442="diretos",$B$443="Outro",OR($B$445="rs",$B$445="pct_vgv",$B$445="pct_recebido")),AND($B$442="indireto",$B$443="Marketing global",OR($B$445="rs",$B$445="pct_vgv",$B$445="pct_recebido")),AND($B$442="indireto",$B$443="Stand de vendas",OR($B$445="rs",$B$445="pct_vgv")),AND($B$442="indireto",$B$443="Gestão",OR($B$445="rs",$B$445="pct_vgv",$B$445="pct_recebido")),AND($B$442="indireto",$B$443="Outro",OR($B$445="rs",$B$445="pct_vgv",$B$445="pct_recebido")),AND($B$442="financeiro",$B$443="Juros de financiamento",OR($B$445="rs",$B$445="pct_vgv")),AND($B$442="financeiro",$B$443="Taxas bancárias",OR($B$445="rs",$B$445="pct_vgv")),AND($B$442="financeiro",$B$443="Estruturação de dívida",OR($B$445="rs",$B$445="pct_vgv")),AND($B$442="financeiro",$B$443="Investidores",OR($B$445="rs",$B$445="pct_vgv")),AND($B$442="financeiro",$B$443="Outro",OR($B$445="rs",$B$445="pct_vgv")))),"⚠ unidade não aceita nesta categoria",IF(AND($B$446&lt;&gt;"",$B$447&lt;&gt;""),"⚠ preencha só uma linha de valor",IF(IF(LEFT($B$445,3)="pct",$B$447="",$B$446=""),"⚠ falta o valor na linha certa","OK")))))</f>
        <v/>
      </c>
      <c r="C933" s="21" t="inlineStr">
        <is>
          <t>alerta</t>
        </is>
      </c>
      <c r="D933" s="22" t="inlineStr">
        <is>
          <t>calculado</t>
        </is>
      </c>
    </row>
    <row r="934">
      <c r="A934" s="19" t="inlineStr">
        <is>
          <t>Custo 11 — conferência</t>
        </is>
      </c>
      <c r="B934" s="24">
        <f>IF(AND($B$453="",$B$454=""),"",IF(OR($B$453="",$B$454="",$B$456=""),"⚠ falta grupo, categoria ou unidade",IF(NOT(OR(AND($B$453="terreno",$B$454="Preço",OR($B$456="rs",$B$456="rs_m2_terreno")),AND($B$453="terreno",$B$454="Registro",OR($B$456="rs",$B$456="rs_m2_priv")),AND($B$453="terreno",$B$454="Outro",OR($B$456="rs",$B$456="pct_vgv")),AND($B$453="obra",$B$454="Construção",OR($B$456="rs",$B$456="rs_m2_priv")),AND($B$453="obra",$B$454="Outorga",OR($B$456="rs",$B$456="pct_vgv")),AND($B$453="obra",$B$454="Decoração",OR($B$456="rs",$B$456="rs_m2_priv")),AND($B$453="obra",$B$454="Gestão da obra",OR($B$456="rs",$B$456="pct_obra")),AND($B$453="obra",$B$454="Contingência",OR($B$456="rs",$B$456="pct_vgv")),AND($B$453="obra",$B$454="Outro",OR($B$456="rs",$B$456="pct_vgv")),AND($B$453="diretos",$B$454="Marketing &amp; Publicidade",OR($B$456="rs",$B$456="pct_vgv",$B$456="pct_recebido")),AND($B$453="diretos",$B$454="Corretagem de vendas",OR($B$456="pct_vgv")),AND($B$453="diretos",$B$454="Projetos",OR($B$456="rs",$B$456="rs_m2_priv",$B$456="pct_constr")),AND($B$453="diretos",$B$454="Licenças e Aprovações",OR($B$456="rs",$B$456="rs_m2_priv")),AND($B$453="diretos",$B$454="Manutenção pós-obra",OR($B$456="rs",$B$456="pct_vgv",$B$456="pct_recebido")),AND($B$453="diretos",$B$454="Outro",OR($B$456="rs",$B$456="pct_vgv",$B$456="pct_recebido")),AND($B$453="indireto",$B$454="Marketing global",OR($B$456="rs",$B$456="pct_vgv",$B$456="pct_recebido")),AND($B$453="indireto",$B$454="Stand de vendas",OR($B$456="rs",$B$456="pct_vgv")),AND($B$453="indireto",$B$454="Gestão",OR($B$456="rs",$B$456="pct_vgv",$B$456="pct_recebido")),AND($B$453="indireto",$B$454="Outro",OR($B$456="rs",$B$456="pct_vgv",$B$456="pct_recebido")),AND($B$453="financeiro",$B$454="Juros de financiamento",OR($B$456="rs",$B$456="pct_vgv")),AND($B$453="financeiro",$B$454="Taxas bancárias",OR($B$456="rs",$B$456="pct_vgv")),AND($B$453="financeiro",$B$454="Estruturação de dívida",OR($B$456="rs",$B$456="pct_vgv")),AND($B$453="financeiro",$B$454="Investidores",OR($B$456="rs",$B$456="pct_vgv")),AND($B$453="financeiro",$B$454="Outro",OR($B$456="rs",$B$456="pct_vgv")))),"⚠ unidade não aceita nesta categoria",IF(AND($B$457&lt;&gt;"",$B$458&lt;&gt;""),"⚠ preencha só uma linha de valor",IF(IF(LEFT($B$456,3)="pct",$B$458="",$B$457=""),"⚠ falta o valor na linha certa","OK")))))</f>
        <v/>
      </c>
      <c r="C934" s="21" t="inlineStr">
        <is>
          <t>alerta</t>
        </is>
      </c>
      <c r="D934" s="22" t="inlineStr">
        <is>
          <t>calculado</t>
        </is>
      </c>
    </row>
    <row r="935">
      <c r="A935" s="19" t="inlineStr">
        <is>
          <t>Custo 12 — conferência</t>
        </is>
      </c>
      <c r="B935" s="24">
        <f>IF(AND($B$464="",$B$465=""),"",IF(OR($B$464="",$B$465="",$B$467=""),"⚠ falta grupo, categoria ou unidade",IF(NOT(OR(AND($B$464="terreno",$B$465="Preço",OR($B$467="rs",$B$467="rs_m2_terreno")),AND($B$464="terreno",$B$465="Registro",OR($B$467="rs",$B$467="rs_m2_priv")),AND($B$464="terreno",$B$465="Outro",OR($B$467="rs",$B$467="pct_vgv")),AND($B$464="obra",$B$465="Construção",OR($B$467="rs",$B$467="rs_m2_priv")),AND($B$464="obra",$B$465="Outorga",OR($B$467="rs",$B$467="pct_vgv")),AND($B$464="obra",$B$465="Decoração",OR($B$467="rs",$B$467="rs_m2_priv")),AND($B$464="obra",$B$465="Gestão da obra",OR($B$467="rs",$B$467="pct_obra")),AND($B$464="obra",$B$465="Contingência",OR($B$467="rs",$B$467="pct_vgv")),AND($B$464="obra",$B$465="Outro",OR($B$467="rs",$B$467="pct_vgv")),AND($B$464="diretos",$B$465="Marketing &amp; Publicidade",OR($B$467="rs",$B$467="pct_vgv",$B$467="pct_recebido")),AND($B$464="diretos",$B$465="Corretagem de vendas",OR($B$467="pct_vgv")),AND($B$464="diretos",$B$465="Projetos",OR($B$467="rs",$B$467="rs_m2_priv",$B$467="pct_constr")),AND($B$464="diretos",$B$465="Licenças e Aprovações",OR($B$467="rs",$B$467="rs_m2_priv")),AND($B$464="diretos",$B$465="Manutenção pós-obra",OR($B$467="rs",$B$467="pct_vgv",$B$467="pct_recebido")),AND($B$464="diretos",$B$465="Outro",OR($B$467="rs",$B$467="pct_vgv",$B$467="pct_recebido")),AND($B$464="indireto",$B$465="Marketing global",OR($B$467="rs",$B$467="pct_vgv",$B$467="pct_recebido")),AND($B$464="indireto",$B$465="Stand de vendas",OR($B$467="rs",$B$467="pct_vgv")),AND($B$464="indireto",$B$465="Gestão",OR($B$467="rs",$B$467="pct_vgv",$B$467="pct_recebido")),AND($B$464="indireto",$B$465="Outro",OR($B$467="rs",$B$467="pct_vgv",$B$467="pct_recebido")),AND($B$464="financeiro",$B$465="Juros de financiamento",OR($B$467="rs",$B$467="pct_vgv")),AND($B$464="financeiro",$B$465="Taxas bancárias",OR($B$467="rs",$B$467="pct_vgv")),AND($B$464="financeiro",$B$465="Estruturação de dívida",OR($B$467="rs",$B$467="pct_vgv")),AND($B$464="financeiro",$B$465="Investidores",OR($B$467="rs",$B$467="pct_vgv")),AND($B$464="financeiro",$B$465="Outro",OR($B$467="rs",$B$467="pct_vgv")))),"⚠ unidade não aceita nesta categoria",IF(AND($B$468&lt;&gt;"",$B$469&lt;&gt;""),"⚠ preencha só uma linha de valor",IF(IF(LEFT($B$467,3)="pct",$B$469="",$B$468=""),"⚠ falta o valor na linha certa","OK")))))</f>
        <v/>
      </c>
      <c r="C935" s="21" t="inlineStr">
        <is>
          <t>alerta</t>
        </is>
      </c>
      <c r="D935" s="22" t="inlineStr">
        <is>
          <t>calculado</t>
        </is>
      </c>
    </row>
    <row r="936">
      <c r="A936" s="19" t="inlineStr">
        <is>
          <t>Custo 13 — conferência</t>
        </is>
      </c>
      <c r="B936" s="24">
        <f>IF(AND($B$475="",$B$476=""),"",IF(OR($B$475="",$B$476="",$B$478=""),"⚠ falta grupo, categoria ou unidade",IF(NOT(OR(AND($B$475="terreno",$B$476="Preço",OR($B$478="rs",$B$478="rs_m2_terreno")),AND($B$475="terreno",$B$476="Registro",OR($B$478="rs",$B$478="rs_m2_priv")),AND($B$475="terreno",$B$476="Outro",OR($B$478="rs",$B$478="pct_vgv")),AND($B$475="obra",$B$476="Construção",OR($B$478="rs",$B$478="rs_m2_priv")),AND($B$475="obra",$B$476="Outorga",OR($B$478="rs",$B$478="pct_vgv")),AND($B$475="obra",$B$476="Decoração",OR($B$478="rs",$B$478="rs_m2_priv")),AND($B$475="obra",$B$476="Gestão da obra",OR($B$478="rs",$B$478="pct_obra")),AND($B$475="obra",$B$476="Contingência",OR($B$478="rs",$B$478="pct_vgv")),AND($B$475="obra",$B$476="Outro",OR($B$478="rs",$B$478="pct_vgv")),AND($B$475="diretos",$B$476="Marketing &amp; Publicidade",OR($B$478="rs",$B$478="pct_vgv",$B$478="pct_recebido")),AND($B$475="diretos",$B$476="Corretagem de vendas",OR($B$478="pct_vgv")),AND($B$475="diretos",$B$476="Projetos",OR($B$478="rs",$B$478="rs_m2_priv",$B$478="pct_constr")),AND($B$475="diretos",$B$476="Licenças e Aprovações",OR($B$478="rs",$B$478="rs_m2_priv")),AND($B$475="diretos",$B$476="Manutenção pós-obra",OR($B$478="rs",$B$478="pct_vgv",$B$478="pct_recebido")),AND($B$475="diretos",$B$476="Outro",OR($B$478="rs",$B$478="pct_vgv",$B$478="pct_recebido")),AND($B$475="indireto",$B$476="Marketing global",OR($B$478="rs",$B$478="pct_vgv",$B$478="pct_recebido")),AND($B$475="indireto",$B$476="Stand de vendas",OR($B$478="rs",$B$478="pct_vgv")),AND($B$475="indireto",$B$476="Gestão",OR($B$478="rs",$B$478="pct_vgv",$B$478="pct_recebido")),AND($B$475="indireto",$B$476="Outro",OR($B$478="rs",$B$478="pct_vgv",$B$478="pct_recebido")),AND($B$475="financeiro",$B$476="Juros de financiamento",OR($B$478="rs",$B$478="pct_vgv")),AND($B$475="financeiro",$B$476="Taxas bancárias",OR($B$478="rs",$B$478="pct_vgv")),AND($B$475="financeiro",$B$476="Estruturação de dívida",OR($B$478="rs",$B$478="pct_vgv")),AND($B$475="financeiro",$B$476="Investidores",OR($B$478="rs",$B$478="pct_vgv")),AND($B$475="financeiro",$B$476="Outro",OR($B$478="rs",$B$478="pct_vgv")))),"⚠ unidade não aceita nesta categoria",IF(AND($B$479&lt;&gt;"",$B$480&lt;&gt;""),"⚠ preencha só uma linha de valor",IF(IF(LEFT($B$478,3)="pct",$B$480="",$B$479=""),"⚠ falta o valor na linha certa","OK")))))</f>
        <v/>
      </c>
      <c r="C936" s="21" t="inlineStr">
        <is>
          <t>alerta</t>
        </is>
      </c>
      <c r="D936" s="22" t="inlineStr">
        <is>
          <t>calculado</t>
        </is>
      </c>
    </row>
    <row r="937">
      <c r="A937" s="19" t="inlineStr">
        <is>
          <t>Custo 14 — conferência</t>
        </is>
      </c>
      <c r="B937" s="24">
        <f>IF(AND($B$486="",$B$487=""),"",IF(OR($B$486="",$B$487="",$B$489=""),"⚠ falta grupo, categoria ou unidade",IF(NOT(OR(AND($B$486="terreno",$B$487="Preço",OR($B$489="rs",$B$489="rs_m2_terreno")),AND($B$486="terreno",$B$487="Registro",OR($B$489="rs",$B$489="rs_m2_priv")),AND($B$486="terreno",$B$487="Outro",OR($B$489="rs",$B$489="pct_vgv")),AND($B$486="obra",$B$487="Construção",OR($B$489="rs",$B$489="rs_m2_priv")),AND($B$486="obra",$B$487="Outorga",OR($B$489="rs",$B$489="pct_vgv")),AND($B$486="obra",$B$487="Decoração",OR($B$489="rs",$B$489="rs_m2_priv")),AND($B$486="obra",$B$487="Gestão da obra",OR($B$489="rs",$B$489="pct_obra")),AND($B$486="obra",$B$487="Contingência",OR($B$489="rs",$B$489="pct_vgv")),AND($B$486="obra",$B$487="Outro",OR($B$489="rs",$B$489="pct_vgv")),AND($B$486="diretos",$B$487="Marketing &amp; Publicidade",OR($B$489="rs",$B$489="pct_vgv",$B$489="pct_recebido")),AND($B$486="diretos",$B$487="Corretagem de vendas",OR($B$489="pct_vgv")),AND($B$486="diretos",$B$487="Projetos",OR($B$489="rs",$B$489="rs_m2_priv",$B$489="pct_constr")),AND($B$486="diretos",$B$487="Licenças e Aprovações",OR($B$489="rs",$B$489="rs_m2_priv")),AND($B$486="diretos",$B$487="Manutenção pós-obra",OR($B$489="rs",$B$489="pct_vgv",$B$489="pct_recebido")),AND($B$486="diretos",$B$487="Outro",OR($B$489="rs",$B$489="pct_vgv",$B$489="pct_recebido")),AND($B$486="indireto",$B$487="Marketing global",OR($B$489="rs",$B$489="pct_vgv",$B$489="pct_recebido")),AND($B$486="indireto",$B$487="Stand de vendas",OR($B$489="rs",$B$489="pct_vgv")),AND($B$486="indireto",$B$487="Gestão",OR($B$489="rs",$B$489="pct_vgv",$B$489="pct_recebido")),AND($B$486="indireto",$B$487="Outro",OR($B$489="rs",$B$489="pct_vgv",$B$489="pct_recebido")),AND($B$486="financeiro",$B$487="Juros de financiamento",OR($B$489="rs",$B$489="pct_vgv")),AND($B$486="financeiro",$B$487="Taxas bancárias",OR($B$489="rs",$B$489="pct_vgv")),AND($B$486="financeiro",$B$487="Estruturação de dívida",OR($B$489="rs",$B$489="pct_vgv")),AND($B$486="financeiro",$B$487="Investidores",OR($B$489="rs",$B$489="pct_vgv")),AND($B$486="financeiro",$B$487="Outro",OR($B$489="rs",$B$489="pct_vgv")))),"⚠ unidade não aceita nesta categoria",IF(AND($B$490&lt;&gt;"",$B$491&lt;&gt;""),"⚠ preencha só uma linha de valor",IF(IF(LEFT($B$489,3)="pct",$B$491="",$B$490=""),"⚠ falta o valor na linha certa","OK")))))</f>
        <v/>
      </c>
      <c r="C937" s="21" t="inlineStr">
        <is>
          <t>alerta</t>
        </is>
      </c>
      <c r="D937" s="22" t="inlineStr">
        <is>
          <t>calculado</t>
        </is>
      </c>
    </row>
    <row r="938">
      <c r="A938" s="19" t="inlineStr">
        <is>
          <t>Custo 15 — conferência</t>
        </is>
      </c>
      <c r="B938" s="24">
        <f>IF(AND($B$497="",$B$498=""),"",IF(OR($B$497="",$B$498="",$B$500=""),"⚠ falta grupo, categoria ou unidade",IF(NOT(OR(AND($B$497="terreno",$B$498="Preço",OR($B$500="rs",$B$500="rs_m2_terreno")),AND($B$497="terreno",$B$498="Registro",OR($B$500="rs",$B$500="rs_m2_priv")),AND($B$497="terreno",$B$498="Outro",OR($B$500="rs",$B$500="pct_vgv")),AND($B$497="obra",$B$498="Construção",OR($B$500="rs",$B$500="rs_m2_priv")),AND($B$497="obra",$B$498="Outorga",OR($B$500="rs",$B$500="pct_vgv")),AND($B$497="obra",$B$498="Decoração",OR($B$500="rs",$B$500="rs_m2_priv")),AND($B$497="obra",$B$498="Gestão da obra",OR($B$500="rs",$B$500="pct_obra")),AND($B$497="obra",$B$498="Contingência",OR($B$500="rs",$B$500="pct_vgv")),AND($B$497="obra",$B$498="Outro",OR($B$500="rs",$B$500="pct_vgv")),AND($B$497="diretos",$B$498="Marketing &amp; Publicidade",OR($B$500="rs",$B$500="pct_vgv",$B$500="pct_recebido")),AND($B$497="diretos",$B$498="Corretagem de vendas",OR($B$500="pct_vgv")),AND($B$497="diretos",$B$498="Projetos",OR($B$500="rs",$B$500="rs_m2_priv",$B$500="pct_constr")),AND($B$497="diretos",$B$498="Licenças e Aprovações",OR($B$500="rs",$B$500="rs_m2_priv")),AND($B$497="diretos",$B$498="Manutenção pós-obra",OR($B$500="rs",$B$500="pct_vgv",$B$500="pct_recebido")),AND($B$497="diretos",$B$498="Outro",OR($B$500="rs",$B$500="pct_vgv",$B$500="pct_recebido")),AND($B$497="indireto",$B$498="Marketing global",OR($B$500="rs",$B$500="pct_vgv",$B$500="pct_recebido")),AND($B$497="indireto",$B$498="Stand de vendas",OR($B$500="rs",$B$500="pct_vgv")),AND($B$497="indireto",$B$498="Gestão",OR($B$500="rs",$B$500="pct_vgv",$B$500="pct_recebido")),AND($B$497="indireto",$B$498="Outro",OR($B$500="rs",$B$500="pct_vgv",$B$500="pct_recebido")),AND($B$497="financeiro",$B$498="Juros de financiamento",OR($B$500="rs",$B$500="pct_vgv")),AND($B$497="financeiro",$B$498="Taxas bancárias",OR($B$500="rs",$B$500="pct_vgv")),AND($B$497="financeiro",$B$498="Estruturação de dívida",OR($B$500="rs",$B$500="pct_vgv")),AND($B$497="financeiro",$B$498="Investidores",OR($B$500="rs",$B$500="pct_vgv")),AND($B$497="financeiro",$B$498="Outro",OR($B$500="rs",$B$500="pct_vgv")))),"⚠ unidade não aceita nesta categoria",IF(AND($B$501&lt;&gt;"",$B$502&lt;&gt;""),"⚠ preencha só uma linha de valor",IF(IF(LEFT($B$500,3)="pct",$B$502="",$B$501=""),"⚠ falta o valor na linha certa","OK")))))</f>
        <v/>
      </c>
      <c r="C938" s="21" t="inlineStr">
        <is>
          <t>alerta</t>
        </is>
      </c>
      <c r="D938" s="22" t="inlineStr">
        <is>
          <t>calculado</t>
        </is>
      </c>
    </row>
    <row r="939">
      <c r="A939" s="19" t="inlineStr">
        <is>
          <t>Custo 16 — conferência</t>
        </is>
      </c>
      <c r="B939" s="24">
        <f>IF(AND($B$508="",$B$509=""),"",IF(OR($B$508="",$B$509="",$B$511=""),"⚠ falta grupo, categoria ou unidade",IF(NOT(OR(AND($B$508="terreno",$B$509="Preço",OR($B$511="rs",$B$511="rs_m2_terreno")),AND($B$508="terreno",$B$509="Registro",OR($B$511="rs",$B$511="rs_m2_priv")),AND($B$508="terreno",$B$509="Outro",OR($B$511="rs",$B$511="pct_vgv")),AND($B$508="obra",$B$509="Construção",OR($B$511="rs",$B$511="rs_m2_priv")),AND($B$508="obra",$B$509="Outorga",OR($B$511="rs",$B$511="pct_vgv")),AND($B$508="obra",$B$509="Decoração",OR($B$511="rs",$B$511="rs_m2_priv")),AND($B$508="obra",$B$509="Gestão da obra",OR($B$511="rs",$B$511="pct_obra")),AND($B$508="obra",$B$509="Contingência",OR($B$511="rs",$B$511="pct_vgv")),AND($B$508="obra",$B$509="Outro",OR($B$511="rs",$B$511="pct_vgv")),AND($B$508="diretos",$B$509="Marketing &amp; Publicidade",OR($B$511="rs",$B$511="pct_vgv",$B$511="pct_recebido")),AND($B$508="diretos",$B$509="Corretagem de vendas",OR($B$511="pct_vgv")),AND($B$508="diretos",$B$509="Projetos",OR($B$511="rs",$B$511="rs_m2_priv",$B$511="pct_constr")),AND($B$508="diretos",$B$509="Licenças e Aprovações",OR($B$511="rs",$B$511="rs_m2_priv")),AND($B$508="diretos",$B$509="Manutenção pós-obra",OR($B$511="rs",$B$511="pct_vgv",$B$511="pct_recebido")),AND($B$508="diretos",$B$509="Outro",OR($B$511="rs",$B$511="pct_vgv",$B$511="pct_recebido")),AND($B$508="indireto",$B$509="Marketing global",OR($B$511="rs",$B$511="pct_vgv",$B$511="pct_recebido")),AND($B$508="indireto",$B$509="Stand de vendas",OR($B$511="rs",$B$511="pct_vgv")),AND($B$508="indireto",$B$509="Gestão",OR($B$511="rs",$B$511="pct_vgv",$B$511="pct_recebido")),AND($B$508="indireto",$B$509="Outro",OR($B$511="rs",$B$511="pct_vgv",$B$511="pct_recebido")),AND($B$508="financeiro",$B$509="Juros de financiamento",OR($B$511="rs",$B$511="pct_vgv")),AND($B$508="financeiro",$B$509="Taxas bancárias",OR($B$511="rs",$B$511="pct_vgv")),AND($B$508="financeiro",$B$509="Estruturação de dívida",OR($B$511="rs",$B$511="pct_vgv")),AND($B$508="financeiro",$B$509="Investidores",OR($B$511="rs",$B$511="pct_vgv")),AND($B$508="financeiro",$B$509="Outro",OR($B$511="rs",$B$511="pct_vgv")))),"⚠ unidade não aceita nesta categoria",IF(AND($B$512&lt;&gt;"",$B$513&lt;&gt;""),"⚠ preencha só uma linha de valor",IF(IF(LEFT($B$511,3)="pct",$B$513="",$B$512=""),"⚠ falta o valor na linha certa","OK")))))</f>
        <v/>
      </c>
      <c r="C939" s="21" t="inlineStr">
        <is>
          <t>alerta</t>
        </is>
      </c>
      <c r="D939" s="22" t="inlineStr">
        <is>
          <t>calculado</t>
        </is>
      </c>
    </row>
    <row r="940">
      <c r="A940" s="19" t="inlineStr">
        <is>
          <t>Custo 17 — conferência</t>
        </is>
      </c>
      <c r="B940" s="24">
        <f>IF(AND($B$519="",$B$520=""),"",IF(OR($B$519="",$B$520="",$B$522=""),"⚠ falta grupo, categoria ou unidade",IF(NOT(OR(AND($B$519="terreno",$B$520="Preço",OR($B$522="rs",$B$522="rs_m2_terreno")),AND($B$519="terreno",$B$520="Registro",OR($B$522="rs",$B$522="rs_m2_priv")),AND($B$519="terreno",$B$520="Outro",OR($B$522="rs",$B$522="pct_vgv")),AND($B$519="obra",$B$520="Construção",OR($B$522="rs",$B$522="rs_m2_priv")),AND($B$519="obra",$B$520="Outorga",OR($B$522="rs",$B$522="pct_vgv")),AND($B$519="obra",$B$520="Decoração",OR($B$522="rs",$B$522="rs_m2_priv")),AND($B$519="obra",$B$520="Gestão da obra",OR($B$522="rs",$B$522="pct_obra")),AND($B$519="obra",$B$520="Contingência",OR($B$522="rs",$B$522="pct_vgv")),AND($B$519="obra",$B$520="Outro",OR($B$522="rs",$B$522="pct_vgv")),AND($B$519="diretos",$B$520="Marketing &amp; Publicidade",OR($B$522="rs",$B$522="pct_vgv",$B$522="pct_recebido")),AND($B$519="diretos",$B$520="Corretagem de vendas",OR($B$522="pct_vgv")),AND($B$519="diretos",$B$520="Projetos",OR($B$522="rs",$B$522="rs_m2_priv",$B$522="pct_constr")),AND($B$519="diretos",$B$520="Licenças e Aprovações",OR($B$522="rs",$B$522="rs_m2_priv")),AND($B$519="diretos",$B$520="Manutenção pós-obra",OR($B$522="rs",$B$522="pct_vgv",$B$522="pct_recebido")),AND($B$519="diretos",$B$520="Outro",OR($B$522="rs",$B$522="pct_vgv",$B$522="pct_recebido")),AND($B$519="indireto",$B$520="Marketing global",OR($B$522="rs",$B$522="pct_vgv",$B$522="pct_recebido")),AND($B$519="indireto",$B$520="Stand de vendas",OR($B$522="rs",$B$522="pct_vgv")),AND($B$519="indireto",$B$520="Gestão",OR($B$522="rs",$B$522="pct_vgv",$B$522="pct_recebido")),AND($B$519="indireto",$B$520="Outro",OR($B$522="rs",$B$522="pct_vgv",$B$522="pct_recebido")),AND($B$519="financeiro",$B$520="Juros de financiamento",OR($B$522="rs",$B$522="pct_vgv")),AND($B$519="financeiro",$B$520="Taxas bancárias",OR($B$522="rs",$B$522="pct_vgv")),AND($B$519="financeiro",$B$520="Estruturação de dívida",OR($B$522="rs",$B$522="pct_vgv")),AND($B$519="financeiro",$B$520="Investidores",OR($B$522="rs",$B$522="pct_vgv")),AND($B$519="financeiro",$B$520="Outro",OR($B$522="rs",$B$522="pct_vgv")))),"⚠ unidade não aceita nesta categoria",IF(AND($B$523&lt;&gt;"",$B$524&lt;&gt;""),"⚠ preencha só uma linha de valor",IF(IF(LEFT($B$522,3)="pct",$B$524="",$B$523=""),"⚠ falta o valor na linha certa","OK")))))</f>
        <v/>
      </c>
      <c r="C940" s="21" t="inlineStr">
        <is>
          <t>alerta</t>
        </is>
      </c>
      <c r="D940" s="22" t="inlineStr">
        <is>
          <t>calculado</t>
        </is>
      </c>
    </row>
    <row r="941">
      <c r="A941" s="19" t="inlineStr">
        <is>
          <t>Custo 18 — conferência</t>
        </is>
      </c>
      <c r="B941" s="24">
        <f>IF(AND($B$530="",$B$531=""),"",IF(OR($B$530="",$B$531="",$B$533=""),"⚠ falta grupo, categoria ou unidade",IF(NOT(OR(AND($B$530="terreno",$B$531="Preço",OR($B$533="rs",$B$533="rs_m2_terreno")),AND($B$530="terreno",$B$531="Registro",OR($B$533="rs",$B$533="rs_m2_priv")),AND($B$530="terreno",$B$531="Outro",OR($B$533="rs",$B$533="pct_vgv")),AND($B$530="obra",$B$531="Construção",OR($B$533="rs",$B$533="rs_m2_priv")),AND($B$530="obra",$B$531="Outorga",OR($B$533="rs",$B$533="pct_vgv")),AND($B$530="obra",$B$531="Decoração",OR($B$533="rs",$B$533="rs_m2_priv")),AND($B$530="obra",$B$531="Gestão da obra",OR($B$533="rs",$B$533="pct_obra")),AND($B$530="obra",$B$531="Contingência",OR($B$533="rs",$B$533="pct_vgv")),AND($B$530="obra",$B$531="Outro",OR($B$533="rs",$B$533="pct_vgv")),AND($B$530="diretos",$B$531="Marketing &amp; Publicidade",OR($B$533="rs",$B$533="pct_vgv",$B$533="pct_recebido")),AND($B$530="diretos",$B$531="Corretagem de vendas",OR($B$533="pct_vgv")),AND($B$530="diretos",$B$531="Projetos",OR($B$533="rs",$B$533="rs_m2_priv",$B$533="pct_constr")),AND($B$530="diretos",$B$531="Licenças e Aprovações",OR($B$533="rs",$B$533="rs_m2_priv")),AND($B$530="diretos",$B$531="Manutenção pós-obra",OR($B$533="rs",$B$533="pct_vgv",$B$533="pct_recebido")),AND($B$530="diretos",$B$531="Outro",OR($B$533="rs",$B$533="pct_vgv",$B$533="pct_recebido")),AND($B$530="indireto",$B$531="Marketing global",OR($B$533="rs",$B$533="pct_vgv",$B$533="pct_recebido")),AND($B$530="indireto",$B$531="Stand de vendas",OR($B$533="rs",$B$533="pct_vgv")),AND($B$530="indireto",$B$531="Gestão",OR($B$533="rs",$B$533="pct_vgv",$B$533="pct_recebido")),AND($B$530="indireto",$B$531="Outro",OR($B$533="rs",$B$533="pct_vgv",$B$533="pct_recebido")),AND($B$530="financeiro",$B$531="Juros de financiamento",OR($B$533="rs",$B$533="pct_vgv")),AND($B$530="financeiro",$B$531="Taxas bancárias",OR($B$533="rs",$B$533="pct_vgv")),AND($B$530="financeiro",$B$531="Estruturação de dívida",OR($B$533="rs",$B$533="pct_vgv")),AND($B$530="financeiro",$B$531="Investidores",OR($B$533="rs",$B$533="pct_vgv")),AND($B$530="financeiro",$B$531="Outro",OR($B$533="rs",$B$533="pct_vgv")))),"⚠ unidade não aceita nesta categoria",IF(AND($B$534&lt;&gt;"",$B$535&lt;&gt;""),"⚠ preencha só uma linha de valor",IF(IF(LEFT($B$533,3)="pct",$B$535="",$B$534=""),"⚠ falta o valor na linha certa","OK")))))</f>
        <v/>
      </c>
      <c r="C941" s="21" t="inlineStr">
        <is>
          <t>alerta</t>
        </is>
      </c>
      <c r="D941" s="22" t="inlineStr">
        <is>
          <t>calculado</t>
        </is>
      </c>
    </row>
    <row r="942">
      <c r="A942" s="19" t="inlineStr">
        <is>
          <t>Custo 19 — conferência</t>
        </is>
      </c>
      <c r="B942" s="24">
        <f>IF(AND($B$541="",$B$542=""),"",IF(OR($B$541="",$B$542="",$B$544=""),"⚠ falta grupo, categoria ou unidade",IF(NOT(OR(AND($B$541="terreno",$B$542="Preço",OR($B$544="rs",$B$544="rs_m2_terreno")),AND($B$541="terreno",$B$542="Registro",OR($B$544="rs",$B$544="rs_m2_priv")),AND($B$541="terreno",$B$542="Outro",OR($B$544="rs",$B$544="pct_vgv")),AND($B$541="obra",$B$542="Construção",OR($B$544="rs",$B$544="rs_m2_priv")),AND($B$541="obra",$B$542="Outorga",OR($B$544="rs",$B$544="pct_vgv")),AND($B$541="obra",$B$542="Decoração",OR($B$544="rs",$B$544="rs_m2_priv")),AND($B$541="obra",$B$542="Gestão da obra",OR($B$544="rs",$B$544="pct_obra")),AND($B$541="obra",$B$542="Contingência",OR($B$544="rs",$B$544="pct_vgv")),AND($B$541="obra",$B$542="Outro",OR($B$544="rs",$B$544="pct_vgv")),AND($B$541="diretos",$B$542="Marketing &amp; Publicidade",OR($B$544="rs",$B$544="pct_vgv",$B$544="pct_recebido")),AND($B$541="diretos",$B$542="Corretagem de vendas",OR($B$544="pct_vgv")),AND($B$541="diretos",$B$542="Projetos",OR($B$544="rs",$B$544="rs_m2_priv",$B$544="pct_constr")),AND($B$541="diretos",$B$542="Licenças e Aprovações",OR($B$544="rs",$B$544="rs_m2_priv")),AND($B$541="diretos",$B$542="Manutenção pós-obra",OR($B$544="rs",$B$544="pct_vgv",$B$544="pct_recebido")),AND($B$541="diretos",$B$542="Outro",OR($B$544="rs",$B$544="pct_vgv",$B$544="pct_recebido")),AND($B$541="indireto",$B$542="Marketing global",OR($B$544="rs",$B$544="pct_vgv",$B$544="pct_recebido")),AND($B$541="indireto",$B$542="Stand de vendas",OR($B$544="rs",$B$544="pct_vgv")),AND($B$541="indireto",$B$542="Gestão",OR($B$544="rs",$B$544="pct_vgv",$B$544="pct_recebido")),AND($B$541="indireto",$B$542="Outro",OR($B$544="rs",$B$544="pct_vgv",$B$544="pct_recebido")),AND($B$541="financeiro",$B$542="Juros de financiamento",OR($B$544="rs",$B$544="pct_vgv")),AND($B$541="financeiro",$B$542="Taxas bancárias",OR($B$544="rs",$B$544="pct_vgv")),AND($B$541="financeiro",$B$542="Estruturação de dívida",OR($B$544="rs",$B$544="pct_vgv")),AND($B$541="financeiro",$B$542="Investidores",OR($B$544="rs",$B$544="pct_vgv")),AND($B$541="financeiro",$B$542="Outro",OR($B$544="rs",$B$544="pct_vgv")))),"⚠ unidade não aceita nesta categoria",IF(AND($B$545&lt;&gt;"",$B$546&lt;&gt;""),"⚠ preencha só uma linha de valor",IF(IF(LEFT($B$544,3)="pct",$B$546="",$B$545=""),"⚠ falta o valor na linha certa","OK")))))</f>
        <v/>
      </c>
      <c r="C942" s="21" t="inlineStr">
        <is>
          <t>alerta</t>
        </is>
      </c>
      <c r="D942" s="22" t="inlineStr">
        <is>
          <t>calculado</t>
        </is>
      </c>
    </row>
    <row r="943">
      <c r="A943" s="19" t="inlineStr">
        <is>
          <t>Custo 20 — conferência</t>
        </is>
      </c>
      <c r="B943" s="24">
        <f>IF(AND($B$552="",$B$553=""),"",IF(OR($B$552="",$B$553="",$B$555=""),"⚠ falta grupo, categoria ou unidade",IF(NOT(OR(AND($B$552="terreno",$B$553="Preço",OR($B$555="rs",$B$555="rs_m2_terreno")),AND($B$552="terreno",$B$553="Registro",OR($B$555="rs",$B$555="rs_m2_priv")),AND($B$552="terreno",$B$553="Outro",OR($B$555="rs",$B$555="pct_vgv")),AND($B$552="obra",$B$553="Construção",OR($B$555="rs",$B$555="rs_m2_priv")),AND($B$552="obra",$B$553="Outorga",OR($B$555="rs",$B$555="pct_vgv")),AND($B$552="obra",$B$553="Decoração",OR($B$555="rs",$B$555="rs_m2_priv")),AND($B$552="obra",$B$553="Gestão da obra",OR($B$555="rs",$B$555="pct_obra")),AND($B$552="obra",$B$553="Contingência",OR($B$555="rs",$B$555="pct_vgv")),AND($B$552="obra",$B$553="Outro",OR($B$555="rs",$B$555="pct_vgv")),AND($B$552="diretos",$B$553="Marketing &amp; Publicidade",OR($B$555="rs",$B$555="pct_vgv",$B$555="pct_recebido")),AND($B$552="diretos",$B$553="Corretagem de vendas",OR($B$555="pct_vgv")),AND($B$552="diretos",$B$553="Projetos",OR($B$555="rs",$B$555="rs_m2_priv",$B$555="pct_constr")),AND($B$552="diretos",$B$553="Licenças e Aprovações",OR($B$555="rs",$B$555="rs_m2_priv")),AND($B$552="diretos",$B$553="Manutenção pós-obra",OR($B$555="rs",$B$555="pct_vgv",$B$555="pct_recebido")),AND($B$552="diretos",$B$553="Outro",OR($B$555="rs",$B$555="pct_vgv",$B$555="pct_recebido")),AND($B$552="indireto",$B$553="Marketing global",OR($B$555="rs",$B$555="pct_vgv",$B$555="pct_recebido")),AND($B$552="indireto",$B$553="Stand de vendas",OR($B$555="rs",$B$555="pct_vgv")),AND($B$552="indireto",$B$553="Gestão",OR($B$555="rs",$B$555="pct_vgv",$B$555="pct_recebido")),AND($B$552="indireto",$B$553="Outro",OR($B$555="rs",$B$555="pct_vgv",$B$555="pct_recebido")),AND($B$552="financeiro",$B$553="Juros de financiamento",OR($B$555="rs",$B$555="pct_vgv")),AND($B$552="financeiro",$B$553="Taxas bancárias",OR($B$555="rs",$B$555="pct_vgv")),AND($B$552="financeiro",$B$553="Estruturação de dívida",OR($B$555="rs",$B$555="pct_vgv")),AND($B$552="financeiro",$B$553="Investidores",OR($B$555="rs",$B$555="pct_vgv")),AND($B$552="financeiro",$B$553="Outro",OR($B$555="rs",$B$555="pct_vgv")))),"⚠ unidade não aceita nesta categoria",IF(AND($B$556&lt;&gt;"",$B$557&lt;&gt;""),"⚠ preencha só uma linha de valor",IF(IF(LEFT($B$555,3)="pct",$B$557="",$B$556=""),"⚠ falta o valor na linha certa","OK")))))</f>
        <v/>
      </c>
      <c r="C943" s="21" t="inlineStr">
        <is>
          <t>alerta</t>
        </is>
      </c>
      <c r="D943" s="22" t="inlineStr">
        <is>
          <t>calculado</t>
        </is>
      </c>
    </row>
    <row r="944">
      <c r="A944" s="19" t="inlineStr">
        <is>
          <t>Custo 21 — conferência</t>
        </is>
      </c>
      <c r="B944" s="24">
        <f>IF(AND($B$563="",$B$564=""),"",IF(OR($B$563="",$B$564="",$B$566=""),"⚠ falta grupo, categoria ou unidade",IF(NOT(OR(AND($B$563="terreno",$B$564="Preço",OR($B$566="rs",$B$566="rs_m2_terreno")),AND($B$563="terreno",$B$564="Registro",OR($B$566="rs",$B$566="rs_m2_priv")),AND($B$563="terreno",$B$564="Outro",OR($B$566="rs",$B$566="pct_vgv")),AND($B$563="obra",$B$564="Construção",OR($B$566="rs",$B$566="rs_m2_priv")),AND($B$563="obra",$B$564="Outorga",OR($B$566="rs",$B$566="pct_vgv")),AND($B$563="obra",$B$564="Decoração",OR($B$566="rs",$B$566="rs_m2_priv")),AND($B$563="obra",$B$564="Gestão da obra",OR($B$566="rs",$B$566="pct_obra")),AND($B$563="obra",$B$564="Contingência",OR($B$566="rs",$B$566="pct_vgv")),AND($B$563="obra",$B$564="Outro",OR($B$566="rs",$B$566="pct_vgv")),AND($B$563="diretos",$B$564="Marketing &amp; Publicidade",OR($B$566="rs",$B$566="pct_vgv",$B$566="pct_recebido")),AND($B$563="diretos",$B$564="Corretagem de vendas",OR($B$566="pct_vgv")),AND($B$563="diretos",$B$564="Projetos",OR($B$566="rs",$B$566="rs_m2_priv",$B$566="pct_constr")),AND($B$563="diretos",$B$564="Licenças e Aprovações",OR($B$566="rs",$B$566="rs_m2_priv")),AND($B$563="diretos",$B$564="Manutenção pós-obra",OR($B$566="rs",$B$566="pct_vgv",$B$566="pct_recebido")),AND($B$563="diretos",$B$564="Outro",OR($B$566="rs",$B$566="pct_vgv",$B$566="pct_recebido")),AND($B$563="indireto",$B$564="Marketing global",OR($B$566="rs",$B$566="pct_vgv",$B$566="pct_recebido")),AND($B$563="indireto",$B$564="Stand de vendas",OR($B$566="rs",$B$566="pct_vgv")),AND($B$563="indireto",$B$564="Gestão",OR($B$566="rs",$B$566="pct_vgv",$B$566="pct_recebido")),AND($B$563="indireto",$B$564="Outro",OR($B$566="rs",$B$566="pct_vgv",$B$566="pct_recebido")),AND($B$563="financeiro",$B$564="Juros de financiamento",OR($B$566="rs",$B$566="pct_vgv")),AND($B$563="financeiro",$B$564="Taxas bancárias",OR($B$566="rs",$B$566="pct_vgv")),AND($B$563="financeiro",$B$564="Estruturação de dívida",OR($B$566="rs",$B$566="pct_vgv")),AND($B$563="financeiro",$B$564="Investidores",OR($B$566="rs",$B$566="pct_vgv")),AND($B$563="financeiro",$B$564="Outro",OR($B$566="rs",$B$566="pct_vgv")))),"⚠ unidade não aceita nesta categoria",IF(AND($B$567&lt;&gt;"",$B$568&lt;&gt;""),"⚠ preencha só uma linha de valor",IF(IF(LEFT($B$566,3)="pct",$B$568="",$B$567=""),"⚠ falta o valor na linha certa","OK")))))</f>
        <v/>
      </c>
      <c r="C944" s="21" t="inlineStr">
        <is>
          <t>alerta</t>
        </is>
      </c>
      <c r="D944" s="22" t="inlineStr">
        <is>
          <t>calculado</t>
        </is>
      </c>
    </row>
    <row r="945">
      <c r="A945" s="19" t="inlineStr">
        <is>
          <t>Custo 22 — conferência</t>
        </is>
      </c>
      <c r="B945" s="24">
        <f>IF(AND($B$574="",$B$575=""),"",IF(OR($B$574="",$B$575="",$B$577=""),"⚠ falta grupo, categoria ou unidade",IF(NOT(OR(AND($B$574="terreno",$B$575="Preço",OR($B$577="rs",$B$577="rs_m2_terreno")),AND($B$574="terreno",$B$575="Registro",OR($B$577="rs",$B$577="rs_m2_priv")),AND($B$574="terreno",$B$575="Outro",OR($B$577="rs",$B$577="pct_vgv")),AND($B$574="obra",$B$575="Construção",OR($B$577="rs",$B$577="rs_m2_priv")),AND($B$574="obra",$B$575="Outorga",OR($B$577="rs",$B$577="pct_vgv")),AND($B$574="obra",$B$575="Decoração",OR($B$577="rs",$B$577="rs_m2_priv")),AND($B$574="obra",$B$575="Gestão da obra",OR($B$577="rs",$B$577="pct_obra")),AND($B$574="obra",$B$575="Contingência",OR($B$577="rs",$B$577="pct_vgv")),AND($B$574="obra",$B$575="Outro",OR($B$577="rs",$B$577="pct_vgv")),AND($B$574="diretos",$B$575="Marketing &amp; Publicidade",OR($B$577="rs",$B$577="pct_vgv",$B$577="pct_recebido")),AND($B$574="diretos",$B$575="Corretagem de vendas",OR($B$577="pct_vgv")),AND($B$574="diretos",$B$575="Projetos",OR($B$577="rs",$B$577="rs_m2_priv",$B$577="pct_constr")),AND($B$574="diretos",$B$575="Licenças e Aprovações",OR($B$577="rs",$B$577="rs_m2_priv")),AND($B$574="diretos",$B$575="Manutenção pós-obra",OR($B$577="rs",$B$577="pct_vgv",$B$577="pct_recebido")),AND($B$574="diretos",$B$575="Outro",OR($B$577="rs",$B$577="pct_vgv",$B$577="pct_recebido")),AND($B$574="indireto",$B$575="Marketing global",OR($B$577="rs",$B$577="pct_vgv",$B$577="pct_recebido")),AND($B$574="indireto",$B$575="Stand de vendas",OR($B$577="rs",$B$577="pct_vgv")),AND($B$574="indireto",$B$575="Gestão",OR($B$577="rs",$B$577="pct_vgv",$B$577="pct_recebido")),AND($B$574="indireto",$B$575="Outro",OR($B$577="rs",$B$577="pct_vgv",$B$577="pct_recebido")),AND($B$574="financeiro",$B$575="Juros de financiamento",OR($B$577="rs",$B$577="pct_vgv")),AND($B$574="financeiro",$B$575="Taxas bancárias",OR($B$577="rs",$B$577="pct_vgv")),AND($B$574="financeiro",$B$575="Estruturação de dívida",OR($B$577="rs",$B$577="pct_vgv")),AND($B$574="financeiro",$B$575="Investidores",OR($B$577="rs",$B$577="pct_vgv")),AND($B$574="financeiro",$B$575="Outro",OR($B$577="rs",$B$577="pct_vgv")))),"⚠ unidade não aceita nesta categoria",IF(AND($B$578&lt;&gt;"",$B$579&lt;&gt;""),"⚠ preencha só uma linha de valor",IF(IF(LEFT($B$577,3)="pct",$B$579="",$B$578=""),"⚠ falta o valor na linha certa","OK")))))</f>
        <v/>
      </c>
      <c r="C945" s="21" t="inlineStr">
        <is>
          <t>alerta</t>
        </is>
      </c>
      <c r="D945" s="22" t="inlineStr">
        <is>
          <t>calculado</t>
        </is>
      </c>
    </row>
    <row r="946">
      <c r="A946" s="19" t="inlineStr">
        <is>
          <t>Custo 23 — conferência</t>
        </is>
      </c>
      <c r="B946" s="24">
        <f>IF(AND($B$585="",$B$586=""),"",IF(OR($B$585="",$B$586="",$B$588=""),"⚠ falta grupo, categoria ou unidade",IF(NOT(OR(AND($B$585="terreno",$B$586="Preço",OR($B$588="rs",$B$588="rs_m2_terreno")),AND($B$585="terreno",$B$586="Registro",OR($B$588="rs",$B$588="rs_m2_priv")),AND($B$585="terreno",$B$586="Outro",OR($B$588="rs",$B$588="pct_vgv")),AND($B$585="obra",$B$586="Construção",OR($B$588="rs",$B$588="rs_m2_priv")),AND($B$585="obra",$B$586="Outorga",OR($B$588="rs",$B$588="pct_vgv")),AND($B$585="obra",$B$586="Decoração",OR($B$588="rs",$B$588="rs_m2_priv")),AND($B$585="obra",$B$586="Gestão da obra",OR($B$588="rs",$B$588="pct_obra")),AND($B$585="obra",$B$586="Contingência",OR($B$588="rs",$B$588="pct_vgv")),AND($B$585="obra",$B$586="Outro",OR($B$588="rs",$B$588="pct_vgv")),AND($B$585="diretos",$B$586="Marketing &amp; Publicidade",OR($B$588="rs",$B$588="pct_vgv",$B$588="pct_recebido")),AND($B$585="diretos",$B$586="Corretagem de vendas",OR($B$588="pct_vgv")),AND($B$585="diretos",$B$586="Projetos",OR($B$588="rs",$B$588="rs_m2_priv",$B$588="pct_constr")),AND($B$585="diretos",$B$586="Licenças e Aprovações",OR($B$588="rs",$B$588="rs_m2_priv")),AND($B$585="diretos",$B$586="Manutenção pós-obra",OR($B$588="rs",$B$588="pct_vgv",$B$588="pct_recebido")),AND($B$585="diretos",$B$586="Outro",OR($B$588="rs",$B$588="pct_vgv",$B$588="pct_recebido")),AND($B$585="indireto",$B$586="Marketing global",OR($B$588="rs",$B$588="pct_vgv",$B$588="pct_recebido")),AND($B$585="indireto",$B$586="Stand de vendas",OR($B$588="rs",$B$588="pct_vgv")),AND($B$585="indireto",$B$586="Gestão",OR($B$588="rs",$B$588="pct_vgv",$B$588="pct_recebido")),AND($B$585="indireto",$B$586="Outro",OR($B$588="rs",$B$588="pct_vgv",$B$588="pct_recebido")),AND($B$585="financeiro",$B$586="Juros de financiamento",OR($B$588="rs",$B$588="pct_vgv")),AND($B$585="financeiro",$B$586="Taxas bancárias",OR($B$588="rs",$B$588="pct_vgv")),AND($B$585="financeiro",$B$586="Estruturação de dívida",OR($B$588="rs",$B$588="pct_vgv")),AND($B$585="financeiro",$B$586="Investidores",OR($B$588="rs",$B$588="pct_vgv")),AND($B$585="financeiro",$B$586="Outro",OR($B$588="rs",$B$588="pct_vgv")))),"⚠ unidade não aceita nesta categoria",IF(AND($B$589&lt;&gt;"",$B$590&lt;&gt;""),"⚠ preencha só uma linha de valor",IF(IF(LEFT($B$588,3)="pct",$B$590="",$B$589=""),"⚠ falta o valor na linha certa","OK")))))</f>
        <v/>
      </c>
      <c r="C946" s="21" t="inlineStr">
        <is>
          <t>alerta</t>
        </is>
      </c>
      <c r="D946" s="22" t="inlineStr">
        <is>
          <t>calculado</t>
        </is>
      </c>
    </row>
    <row r="947">
      <c r="A947" s="19" t="inlineStr">
        <is>
          <t>Custo 24 — conferência</t>
        </is>
      </c>
      <c r="B947" s="24">
        <f>IF(AND($B$596="",$B$597=""),"",IF(OR($B$596="",$B$597="",$B$599=""),"⚠ falta grupo, categoria ou unidade",IF(NOT(OR(AND($B$596="terreno",$B$597="Preço",OR($B$599="rs",$B$599="rs_m2_terreno")),AND($B$596="terreno",$B$597="Registro",OR($B$599="rs",$B$599="rs_m2_priv")),AND($B$596="terreno",$B$597="Outro",OR($B$599="rs",$B$599="pct_vgv")),AND($B$596="obra",$B$597="Construção",OR($B$599="rs",$B$599="rs_m2_priv")),AND($B$596="obra",$B$597="Outorga",OR($B$599="rs",$B$599="pct_vgv")),AND($B$596="obra",$B$597="Decoração",OR($B$599="rs",$B$599="rs_m2_priv")),AND($B$596="obra",$B$597="Gestão da obra",OR($B$599="rs",$B$599="pct_obra")),AND($B$596="obra",$B$597="Contingência",OR($B$599="rs",$B$599="pct_vgv")),AND($B$596="obra",$B$597="Outro",OR($B$599="rs",$B$599="pct_vgv")),AND($B$596="diretos",$B$597="Marketing &amp; Publicidade",OR($B$599="rs",$B$599="pct_vgv",$B$599="pct_recebido")),AND($B$596="diretos",$B$597="Corretagem de vendas",OR($B$599="pct_vgv")),AND($B$596="diretos",$B$597="Projetos",OR($B$599="rs",$B$599="rs_m2_priv",$B$599="pct_constr")),AND($B$596="diretos",$B$597="Licenças e Aprovações",OR($B$599="rs",$B$599="rs_m2_priv")),AND($B$596="diretos",$B$597="Manutenção pós-obra",OR($B$599="rs",$B$599="pct_vgv",$B$599="pct_recebido")),AND($B$596="diretos",$B$597="Outro",OR($B$599="rs",$B$599="pct_vgv",$B$599="pct_recebido")),AND($B$596="indireto",$B$597="Marketing global",OR($B$599="rs",$B$599="pct_vgv",$B$599="pct_recebido")),AND($B$596="indireto",$B$597="Stand de vendas",OR($B$599="rs",$B$599="pct_vgv")),AND($B$596="indireto",$B$597="Gestão",OR($B$599="rs",$B$599="pct_vgv",$B$599="pct_recebido")),AND($B$596="indireto",$B$597="Outro",OR($B$599="rs",$B$599="pct_vgv",$B$599="pct_recebido")),AND($B$596="financeiro",$B$597="Juros de financiamento",OR($B$599="rs",$B$599="pct_vgv")),AND($B$596="financeiro",$B$597="Taxas bancárias",OR($B$599="rs",$B$599="pct_vgv")),AND($B$596="financeiro",$B$597="Estruturação de dívida",OR($B$599="rs",$B$599="pct_vgv")),AND($B$596="financeiro",$B$597="Investidores",OR($B$599="rs",$B$599="pct_vgv")),AND($B$596="financeiro",$B$597="Outro",OR($B$599="rs",$B$599="pct_vgv")))),"⚠ unidade não aceita nesta categoria",IF(AND($B$600&lt;&gt;"",$B$601&lt;&gt;""),"⚠ preencha só uma linha de valor",IF(IF(LEFT($B$599,3)="pct",$B$601="",$B$600=""),"⚠ falta o valor na linha certa","OK")))))</f>
        <v/>
      </c>
      <c r="C947" s="21" t="inlineStr">
        <is>
          <t>alerta</t>
        </is>
      </c>
      <c r="D947" s="22" t="inlineStr">
        <is>
          <t>calculado</t>
        </is>
      </c>
    </row>
    <row r="948">
      <c r="A948" s="19" t="inlineStr">
        <is>
          <t>Custo 25 — conferência</t>
        </is>
      </c>
      <c r="B948" s="24">
        <f>IF(AND($B$607="",$B$608=""),"",IF(OR($B$607="",$B$608="",$B$610=""),"⚠ falta grupo, categoria ou unidade",IF(NOT(OR(AND($B$607="terreno",$B$608="Preço",OR($B$610="rs",$B$610="rs_m2_terreno")),AND($B$607="terreno",$B$608="Registro",OR($B$610="rs",$B$610="rs_m2_priv")),AND($B$607="terreno",$B$608="Outro",OR($B$610="rs",$B$610="pct_vgv")),AND($B$607="obra",$B$608="Construção",OR($B$610="rs",$B$610="rs_m2_priv")),AND($B$607="obra",$B$608="Outorga",OR($B$610="rs",$B$610="pct_vgv")),AND($B$607="obra",$B$608="Decoração",OR($B$610="rs",$B$610="rs_m2_priv")),AND($B$607="obra",$B$608="Gestão da obra",OR($B$610="rs",$B$610="pct_obra")),AND($B$607="obra",$B$608="Contingência",OR($B$610="rs",$B$610="pct_vgv")),AND($B$607="obra",$B$608="Outro",OR($B$610="rs",$B$610="pct_vgv")),AND($B$607="diretos",$B$608="Marketing &amp; Publicidade",OR($B$610="rs",$B$610="pct_vgv",$B$610="pct_recebido")),AND($B$607="diretos",$B$608="Corretagem de vendas",OR($B$610="pct_vgv")),AND($B$607="diretos",$B$608="Projetos",OR($B$610="rs",$B$610="rs_m2_priv",$B$610="pct_constr")),AND($B$607="diretos",$B$608="Licenças e Aprovações",OR($B$610="rs",$B$610="rs_m2_priv")),AND($B$607="diretos",$B$608="Manutenção pós-obra",OR($B$610="rs",$B$610="pct_vgv",$B$610="pct_recebido")),AND($B$607="diretos",$B$608="Outro",OR($B$610="rs",$B$610="pct_vgv",$B$610="pct_recebido")),AND($B$607="indireto",$B$608="Marketing global",OR($B$610="rs",$B$610="pct_vgv",$B$610="pct_recebido")),AND($B$607="indireto",$B$608="Stand de vendas",OR($B$610="rs",$B$610="pct_vgv")),AND($B$607="indireto",$B$608="Gestão",OR($B$610="rs",$B$610="pct_vgv",$B$610="pct_recebido")),AND($B$607="indireto",$B$608="Outro",OR($B$610="rs",$B$610="pct_vgv",$B$610="pct_recebido")),AND($B$607="financeiro",$B$608="Juros de financiamento",OR($B$610="rs",$B$610="pct_vgv")),AND($B$607="financeiro",$B$608="Taxas bancárias",OR($B$610="rs",$B$610="pct_vgv")),AND($B$607="financeiro",$B$608="Estruturação de dívida",OR($B$610="rs",$B$610="pct_vgv")),AND($B$607="financeiro",$B$608="Investidores",OR($B$610="rs",$B$610="pct_vgv")),AND($B$607="financeiro",$B$608="Outro",OR($B$610="rs",$B$610="pct_vgv")))),"⚠ unidade não aceita nesta categoria",IF(AND($B$611&lt;&gt;"",$B$612&lt;&gt;""),"⚠ preencha só uma linha de valor",IF(IF(LEFT($B$610,3)="pct",$B$612="",$B$611=""),"⚠ falta o valor na linha certa","OK")))))</f>
        <v/>
      </c>
      <c r="C948" s="21" t="inlineStr">
        <is>
          <t>alerta</t>
        </is>
      </c>
      <c r="D948" s="22" t="inlineStr">
        <is>
          <t>calculado</t>
        </is>
      </c>
    </row>
    <row r="949">
      <c r="A949" s="19" t="inlineStr">
        <is>
          <t>Custo 26 — conferência</t>
        </is>
      </c>
      <c r="B949" s="24">
        <f>IF(AND($B$618="",$B$619=""),"",IF(OR($B$618="",$B$619="",$B$621=""),"⚠ falta grupo, categoria ou unidade",IF(NOT(OR(AND($B$618="terreno",$B$619="Preço",OR($B$621="rs",$B$621="rs_m2_terreno")),AND($B$618="terreno",$B$619="Registro",OR($B$621="rs",$B$621="rs_m2_priv")),AND($B$618="terreno",$B$619="Outro",OR($B$621="rs",$B$621="pct_vgv")),AND($B$618="obra",$B$619="Construção",OR($B$621="rs",$B$621="rs_m2_priv")),AND($B$618="obra",$B$619="Outorga",OR($B$621="rs",$B$621="pct_vgv")),AND($B$618="obra",$B$619="Decoração",OR($B$621="rs",$B$621="rs_m2_priv")),AND($B$618="obra",$B$619="Gestão da obra",OR($B$621="rs",$B$621="pct_obra")),AND($B$618="obra",$B$619="Contingência",OR($B$621="rs",$B$621="pct_vgv")),AND($B$618="obra",$B$619="Outro",OR($B$621="rs",$B$621="pct_vgv")),AND($B$618="diretos",$B$619="Marketing &amp; Publicidade",OR($B$621="rs",$B$621="pct_vgv",$B$621="pct_recebido")),AND($B$618="diretos",$B$619="Corretagem de vendas",OR($B$621="pct_vgv")),AND($B$618="diretos",$B$619="Projetos",OR($B$621="rs",$B$621="rs_m2_priv",$B$621="pct_constr")),AND($B$618="diretos",$B$619="Licenças e Aprovações",OR($B$621="rs",$B$621="rs_m2_priv")),AND($B$618="diretos",$B$619="Manutenção pós-obra",OR($B$621="rs",$B$621="pct_vgv",$B$621="pct_recebido")),AND($B$618="diretos",$B$619="Outro",OR($B$621="rs",$B$621="pct_vgv",$B$621="pct_recebido")),AND($B$618="indireto",$B$619="Marketing global",OR($B$621="rs",$B$621="pct_vgv",$B$621="pct_recebido")),AND($B$618="indireto",$B$619="Stand de vendas",OR($B$621="rs",$B$621="pct_vgv")),AND($B$618="indireto",$B$619="Gestão",OR($B$621="rs",$B$621="pct_vgv",$B$621="pct_recebido")),AND($B$618="indireto",$B$619="Outro",OR($B$621="rs",$B$621="pct_vgv",$B$621="pct_recebido")),AND($B$618="financeiro",$B$619="Juros de financiamento",OR($B$621="rs",$B$621="pct_vgv")),AND($B$618="financeiro",$B$619="Taxas bancárias",OR($B$621="rs",$B$621="pct_vgv")),AND($B$618="financeiro",$B$619="Estruturação de dívida",OR($B$621="rs",$B$621="pct_vgv")),AND($B$618="financeiro",$B$619="Investidores",OR($B$621="rs",$B$621="pct_vgv")),AND($B$618="financeiro",$B$619="Outro",OR($B$621="rs",$B$621="pct_vgv")))),"⚠ unidade não aceita nesta categoria",IF(AND($B$622&lt;&gt;"",$B$623&lt;&gt;""),"⚠ preencha só uma linha de valor",IF(IF(LEFT($B$621,3)="pct",$B$623="",$B$622=""),"⚠ falta o valor na linha certa","OK")))))</f>
        <v/>
      </c>
      <c r="C949" s="21" t="inlineStr">
        <is>
          <t>alerta</t>
        </is>
      </c>
      <c r="D949" s="22" t="inlineStr">
        <is>
          <t>calculado</t>
        </is>
      </c>
    </row>
    <row r="950">
      <c r="A950" s="19" t="inlineStr">
        <is>
          <t>Custo 27 — conferência</t>
        </is>
      </c>
      <c r="B950" s="24">
        <f>IF(AND($B$629="",$B$630=""),"",IF(OR($B$629="",$B$630="",$B$632=""),"⚠ falta grupo, categoria ou unidade",IF(NOT(OR(AND($B$629="terreno",$B$630="Preço",OR($B$632="rs",$B$632="rs_m2_terreno")),AND($B$629="terreno",$B$630="Registro",OR($B$632="rs",$B$632="rs_m2_priv")),AND($B$629="terreno",$B$630="Outro",OR($B$632="rs",$B$632="pct_vgv")),AND($B$629="obra",$B$630="Construção",OR($B$632="rs",$B$632="rs_m2_priv")),AND($B$629="obra",$B$630="Outorga",OR($B$632="rs",$B$632="pct_vgv")),AND($B$629="obra",$B$630="Decoração",OR($B$632="rs",$B$632="rs_m2_priv")),AND($B$629="obra",$B$630="Gestão da obra",OR($B$632="rs",$B$632="pct_obra")),AND($B$629="obra",$B$630="Contingência",OR($B$632="rs",$B$632="pct_vgv")),AND($B$629="obra",$B$630="Outro",OR($B$632="rs",$B$632="pct_vgv")),AND($B$629="diretos",$B$630="Marketing &amp; Publicidade",OR($B$632="rs",$B$632="pct_vgv",$B$632="pct_recebido")),AND($B$629="diretos",$B$630="Corretagem de vendas",OR($B$632="pct_vgv")),AND($B$629="diretos",$B$630="Projetos",OR($B$632="rs",$B$632="rs_m2_priv",$B$632="pct_constr")),AND($B$629="diretos",$B$630="Licenças e Aprovações",OR($B$632="rs",$B$632="rs_m2_priv")),AND($B$629="diretos",$B$630="Manutenção pós-obra",OR($B$632="rs",$B$632="pct_vgv",$B$632="pct_recebido")),AND($B$629="diretos",$B$630="Outro",OR($B$632="rs",$B$632="pct_vgv",$B$632="pct_recebido")),AND($B$629="indireto",$B$630="Marketing global",OR($B$632="rs",$B$632="pct_vgv",$B$632="pct_recebido")),AND($B$629="indireto",$B$630="Stand de vendas",OR($B$632="rs",$B$632="pct_vgv")),AND($B$629="indireto",$B$630="Gestão",OR($B$632="rs",$B$632="pct_vgv",$B$632="pct_recebido")),AND($B$629="indireto",$B$630="Outro",OR($B$632="rs",$B$632="pct_vgv",$B$632="pct_recebido")),AND($B$629="financeiro",$B$630="Juros de financiamento",OR($B$632="rs",$B$632="pct_vgv")),AND($B$629="financeiro",$B$630="Taxas bancárias",OR($B$632="rs",$B$632="pct_vgv")),AND($B$629="financeiro",$B$630="Estruturação de dívida",OR($B$632="rs",$B$632="pct_vgv")),AND($B$629="financeiro",$B$630="Investidores",OR($B$632="rs",$B$632="pct_vgv")),AND($B$629="financeiro",$B$630="Outro",OR($B$632="rs",$B$632="pct_vgv")))),"⚠ unidade não aceita nesta categoria",IF(AND($B$633&lt;&gt;"",$B$634&lt;&gt;""),"⚠ preencha só uma linha de valor",IF(IF(LEFT($B$632,3)="pct",$B$634="",$B$633=""),"⚠ falta o valor na linha certa","OK")))))</f>
        <v/>
      </c>
      <c r="C950" s="21" t="inlineStr">
        <is>
          <t>alerta</t>
        </is>
      </c>
      <c r="D950" s="22" t="inlineStr">
        <is>
          <t>calculado</t>
        </is>
      </c>
    </row>
    <row r="951">
      <c r="A951" s="19" t="inlineStr">
        <is>
          <t>Custo 28 — conferência</t>
        </is>
      </c>
      <c r="B951" s="24">
        <f>IF(AND($B$640="",$B$641=""),"",IF(OR($B$640="",$B$641="",$B$643=""),"⚠ falta grupo, categoria ou unidade",IF(NOT(OR(AND($B$640="terreno",$B$641="Preço",OR($B$643="rs",$B$643="rs_m2_terreno")),AND($B$640="terreno",$B$641="Registro",OR($B$643="rs",$B$643="rs_m2_priv")),AND($B$640="terreno",$B$641="Outro",OR($B$643="rs",$B$643="pct_vgv")),AND($B$640="obra",$B$641="Construção",OR($B$643="rs",$B$643="rs_m2_priv")),AND($B$640="obra",$B$641="Outorga",OR($B$643="rs",$B$643="pct_vgv")),AND($B$640="obra",$B$641="Decoração",OR($B$643="rs",$B$643="rs_m2_priv")),AND($B$640="obra",$B$641="Gestão da obra",OR($B$643="rs",$B$643="pct_obra")),AND($B$640="obra",$B$641="Contingência",OR($B$643="rs",$B$643="pct_vgv")),AND($B$640="obra",$B$641="Outro",OR($B$643="rs",$B$643="pct_vgv")),AND($B$640="diretos",$B$641="Marketing &amp; Publicidade",OR($B$643="rs",$B$643="pct_vgv",$B$643="pct_recebido")),AND($B$640="diretos",$B$641="Corretagem de vendas",OR($B$643="pct_vgv")),AND($B$640="diretos",$B$641="Projetos",OR($B$643="rs",$B$643="rs_m2_priv",$B$643="pct_constr")),AND($B$640="diretos",$B$641="Licenças e Aprovações",OR($B$643="rs",$B$643="rs_m2_priv")),AND($B$640="diretos",$B$641="Manutenção pós-obra",OR($B$643="rs",$B$643="pct_vgv",$B$643="pct_recebido")),AND($B$640="diretos",$B$641="Outro",OR($B$643="rs",$B$643="pct_vgv",$B$643="pct_recebido")),AND($B$640="indireto",$B$641="Marketing global",OR($B$643="rs",$B$643="pct_vgv",$B$643="pct_recebido")),AND($B$640="indireto",$B$641="Stand de vendas",OR($B$643="rs",$B$643="pct_vgv")),AND($B$640="indireto",$B$641="Gestão",OR($B$643="rs",$B$643="pct_vgv",$B$643="pct_recebido")),AND($B$640="indireto",$B$641="Outro",OR($B$643="rs",$B$643="pct_vgv",$B$643="pct_recebido")),AND($B$640="financeiro",$B$641="Juros de financiamento",OR($B$643="rs",$B$643="pct_vgv")),AND($B$640="financeiro",$B$641="Taxas bancárias",OR($B$643="rs",$B$643="pct_vgv")),AND($B$640="financeiro",$B$641="Estruturação de dívida",OR($B$643="rs",$B$643="pct_vgv")),AND($B$640="financeiro",$B$641="Investidores",OR($B$643="rs",$B$643="pct_vgv")),AND($B$640="financeiro",$B$641="Outro",OR($B$643="rs",$B$643="pct_vgv")))),"⚠ unidade não aceita nesta categoria",IF(AND($B$644&lt;&gt;"",$B$645&lt;&gt;""),"⚠ preencha só uma linha de valor",IF(IF(LEFT($B$643,3)="pct",$B$645="",$B$644=""),"⚠ falta o valor na linha certa","OK")))))</f>
        <v/>
      </c>
      <c r="C951" s="21" t="inlineStr">
        <is>
          <t>alerta</t>
        </is>
      </c>
      <c r="D951" s="22" t="inlineStr">
        <is>
          <t>calculado</t>
        </is>
      </c>
    </row>
    <row r="952">
      <c r="A952" s="19" t="inlineStr">
        <is>
          <t>Cada 1% do VGV de tabela equivale a (para converter Projetos, que não aceita % do VGV)</t>
        </is>
      </c>
      <c r="B952" s="25">
        <f>$B$832*0.01</f>
        <v/>
      </c>
      <c r="C952" s="21" t="inlineStr">
        <is>
          <t>R$</t>
        </is>
      </c>
      <c r="D952" s="22" t="inlineStr">
        <is>
          <t>calculado</t>
        </is>
      </c>
    </row>
    <row r="953">
      <c r="A953" s="19" t="inlineStr">
        <is>
          <t>Σ custos conversíveis — terreno</t>
        </is>
      </c>
      <c r="B953" s="25">
        <f>IF($B$343="terreno",N($B$896),0)+IF($B$354="terreno",N($B$897),0)+IF($B$365="terreno",N($B$898),0)+IF($B$376="terreno",N($B$899),0)+IF($B$387="terreno",N($B$900),0)+IF($B$398="terreno",N($B$901),0)+IF($B$409="terreno",N($B$902),0)+IF($B$420="terreno",N($B$903),0)+IF($B$431="terreno",N($B$904),0)+IF($B$442="terreno",N($B$905),0)+IF($B$453="terreno",N($B$906),0)+IF($B$464="terreno",N($B$907),0)+IF($B$475="terreno",N($B$908),0)+IF($B$486="terreno",N($B$909),0)+IF($B$497="terreno",N($B$910),0)+IF($B$508="terreno",N($B$911),0)+IF($B$519="terreno",N($B$912),0)+IF($B$530="terreno",N($B$913),0)+IF($B$541="terreno",N($B$914),0)+IF($B$552="terreno",N($B$915),0)+IF($B$563="terreno",N($B$916),0)+IF($B$574="terreno",N($B$917),0)+IF($B$585="terreno",N($B$918),0)+IF($B$596="terreno",N($B$919),0)+IF($B$607="terreno",N($B$920),0)+IF($B$618="terreno",N($B$921),0)+IF($B$629="terreno",N($B$922),0)+IF($B$640="terreno",N($B$923),0)</f>
        <v/>
      </c>
      <c r="C953" s="21" t="inlineStr">
        <is>
          <t>R$</t>
        </is>
      </c>
      <c r="D953" s="22" t="inlineStr">
        <is>
          <t>calculado</t>
        </is>
      </c>
    </row>
    <row r="954">
      <c r="A954" s="19" t="inlineStr">
        <is>
          <t>Σ custos conversíveis — obra</t>
        </is>
      </c>
      <c r="B954" s="25">
        <f>IF($B$343="obra",N($B$896),0)+IF($B$354="obra",N($B$897),0)+IF($B$365="obra",N($B$898),0)+IF($B$376="obra",N($B$899),0)+IF($B$387="obra",N($B$900),0)+IF($B$398="obra",N($B$901),0)+IF($B$409="obra",N($B$902),0)+IF($B$420="obra",N($B$903),0)+IF($B$431="obra",N($B$904),0)+IF($B$442="obra",N($B$905),0)+IF($B$453="obra",N($B$906),0)+IF($B$464="obra",N($B$907),0)+IF($B$475="obra",N($B$908),0)+IF($B$486="obra",N($B$909),0)+IF($B$497="obra",N($B$910),0)+IF($B$508="obra",N($B$911),0)+IF($B$519="obra",N($B$912),0)+IF($B$530="obra",N($B$913),0)+IF($B$541="obra",N($B$914),0)+IF($B$552="obra",N($B$915),0)+IF($B$563="obra",N($B$916),0)+IF($B$574="obra",N($B$917),0)+IF($B$585="obra",N($B$918),0)+IF($B$596="obra",N($B$919),0)+IF($B$607="obra",N($B$920),0)+IF($B$618="obra",N($B$921),0)+IF($B$629="obra",N($B$922),0)+IF($B$640="obra",N($B$923),0)</f>
        <v/>
      </c>
      <c r="C954" s="21" t="inlineStr">
        <is>
          <t>R$</t>
        </is>
      </c>
      <c r="D954" s="22" t="inlineStr">
        <is>
          <t>calculado</t>
        </is>
      </c>
    </row>
    <row r="955">
      <c r="A955" s="19" t="inlineStr">
        <is>
          <t>Σ custos conversíveis — diretos</t>
        </is>
      </c>
      <c r="B955" s="25">
        <f>IF($B$343="diretos",N($B$896),0)+IF($B$354="diretos",N($B$897),0)+IF($B$365="diretos",N($B$898),0)+IF($B$376="diretos",N($B$899),0)+IF($B$387="diretos",N($B$900),0)+IF($B$398="diretos",N($B$901),0)+IF($B$409="diretos",N($B$902),0)+IF($B$420="diretos",N($B$903),0)+IF($B$431="diretos",N($B$904),0)+IF($B$442="diretos",N($B$905),0)+IF($B$453="diretos",N($B$906),0)+IF($B$464="diretos",N($B$907),0)+IF($B$475="diretos",N($B$908),0)+IF($B$486="diretos",N($B$909),0)+IF($B$497="diretos",N($B$910),0)+IF($B$508="diretos",N($B$911),0)+IF($B$519="diretos",N($B$912),0)+IF($B$530="diretos",N($B$913),0)+IF($B$541="diretos",N($B$914),0)+IF($B$552="diretos",N($B$915),0)+IF($B$563="diretos",N($B$916),0)+IF($B$574="diretos",N($B$917),0)+IF($B$585="diretos",N($B$918),0)+IF($B$596="diretos",N($B$919),0)+IF($B$607="diretos",N($B$920),0)+IF($B$618="diretos",N($B$921),0)+IF($B$629="diretos",N($B$922),0)+IF($B$640="diretos",N($B$923),0)</f>
        <v/>
      </c>
      <c r="C955" s="21" t="inlineStr">
        <is>
          <t>R$</t>
        </is>
      </c>
      <c r="D955" s="22" t="inlineStr">
        <is>
          <t>calculado</t>
        </is>
      </c>
    </row>
    <row r="956">
      <c r="A956" s="19" t="inlineStr">
        <is>
          <t>Σ custos conversíveis — indireto</t>
        </is>
      </c>
      <c r="B956" s="25">
        <f>IF($B$343="indireto",N($B$896),0)+IF($B$354="indireto",N($B$897),0)+IF($B$365="indireto",N($B$898),0)+IF($B$376="indireto",N($B$899),0)+IF($B$387="indireto",N($B$900),0)+IF($B$398="indireto",N($B$901),0)+IF($B$409="indireto",N($B$902),0)+IF($B$420="indireto",N($B$903),0)+IF($B$431="indireto",N($B$904),0)+IF($B$442="indireto",N($B$905),0)+IF($B$453="indireto",N($B$906),0)+IF($B$464="indireto",N($B$907),0)+IF($B$475="indireto",N($B$908),0)+IF($B$486="indireto",N($B$909),0)+IF($B$497="indireto",N($B$910),0)+IF($B$508="indireto",N($B$911),0)+IF($B$519="indireto",N($B$912),0)+IF($B$530="indireto",N($B$913),0)+IF($B$541="indireto",N($B$914),0)+IF($B$552="indireto",N($B$915),0)+IF($B$563="indireto",N($B$916),0)+IF($B$574="indireto",N($B$917),0)+IF($B$585="indireto",N($B$918),0)+IF($B$596="indireto",N($B$919),0)+IF($B$607="indireto",N($B$920),0)+IF($B$618="indireto",N($B$921),0)+IF($B$629="indireto",N($B$922),0)+IF($B$640="indireto",N($B$923),0)</f>
        <v/>
      </c>
      <c r="C956" s="21" t="inlineStr">
        <is>
          <t>R$</t>
        </is>
      </c>
      <c r="D956" s="22" t="inlineStr">
        <is>
          <t>calculado</t>
        </is>
      </c>
    </row>
    <row r="957">
      <c r="A957" s="19" t="inlineStr">
        <is>
          <t>Σ custos conversíveis — financeiro</t>
        </is>
      </c>
      <c r="B957" s="25">
        <f>IF($B$343="financeiro",N($B$896),0)+IF($B$354="financeiro",N($B$897),0)+IF($B$365="financeiro",N($B$898),0)+IF($B$376="financeiro",N($B$899),0)+IF($B$387="financeiro",N($B$900),0)+IF($B$398="financeiro",N($B$901),0)+IF($B$409="financeiro",N($B$902),0)+IF($B$420="financeiro",N($B$903),0)+IF($B$431="financeiro",N($B$904),0)+IF($B$442="financeiro",N($B$905),0)+IF($B$453="financeiro",N($B$906),0)+IF($B$464="financeiro",N($B$907),0)+IF($B$475="financeiro",N($B$908),0)+IF($B$486="financeiro",N($B$909),0)+IF($B$497="financeiro",N($B$910),0)+IF($B$508="financeiro",N($B$911),0)+IF($B$519="financeiro",N($B$912),0)+IF($B$530="financeiro",N($B$913),0)+IF($B$541="financeiro",N($B$914),0)+IF($B$552="financeiro",N($B$915),0)+IF($B$563="financeiro",N($B$916),0)+IF($B$574="financeiro",N($B$917),0)+IF($B$585="financeiro",N($B$918),0)+IF($B$596="financeiro",N($B$919),0)+IF($B$607="financeiro",N($B$920),0)+IF($B$618="financeiro",N($B$921),0)+IF($B$629="financeiro",N($B$922),0)+IF($B$640="financeiro",N($B$923),0)</f>
        <v/>
      </c>
      <c r="C957" s="21" t="inlineStr">
        <is>
          <t>R$</t>
        </is>
      </c>
      <c r="D957" s="22" t="inlineStr">
        <is>
          <t>calculado</t>
        </is>
      </c>
    </row>
    <row r="958">
      <c r="A958" s="19" t="inlineStr">
        <is>
          <t>Permuta física 1 — VGV entregue (unidades × área × preço sugerido)</t>
        </is>
      </c>
      <c r="B958" s="25">
        <f>IF($B$651="",0,N($B$652)*(($B$59=$B$651)*(N($B$61)+N($B$62))*N($B$66)+($B$68=$B$651)*(N($B$70)+N($B$71))*N($B$75)+($B$77=$B$651)*(N($B$79)+N($B$80))*N($B$84)+($B$86=$B$651)*(N($B$88)+N($B$89))*N($B$93)+($B$95=$B$651)*(N($B$97)+N($B$98))*N($B$102)+($B$104=$B$651)*(N($B$106)+N($B$107))*N($B$111)+($B$113=$B$651)*(N($B$115)+N($B$116))*N($B$120)+($B$122=$B$651)*(N($B$124)+N($B$125))*N($B$129)+($B$131=$B$651)*(N($B$133)+N($B$134))*N($B$138)+($B$140=$B$651)*(N($B$142)+N($B$143))*N($B$147)))</f>
        <v/>
      </c>
      <c r="C958" s="21" t="inlineStr">
        <is>
          <t>R$</t>
        </is>
      </c>
      <c r="D958" s="22" t="inlineStr">
        <is>
          <t>calculado</t>
        </is>
      </c>
    </row>
    <row r="959">
      <c r="A959" s="19" t="inlineStr">
        <is>
          <t>Permuta financeira 1 — equivalente em R$</t>
        </is>
      </c>
      <c r="B959" s="25">
        <f>IF($B$656="pct_vgv",N($B$658)*$B$832,IF($B$656="rs",N($B$657),0))</f>
        <v/>
      </c>
      <c r="C959" s="21" t="inlineStr">
        <is>
          <t>R$</t>
        </is>
      </c>
      <c r="D959" s="22" t="inlineStr">
        <is>
          <t>calculado</t>
        </is>
      </c>
    </row>
    <row r="960">
      <c r="A960" s="19" t="inlineStr">
        <is>
          <t>Permuta física 2 — VGV entregue (unidades × área × preço sugerido)</t>
        </is>
      </c>
      <c r="B960" s="25">
        <f>IF($B$653="",0,N($B$654)*(($B$59=$B$653)*(N($B$61)+N($B$62))*N($B$66)+($B$68=$B$653)*(N($B$70)+N($B$71))*N($B$75)+($B$77=$B$653)*(N($B$79)+N($B$80))*N($B$84)+($B$86=$B$653)*(N($B$88)+N($B$89))*N($B$93)+($B$95=$B$653)*(N($B$97)+N($B$98))*N($B$102)+($B$104=$B$653)*(N($B$106)+N($B$107))*N($B$111)+($B$113=$B$653)*(N($B$115)+N($B$116))*N($B$120)+($B$122=$B$653)*(N($B$124)+N($B$125))*N($B$129)+($B$131=$B$653)*(N($B$133)+N($B$134))*N($B$138)+($B$140=$B$653)*(N($B$142)+N($B$143))*N($B$147)))</f>
        <v/>
      </c>
      <c r="C960" s="21" t="inlineStr">
        <is>
          <t>R$</t>
        </is>
      </c>
      <c r="D960" s="22" t="inlineStr">
        <is>
          <t>calculado</t>
        </is>
      </c>
    </row>
    <row r="961">
      <c r="A961" s="19" t="inlineStr">
        <is>
          <t>Permuta financeira 2 — equivalente em R$</t>
        </is>
      </c>
      <c r="B961" s="25">
        <f>IF($B$661="pct_vgv",N($B$663)*$B$832,IF($B$661="rs",N($B$662),0))</f>
        <v/>
      </c>
      <c r="C961" s="21" t="inlineStr">
        <is>
          <t>R$</t>
        </is>
      </c>
      <c r="D961" s="22" t="inlineStr">
        <is>
          <t>calculado</t>
        </is>
      </c>
    </row>
    <row r="962">
      <c r="A962" s="19" t="inlineStr">
        <is>
          <t>Σ valor das dívidas</t>
        </is>
      </c>
      <c r="B962" s="25">
        <f>N($B$678)+N($B$691)+N($B$704)</f>
        <v/>
      </c>
      <c r="C962" s="21" t="inlineStr">
        <is>
          <t>R$</t>
        </is>
      </c>
      <c r="D962" s="22" t="inlineStr">
        <is>
          <t>calculado</t>
        </is>
      </c>
    </row>
    <row r="963">
      <c r="A963" s="19" t="inlineStr">
        <is>
          <t>Σ valor dos equities</t>
        </is>
      </c>
      <c r="B963" s="25">
        <f>N($B$717)+N($B$724)+N($B$731)</f>
        <v/>
      </c>
      <c r="C963" s="21" t="inlineStr">
        <is>
          <t>R$</t>
        </is>
      </c>
      <c r="D963" s="22" t="inlineStr">
        <is>
          <t>calculado</t>
        </is>
      </c>
    </row>
    <row r="966">
      <c r="F966" t="inlineStr">
        <is>
          <t>Preço</t>
        </is>
      </c>
    </row>
    <row r="967">
      <c r="F967" t="inlineStr">
        <is>
          <t>Registro</t>
        </is>
      </c>
    </row>
    <row r="968">
      <c r="F968" t="inlineStr">
        <is>
          <t>Outro</t>
        </is>
      </c>
    </row>
    <row r="969">
      <c r="F969" t="inlineStr">
        <is>
          <t>Construção</t>
        </is>
      </c>
    </row>
    <row r="970">
      <c r="F970" t="inlineStr">
        <is>
          <t>Outorga</t>
        </is>
      </c>
    </row>
    <row r="971">
      <c r="F971" t="inlineStr">
        <is>
          <t>Decoração</t>
        </is>
      </c>
    </row>
    <row r="972">
      <c r="F972" t="inlineStr">
        <is>
          <t>Gestão da obra</t>
        </is>
      </c>
    </row>
    <row r="973">
      <c r="F973" t="inlineStr">
        <is>
          <t>Contingência</t>
        </is>
      </c>
    </row>
    <row r="974">
      <c r="F974" t="inlineStr">
        <is>
          <t>Marketing &amp; Publicidade</t>
        </is>
      </c>
    </row>
    <row r="975">
      <c r="F975" t="inlineStr">
        <is>
          <t>Corretagem de vendas</t>
        </is>
      </c>
    </row>
    <row r="976">
      <c r="F976" t="inlineStr">
        <is>
          <t>Projetos</t>
        </is>
      </c>
    </row>
    <row r="977">
      <c r="F977" t="inlineStr">
        <is>
          <t>Licenças e Aprovações</t>
        </is>
      </c>
    </row>
    <row r="978">
      <c r="F978" t="inlineStr">
        <is>
          <t>Manutenção pós-obra</t>
        </is>
      </c>
    </row>
    <row r="979">
      <c r="F979" t="inlineStr">
        <is>
          <t>Marketing global</t>
        </is>
      </c>
    </row>
    <row r="980">
      <c r="F980" t="inlineStr">
        <is>
          <t>Gestão</t>
        </is>
      </c>
    </row>
    <row r="981">
      <c r="F981" t="inlineStr">
        <is>
          <t>Stand de vendas</t>
        </is>
      </c>
    </row>
    <row r="982">
      <c r="F982" t="inlineStr">
        <is>
          <t>Juros de financiamento</t>
        </is>
      </c>
    </row>
    <row r="983">
      <c r="F983" t="inlineStr">
        <is>
          <t>Taxas bancárias</t>
        </is>
      </c>
    </row>
    <row r="984">
      <c r="F984" t="inlineStr">
        <is>
          <t>Estruturação de dívida</t>
        </is>
      </c>
    </row>
    <row r="985">
      <c r="F985" t="inlineStr">
        <is>
          <t>Investidores</t>
        </is>
      </c>
    </row>
    <row r="987">
      <c r="F987" t="inlineStr">
        <is>
          <t>planejamento</t>
        </is>
      </c>
    </row>
    <row r="988">
      <c r="F988" t="inlineStr">
        <is>
          <t>pre_lancamento</t>
        </is>
      </c>
    </row>
    <row r="989">
      <c r="F989" t="inlineStr">
        <is>
          <t>lancamento</t>
        </is>
      </c>
    </row>
    <row r="990">
      <c r="F990" t="inlineStr">
        <is>
          <t>obra</t>
        </is>
      </c>
    </row>
    <row r="991">
      <c r="F991" t="inlineStr">
        <is>
          <t>pos_obra</t>
        </is>
      </c>
    </row>
    <row r="992">
      <c r="F992" t="inlineStr">
        <is>
          <t>customizado</t>
        </is>
      </c>
    </row>
    <row r="994">
      <c r="F994" t="inlineStr">
        <is>
          <t>Linear</t>
        </is>
      </c>
    </row>
    <row r="995">
      <c r="F995" t="inlineStr">
        <is>
          <t>Curva S</t>
        </is>
      </c>
    </row>
    <row r="996">
      <c r="F996" t="inlineStr">
        <is>
          <t>unit_delivery</t>
        </is>
      </c>
    </row>
    <row r="997">
      <c r="F997" t="inlineStr">
        <is>
          <t>sales_revenue</t>
        </is>
      </c>
    </row>
  </sheetData>
  <sheetProtection selectLockedCells="0" selectUnlockedCells="0" sheet="1" objects="0" insertRows="1" insertHyperlinks="1" autoFilter="1" scenarios="0" formatColumns="0" deleteColumns="1" insertColumns="1" pivotTables="1" deleteRows="1" formatCells="1" formatRows="0" sort="1"/>
  <mergeCells count="104">
    <mergeCell ref="A150:D150"/>
    <mergeCell ref="A386:D386"/>
    <mergeCell ref="A224:D224"/>
    <mergeCell ref="A573:D573"/>
    <mergeCell ref="A20:D20"/>
    <mergeCell ref="A112:D112"/>
    <mergeCell ref="A121:D121"/>
    <mergeCell ref="A288:D288"/>
    <mergeCell ref="A289:D289"/>
    <mergeCell ref="A58:D58"/>
    <mergeCell ref="A314:D314"/>
    <mergeCell ref="A329:D329"/>
    <mergeCell ref="A736:D736"/>
    <mergeCell ref="A304:D304"/>
    <mergeCell ref="A540:D540"/>
    <mergeCell ref="A606:D606"/>
    <mergeCell ref="A737:D737"/>
    <mergeCell ref="A397:D397"/>
    <mergeCell ref="A746:D746"/>
    <mergeCell ref="A375:D375"/>
    <mergeCell ref="A27:D27"/>
    <mergeCell ref="A149:D149"/>
    <mergeCell ref="A341:D341"/>
    <mergeCell ref="A294:D294"/>
    <mergeCell ref="A195:D195"/>
    <mergeCell ref="A2:D2"/>
    <mergeCell ref="A85:D85"/>
    <mergeCell ref="A895:D895"/>
    <mergeCell ref="A53:D53"/>
    <mergeCell ref="A206:D206"/>
    <mergeCell ref="A240:D240"/>
    <mergeCell ref="A780:D780"/>
    <mergeCell ref="A353:D353"/>
    <mergeCell ref="A764:D764"/>
    <mergeCell ref="A782:D782"/>
    <mergeCell ref="A319:D319"/>
    <mergeCell ref="A232:D232"/>
    <mergeCell ref="A11:D11"/>
    <mergeCell ref="A216:D216"/>
    <mergeCell ref="A452:D452"/>
    <mergeCell ref="A162:D162"/>
    <mergeCell ref="A364:D364"/>
    <mergeCell ref="A208:D208"/>
    <mergeCell ref="A655:D655"/>
    <mergeCell ref="A864:D864"/>
    <mergeCell ref="A729:D729"/>
    <mergeCell ref="A26:D26"/>
    <mergeCell ref="A139:D139"/>
    <mergeCell ref="A272:D272"/>
    <mergeCell ref="A666:D666"/>
    <mergeCell ref="A76:D76"/>
    <mergeCell ref="A309:D309"/>
    <mergeCell ref="A650:D650"/>
    <mergeCell ref="A184:D184"/>
    <mergeCell ref="A715:D715"/>
    <mergeCell ref="A342:D342"/>
    <mergeCell ref="A324:D324"/>
    <mergeCell ref="A529:D529"/>
    <mergeCell ref="A299:D299"/>
    <mergeCell ref="A173:D173"/>
    <mergeCell ref="A584:D584"/>
    <mergeCell ref="A755:D755"/>
    <mergeCell ref="A676:D676"/>
    <mergeCell ref="A441:D441"/>
    <mergeCell ref="A639:D639"/>
    <mergeCell ref="A595:D595"/>
    <mergeCell ref="A496:D496"/>
    <mergeCell ref="A207:D207"/>
    <mergeCell ref="A334:D334"/>
    <mergeCell ref="A1:D1"/>
    <mergeCell ref="A94:D94"/>
    <mergeCell ref="A103:D103"/>
    <mergeCell ref="A628:D628"/>
    <mergeCell ref="A339:D339"/>
    <mergeCell ref="A781:D781"/>
    <mergeCell ref="A256:D256"/>
    <mergeCell ref="A796:D796"/>
    <mergeCell ref="A507:D507"/>
    <mergeCell ref="A264:D264"/>
    <mergeCell ref="A37:D37"/>
    <mergeCell ref="A667:D667"/>
    <mergeCell ref="A702:D702"/>
    <mergeCell ref="A248:D248"/>
    <mergeCell ref="A57:D57"/>
    <mergeCell ref="A4:D4"/>
    <mergeCell ref="A280:D280"/>
    <mergeCell ref="A617:D617"/>
    <mergeCell ref="A67:D67"/>
    <mergeCell ref="A518:D518"/>
    <mergeCell ref="A130:D130"/>
    <mergeCell ref="A148:D148"/>
    <mergeCell ref="A340:D340"/>
    <mergeCell ref="A809:D809"/>
    <mergeCell ref="A722:D722"/>
    <mergeCell ref="A430:D430"/>
    <mergeCell ref="A408:D408"/>
    <mergeCell ref="A485:D485"/>
    <mergeCell ref="A463:D463"/>
    <mergeCell ref="A551:D551"/>
    <mergeCell ref="A419:D419"/>
    <mergeCell ref="A689:D689"/>
    <mergeCell ref="A474:D474"/>
    <mergeCell ref="A562:D562"/>
    <mergeCell ref="A151:D151"/>
  </mergeCells>
  <dataValidations count="24">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9 B68 B77 B86 B95 B104 B113 B122 B131 B140" showDropDown="0" showInputMessage="0" showErrorMessage="0" allowBlank="1" error="No máximo 100 caracteres." type="textLength" errorStyle="warning" operator="lessThanOrEqual">
      <formula1>100</formula1>
    </dataValidation>
    <dataValidation sqref="B15 B17 B18 B61 B62 B66 B70 B71 B75 B79 B80 B84 B88 B89 B93 B97 B98 B102 B106 B107 B111 B115 B116 B120 B124 B125 B129 B133 B134 B138 B142 B143 B147 B293 B298 B303 B308 B313 B318 B323 B328 B333 B338 B347 B358 B369 B380 B391 B402 B413 B424 B435 B446 B457 B468 B479 B490 B501 B512 B523 B534 B545 B556 B567 B578 B589 B600 B611 B622 B633 B644 B657 B662 B670 B678 B687 B688 B691 B700 B701 B704 B713 B714 B717 B724 B731 B744 B745 B753 B754 B762 B763" showDropDown="0" showInputMessage="0" showErrorMessage="0" allowBlank="1" errorTitle="Confira o valor" error="Valor fora da faixa esperada (0 a 1000000000000.0)." type="decimal" errorStyle="warning" operator="between">
      <formula1>0</formula1>
      <formula2>1000000000000.0</formula2>
    </dataValidation>
    <dataValidation sqref="B21" showDropDown="0" showInputMessage="0" showErrorMessage="0" allowBlank="1" errorTitle="Confira o valor" error="Valor fora da faixa esperada (0 a 9.9999)." type="decimal" errorStyle="warning" operator="between">
      <formula1>0</formula1>
      <formula2>9.9999</formula2>
    </dataValidation>
    <dataValidation sqref="B22 B25 B153 B154 B155 B159 B164 B165 B166 B170 B175 B176 B177 B181 B186 B187 B188 B192 B197 B198 B199 B203 B211 B213 B214 B219 B221 B222 B227 B229 B230 B235 B237 B238 B243 B245 B246 B251 B253 B254 B259 B261 B262 B267 B269 B270 B275 B277 B278 B283 B285 B286 B658 B663 B671 B672 B673 B683 B686 B696 B699 B709 B712 B721 B728 B735 B741 B742 B743 B750 B751 B752 B759 B760 B761" showDropDown="0" showInputMessage="0" showErrorMessage="0" allowBlank="1" errorTitle="Confira o valor" error="Valor fora da faixa esperada (0 a 1)." type="decimal" errorStyle="warning" operator="between">
      <formula1>0</formula1>
      <formula2>1</formula2>
    </dataValidation>
    <dataValidation sqref="B23 B24 B29 B157 B168 B179 B190 B201 B215 B223 B231 B239 B247 B255 B263 B271 B279 B287 B659 B660 B664 B665 B669 B674 B681 B694 B707" showDropDown="0" showInputMessage="0" showErrorMessage="0" allowBlank="1" errorTitle="Valor inválido" error="Escolha um valor da lista." type="list">
      <formula1>"Sim,Não"</formula1>
    </dataValidation>
    <dataValidation sqref="B30 B34 B39 B42 B45 B48 B51 B63 B64 B65 B72 B73 B74 B81 B82 B83 B90 B91 B92 B99 B100 B101 B108 B109 B110 B117 B118 B119 B126 B127 B128 B135 B136 B137 B144 B145 B146 B161 B172 B183 B194 B205 B292 B297 B302 B307 B312 B317 B322 B327 B332 B337 B351 B362 B373 B384 B395 B406 B417 B428 B439 B450 B461 B472 B483 B494 B505 B516 B527 B538 B549 B560 B571 B582 B593 B604 B615 B626 B637 B648 B652 B654 B680 B684 B685 B693 B697 B698 B706 B710 B711 B719 B726 B733 B740 B749 B758" showDropDown="0" showInputMessage="0" showErrorMessage="0" allowBlank="1" errorTitle="Confira o valor" error="Valor fora da faixa esperada (0 a 1000000000000.0)." type="whole" errorStyle="warning" operator="between">
      <formula1>0</formula1>
      <formula2>1000000000000.0</formula2>
    </dataValidation>
    <dataValidation sqref="B31 B32 B33 B35 B36 B40 B43 B46 B49 B52 B160 B171 B182 B193 B204 B212 B220 B228 B236 B244 B252 B260 B268 B276 B284 B352 B363 B374 B385 B396 B407 B418 B429 B440 B451 B462 B473 B484 B495 B506 B517 B528 B539 B550 B561 B572 B583 B594 B605 B616 B627 B638 B649 B682 B695 B708" showDropDown="0" showInputMessage="0" showErrorMessage="0" allowBlank="1" errorTitle="Confira o valor" error="Valor fora da faixa esperada (1 a 1000000000000.0)." type="whole" errorStyle="warning" operator="between">
      <formula1>1</formula1>
      <formula2>1000000000000.0</formula2>
    </dataValidation>
    <dataValidation sqref="B55" showDropDown="0" showInputMessage="0" showErrorMessage="0" allowBlank="1" errorTitle="Valor inválido" error="Escolha um valor da lista." type="list">
      <formula1>"anuncios,populacao,mercado,outro"</formula1>
    </dataValidation>
    <dataValidation sqref="B60 B69 B78 B87 B96 B105 B114 B123 B132 B141" showDropDown="0" showInputMessage="0" showErrorMessage="0" allowBlank="1" errorTitle="Valor inválido" error="Escolha um valor da lista." type="list">
      <formula1>"apartamento,cobertura,loja,outro"</formula1>
    </dataValidation>
    <dataValidation sqref="B156 B167 B178 B189 B200" showDropDown="0" showInputMessage="0" showErrorMessage="0" allowBlank="1" errorTitle="Confira o valor" error="Valor fora da faixa esperada (1 a 12)." type="whole" errorStyle="warning" operator="between">
      <formula1>1</formula1>
      <formula2>12</formula2>
    </dataValidation>
    <dataValidation sqref="B158 B169 B180 B191 B202" showDropDown="0" showInputMessage="0" showErrorMessage="0" allowBlank="1" errorTitle="Valor inválido" error="Escolha um valor da lista." type="list">
      <formula1>"imediato,concentrado"</formula1>
    </dataValidation>
    <dataValidation sqref="B210 B218 B226 B234 B242 B250 B258 B266 B274 B282" showDropDown="0" showInputMessage="0" showErrorMessage="0" allowBlank="1" errorTitle="Valor inválido" error="Escolha um valor da lista." type="list">
      <formula1>"Entrada,Parcelamento"</formula1>
    </dataValidation>
    <dataValidation sqref="B346 B357 B379 B390 B401 B412 B423 B434 B445 B456 B467 B478 B489 B500 B511 B522 B533 B544 B555 B566 B577 B588 B599 B610 B621 B632 B643" showDropDown="0" showInputMessage="0" showErrorMessage="0" allowBlank="1" errorTitle="Valor inválido" error="Escolha um valor da lista." type="list">
      <formula1>"rs,rs_m2_priv,rs_m2_terreno,pct_vgv,pct_obra,pct_recebido,pct_constr"</formula1>
    </dataValidation>
    <dataValidation sqref="B348 B359 B370 B381 B392 B403 B414 B425 B436 B447 B458 B469 B480 B491 B502 B513 B524 B535 B546 B557 B568 B579 B590 B601 B612 B623 B634 B645" showDropDown="0" showInputMessage="0" showErrorMessage="0" allowBlank="1" errorTitle="Confira o valor" error="Valor fora da faixa esperada (0 a 10)." type="decimal" errorStyle="warning" operator="between">
      <formula1>0</formula1>
      <formula2>10</formula2>
    </dataValidation>
    <dataValidation sqref="B349 B360 B371 B382 B393 B404 B415 B426 B437 B448 B459 B470 B481 B492 B503 B514 B525 B536 B547 B558 B569 B580 B591 B602 B613 B624 B635 B646" showDropDown="0" showInputMessage="0" showErrorMessage="0" allowBlank="1" errorTitle="Confira o valor" error="Valor fora da lista de referência — confirme." type="list" errorStyle="warning">
      <formula1>$F$994:$F$997</formula1>
    </dataValidation>
    <dataValidation sqref="B350 B361 B372 B383 B394 B405 B416 B427 B438 B449 B460 B471 B482 B493 B504 B515 B526 B537 B548 B559 B570 B581 B592 B603 B614 B625 B636 B647 B679 B692 B705 B718 B725 B732 B739 B748 B757" showDropDown="0" showInputMessage="0" showErrorMessage="0" allowBlank="1" errorTitle="Confira o valor" error="Valor fora da lista de referência — confirme." type="list" errorStyle="warning">
      <formula1>$F$987:$F$992</formula1>
    </dataValidation>
    <dataValidation sqref="B376 B387 B398 B409 B420 B431 B442 B453 B464 B475 B486 B497 B508 B519 B530 B541 B552 B563 B574 B585 B596 B607 B618 B629 B640" showDropDown="0" showInputMessage="0" showErrorMessage="0" allowBlank="1" errorTitle="Valor inválido" error="Escolha um valor da lista." type="list">
      <formula1>"terreno,obra,diretos,indireto,financeiro"</formula1>
    </dataValidation>
    <dataValidation sqref="B377 B388 B399 B410 B421 B432 B443 B454 B465 B476 B487 B498 B509 B520 B531 B542 B553 B564 B575 B586 B597 B608 B619 B630 B641" showDropDown="0" showInputMessage="0" showErrorMessage="0" allowBlank="1" errorTitle="Confira o valor" error="Valor fora da lista de referência — confirme." type="list" errorStyle="warning">
      <formula1>$F$966:$F$985</formula1>
    </dataValidation>
    <dataValidation sqref="B656 B661" showDropDown="0" showInputMessage="0" showErrorMessage="0" allowBlank="1" errorTitle="Valor inválido" error="Escolha um valor da lista." type="list">
      <formula1>"rs,pct_vgv"</formula1>
    </dataValidation>
    <dataValidation sqref="B720 B727 B734" showDropDown="0" showInputMessage="0" showErrorMessage="0" allowBlank="1" errorTitle="Valor inválido" error="Escolha um valor da lista." type="list">
      <formula1>"permuta_financeira,resultado_final"</formula1>
    </dataValidation>
    <dataValidation sqref="B766 B767 B769 B770 B772 B773 B775 B776 B778 B779"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2026-10-17T02:31:43Z</dcterms:created>
  <dcterms:modified xmlns:dcterms="http://purl.org/dc/terms/" xmlns:xsi="http://www.w3.org/2001/XMLSchema-instance" xsi:type="dcterms:W3CDTF">2026-10-17T02:31:44Z</dcterms:modified>
</cp:coreProperties>
</file>