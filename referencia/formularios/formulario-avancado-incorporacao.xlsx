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ário" sheetId="1" state="visible" r:id="rId1"/>
  </sheets>
  <definedNames>
    <definedName name="_xlnm.Print_Titles" localSheetId="0">'Formulário'!$3:$3</definedName>
  </definedNames>
  <calcPr calcId="124519" fullCalcOnLoad="1"/>
</workbook>
</file>

<file path=xl/styles.xml><?xml version="1.0" encoding="utf-8"?>
<styleSheet xmlns="http://schemas.openxmlformats.org/spreadsheetml/2006/main">
  <numFmts count="2">
    <numFmt numFmtId="164" formatCode="mmm/yyyy"/>
    <numFmt numFmtId="165" formatCode="&quot;R$&quot; #,##0.00"/>
  </numFmts>
  <fonts count="10">
    <font>
      <name val="Calibri"/>
      <family val="2"/>
      <color theme="1"/>
      <sz val="11"/>
      <scheme val="minor"/>
    </font>
    <font>
      <b val="1"/>
      <color rgb="00FFFFFF"/>
      <sz val="14"/>
    </font>
    <font>
      <sz val="9"/>
    </font>
    <font>
      <b val="1"/>
      <color rgb="00FFFFFF"/>
    </font>
    <font>
      <b val="1"/>
      <color rgb="00FFFFFF"/>
      <sz val="11"/>
    </font>
    <font>
      <color rgb="007F7F7F"/>
      <sz val="8"/>
    </font>
    <font>
      <b val="1"/>
    </font>
    <font>
      <i val="1"/>
      <color rgb="00595959"/>
      <sz val="9"/>
    </font>
    <font>
      <b val="1"/>
      <i val="1"/>
    </font>
    <font>
      <i val="1"/>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E7E6E6"/>
      </patternFill>
    </fill>
    <fill>
      <patternFill patternType="solid">
        <fgColor rgb="00D9E2F3"/>
      </patternFill>
    </fill>
    <fill>
      <patternFill patternType="solid">
        <fgColor rgb="0059595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3" borderId="0" pivotButton="0" quotePrefix="0" xfId="0"/>
    <xf numFmtId="0" fontId="0" fillId="0" borderId="1" applyAlignment="1" pivotButton="0" quotePrefix="0" xfId="0">
      <alignment vertical="center" wrapText="1"/>
    </xf>
    <xf numFmtId="49" fontId="0" fillId="4" borderId="1" applyAlignment="1" applyProtection="1" pivotButton="0" quotePrefix="0" xfId="0">
      <alignment horizontal="right" vertical="center" wrapText="1"/>
      <protection locked="0" hidden="0"/>
    </xf>
    <xf numFmtId="0" fontId="2" fillId="0" borderId="1" applyAlignment="1" pivotButton="0" quotePrefix="0" xfId="0">
      <alignment vertical="center" wrapText="1"/>
    </xf>
    <xf numFmtId="0" fontId="5" fillId="0" borderId="1" applyAlignment="1" pivotButton="0" quotePrefix="0" xfId="0">
      <alignment vertical="center" wrapText="1"/>
    </xf>
    <xf numFmtId="49" fontId="6" fillId="5" borderId="1" applyAlignment="1" pivotButton="0" quotePrefix="0" xfId="0">
      <alignment horizontal="right" vertical="center" wrapText="1"/>
    </xf>
    <xf numFmtId="4" fontId="0" fillId="4" borderId="1" applyAlignment="1" applyProtection="1" pivotButton="0" quotePrefix="0" xfId="0">
      <alignment horizontal="right" vertical="center" wrapText="1"/>
      <protection locked="0" hidden="0"/>
    </xf>
    <xf numFmtId="2" fontId="0" fillId="4" borderId="1" applyAlignment="1" applyProtection="1" pivotButton="0" quotePrefix="0" xfId="0">
      <alignment horizontal="right" vertical="center" wrapText="1"/>
      <protection locked="0" hidden="0"/>
    </xf>
    <xf numFmtId="10" fontId="0" fillId="4" borderId="1" applyAlignment="1" applyProtection="1" pivotButton="0" quotePrefix="0" xfId="0">
      <alignment horizontal="right" vertical="center" wrapText="1"/>
      <protection locked="0" hidden="0"/>
    </xf>
    <xf numFmtId="0" fontId="7" fillId="0" borderId="0" applyAlignment="1" pivotButton="0" quotePrefix="0" xfId="0">
      <alignment vertical="top" wrapText="1"/>
    </xf>
    <xf numFmtId="164" fontId="0" fillId="4" borderId="1" applyAlignment="1" applyProtection="1" pivotButton="0" quotePrefix="0" xfId="0">
      <alignment horizontal="right" vertical="center" wrapText="1"/>
      <protection locked="0" hidden="0"/>
    </xf>
    <xf numFmtId="1" fontId="0" fillId="4" borderId="1" applyAlignment="1" applyProtection="1" pivotButton="0" quotePrefix="0" xfId="0">
      <alignment horizontal="right" vertical="center" wrapText="1"/>
      <protection locked="0" hidden="0"/>
    </xf>
    <xf numFmtId="0" fontId="8" fillId="6" borderId="0" pivotButton="0" quotePrefix="0" xfId="0"/>
    <xf numFmtId="165" fontId="0" fillId="4" borderId="1" applyAlignment="1" applyProtection="1" pivotButton="0" quotePrefix="0" xfId="0">
      <alignment horizontal="right" vertical="center" wrapText="1"/>
      <protection locked="0" hidden="0"/>
    </xf>
    <xf numFmtId="0" fontId="4" fillId="7" borderId="0" pivotButton="0" quotePrefix="0" xfId="0"/>
    <xf numFmtId="0" fontId="0" fillId="8" borderId="1" applyAlignment="1" pivotButton="0" quotePrefix="0" xfId="0">
      <alignment vertical="center" wrapText="1"/>
    </xf>
    <xf numFmtId="1" fontId="9" fillId="8" borderId="1" applyAlignment="1" pivotButton="0" quotePrefix="0" xfId="0">
      <alignment horizontal="right" vertical="center"/>
    </xf>
    <xf numFmtId="0" fontId="2" fillId="8" borderId="1" applyAlignment="1" pivotButton="0" quotePrefix="0" xfId="0">
      <alignment vertical="center" wrapText="1"/>
    </xf>
    <xf numFmtId="0" fontId="5" fillId="8" borderId="1" applyAlignment="1" pivotButton="0" quotePrefix="0" xfId="0">
      <alignment vertical="center" wrapText="1"/>
    </xf>
    <xf numFmtId="164" fontId="9" fillId="8" borderId="1" applyAlignment="1" pivotButton="0" quotePrefix="0" xfId="0">
      <alignment horizontal="right" vertical="center"/>
    </xf>
    <xf numFmtId="0" fontId="9" fillId="8" borderId="1" applyAlignment="1" pivotButton="0" quotePrefix="0" xfId="0">
      <alignment horizontal="right" vertical="center"/>
    </xf>
    <xf numFmtId="165" fontId="9" fillId="8" borderId="1" applyAlignment="1" pivotButton="0" quotePrefix="0" xfId="0">
      <alignment horizontal="right" vertical="center"/>
    </xf>
    <xf numFmtId="4" fontId="9" fillId="8" borderId="1" applyAlignment="1" pivotButton="0" quotePrefix="0" xfId="0">
      <alignment horizontal="right" vertical="center"/>
    </xf>
    <xf numFmtId="10" fontId="9"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fitToPage="1"/>
  </sheetPr>
  <dimension ref="A1:F948"/>
  <sheetViews>
    <sheetView showGridLines="0" workbookViewId="0">
      <pane ySplit="3" topLeftCell="A4" activePane="bottomLeft" state="frozen"/>
      <selection pane="bottomLeft" activeCell="A1" sqref="A1"/>
    </sheetView>
  </sheetViews>
  <sheetFormatPr baseColWidth="8" defaultRowHeight="15"/>
  <cols>
    <col width="58" customWidth="1" min="1" max="1"/>
    <col width="30" customWidth="1" min="2" max="2"/>
    <col width="36" customWidth="1" min="3" max="3"/>
    <col width="46" customWidth="1" min="4" max="4"/>
    <col hidden="1" width="13" customWidth="1" min="6" max="6"/>
  </cols>
  <sheetData>
    <row r="1" ht="26" customHeight="1">
      <c r="A1" s="1" t="inlineStr">
        <is>
          <t>Formulário de estudo — Avançado · Incorporação</t>
        </is>
      </c>
    </row>
    <row r="2" ht="92" customHeight="1">
      <c r="A2" s="2" t="inlineStr">
        <is>
          <t>Como preencher: só as células AMARELAS da coluna B. Cinza-claro com valor em negrito = fixo do tipo de estudo (não editar); cinza com itálico = calculado pelo Excel, só para conferir (não editar). * = obrigatório. PERCENTUAL: digite com o símbolo % (4%), nunca só o número. O Excel guarda 0,04; a API do app espera pontos (4) e o importador converte pelo FORMATO da célula — por isso não troque o formato das células. Números sem separador de milhar e com ponto decimal quando digitados fora do Excel. CAMPO COM VÁRIAS UNIDADES: há uma linha por unidade — preencha UMA só e deixe as outras em branco; o Excel não converte uma na outra. Listas (produtos, custos…) têm vagas numeradas; vaga totalmente em branco = sem item. Meses: 0 = mês da data de início do projeto.</t>
        </is>
      </c>
    </row>
    <row r="3">
      <c r="A3" s="3" t="inlineStr">
        <is>
          <t>Campo</t>
        </is>
      </c>
      <c r="B3" s="3" t="inlineStr">
        <is>
          <t>Valor</t>
        </is>
      </c>
      <c r="C3" s="3" t="inlineStr">
        <is>
          <t>Unidade</t>
        </is>
      </c>
      <c r="D3" s="3" t="inlineStr">
        <is>
          <t>Chave técnica (leitura por máquina)</t>
        </is>
      </c>
    </row>
    <row r="4" ht="20" customHeight="1">
      <c r="A4" s="4" t="inlineStr">
        <is>
          <t>1 · Criação do estudo</t>
        </is>
      </c>
    </row>
    <row r="5">
      <c r="A5" s="5" t="inlineStr">
        <is>
          <t>Nome do estudo *</t>
        </is>
      </c>
      <c r="B5" s="6" t="n"/>
      <c r="C5" s="7" t="inlineStr">
        <is>
          <t>texto (até 200)</t>
        </is>
      </c>
      <c r="D5" s="8" t="inlineStr">
        <is>
          <t>estudos.nome</t>
        </is>
      </c>
    </row>
    <row r="6">
      <c r="A6" s="5" t="inlineStr">
        <is>
          <t>Tipo de empreendimento</t>
        </is>
      </c>
      <c r="B6" s="9" t="inlineStr">
        <is>
          <t>incorporacao</t>
        </is>
      </c>
      <c r="C6" s="7" t="inlineStr">
        <is>
          <t>fixo deste formulário</t>
        </is>
      </c>
      <c r="D6" s="8" t="inlineStr">
        <is>
          <t>estudos.tipo_empreendimento</t>
        </is>
      </c>
    </row>
    <row r="7">
      <c r="A7" s="5" t="inlineStr">
        <is>
          <t>Nível de análise</t>
        </is>
      </c>
      <c r="B7" s="9" t="inlineStr">
        <is>
          <t>avancado</t>
        </is>
      </c>
      <c r="C7" s="7" t="inlineStr">
        <is>
          <t>fixo deste formulário</t>
        </is>
      </c>
      <c r="D7" s="8" t="inlineStr">
        <is>
          <t>estudos.nivel_analise</t>
        </is>
      </c>
    </row>
    <row r="8">
      <c r="A8" s="5" t="inlineStr">
        <is>
          <t>Origem do terreno *</t>
        </is>
      </c>
      <c r="B8" s="6" t="inlineStr">
        <is>
          <t>manual</t>
        </is>
      </c>
      <c r="C8" s="7" t="inlineStr">
        <is>
          <t>lista: manual (inserir novo) | nucleo (buscar terreno — o importador só aceita manual)</t>
        </is>
      </c>
      <c r="D8" s="8" t="inlineStr">
        <is>
          <t>estudos.origem_terreno</t>
        </is>
      </c>
    </row>
    <row r="9">
      <c r="A9" s="5" t="inlineStr">
        <is>
          <t>UF (recomendado)</t>
        </is>
      </c>
      <c r="B9" s="6" t="n"/>
      <c r="C9" s="7" t="inlineStr">
        <is>
          <t>texto, 2 letras</t>
        </is>
      </c>
      <c r="D9" s="8" t="inlineStr">
        <is>
          <t>estudos.uf</t>
        </is>
      </c>
    </row>
    <row r="10">
      <c r="A10" s="5" t="inlineStr">
        <is>
          <t>Notas</t>
        </is>
      </c>
      <c r="B10" s="6" t="n"/>
      <c r="C10" s="7" t="inlineStr">
        <is>
          <t>texto livre (só pela API)</t>
        </is>
      </c>
      <c r="D10" s="8" t="inlineStr">
        <is>
          <t>estudos.notas</t>
        </is>
      </c>
    </row>
    <row r="11" ht="20" customHeight="1">
      <c r="A11" s="4" t="inlineStr">
        <is>
          <t>2 · Empreendimento › Informações</t>
        </is>
      </c>
    </row>
    <row r="12">
      <c r="A12" s="5" t="inlineStr">
        <is>
          <t>Matrícula</t>
        </is>
      </c>
      <c r="B12" s="6" t="n"/>
      <c r="C12" s="7" t="inlineStr">
        <is>
          <t>texto (até 100)</t>
        </is>
      </c>
      <c r="D12" s="8" t="inlineStr">
        <is>
          <t>estudos.matricula</t>
        </is>
      </c>
    </row>
    <row r="13">
      <c r="A13" s="5" t="inlineStr">
        <is>
          <t>Descrição</t>
        </is>
      </c>
      <c r="B13" s="6" t="n"/>
      <c r="C13" s="7" t="inlineStr">
        <is>
          <t>texto longo</t>
        </is>
      </c>
      <c r="D13" s="8" t="inlineStr">
        <is>
          <t>estudos.descricao</t>
        </is>
      </c>
    </row>
    <row r="14">
      <c r="A14" s="5" t="inlineStr">
        <is>
          <t>Nome do terreno (origem = manual)</t>
        </is>
      </c>
      <c r="B14" s="6" t="n"/>
      <c r="C14" s="7" t="inlineStr">
        <is>
          <t>texto (até 200)</t>
        </is>
      </c>
      <c r="D14" s="8" t="inlineStr">
        <is>
          <t>estudos.terreno_manual_nome</t>
        </is>
      </c>
    </row>
    <row r="15">
      <c r="A15" s="5" t="inlineStr">
        <is>
          <t>Área do terreno *</t>
        </is>
      </c>
      <c r="B15" s="10" t="n"/>
      <c r="C15" s="7" t="inlineStr">
        <is>
          <t>m² (&gt; 0; base de "R$/m² de terreno")</t>
        </is>
      </c>
      <c r="D15" s="8" t="inlineStr">
        <is>
          <t>estudos.terreno_manual_area</t>
        </is>
      </c>
    </row>
    <row r="16">
      <c r="A16" s="5" t="inlineStr">
        <is>
          <t>Imóvel do Núcleo (vínculo — só se origem = nucleo)</t>
        </is>
      </c>
      <c r="B16" s="6" t="n"/>
      <c r="C16" s="7" t="inlineStr">
        <is>
          <t>id do imóvel</t>
        </is>
      </c>
      <c r="D16" s="8" t="inlineStr">
        <is>
          <t>estudo_imoveis.imovel_nucleo_id</t>
        </is>
      </c>
    </row>
    <row r="17">
      <c r="A17" s="5" t="inlineStr">
        <is>
          <t>Coeficiente de aproveitamento mínimo (informativo)</t>
        </is>
      </c>
      <c r="B17" s="11" t="n"/>
      <c r="C17" s="7" t="inlineStr">
        <is>
          <t>índice (x)</t>
        </is>
      </c>
      <c r="D17" s="8" t="inlineStr">
        <is>
          <t>estudos.coef_aproveitamento_basico</t>
        </is>
      </c>
    </row>
    <row r="18">
      <c r="A18" s="5" t="inlineStr">
        <is>
          <t>Coeficiente de aproveitamento máximo (informativo)</t>
        </is>
      </c>
      <c r="B18" s="11" t="n"/>
      <c r="C18" s="7" t="inlineStr">
        <is>
          <t>índice (x)</t>
        </is>
      </c>
      <c r="D18" s="8" t="inlineStr">
        <is>
          <t>estudos.coef_aproveitamento_maximo</t>
        </is>
      </c>
    </row>
    <row r="19">
      <c r="A19" s="5" t="inlineStr">
        <is>
          <t>Imagem principal / render / planta (nome do arquivo; envio à parte)</t>
        </is>
      </c>
      <c r="B19" s="6" t="n"/>
      <c r="C19" s="7" t="inlineStr">
        <is>
          <t>png/jpeg/webp/pdf ≤ 25 MB</t>
        </is>
      </c>
      <c r="D19" s="8" t="inlineStr">
        <is>
          <t>estudo_documentos</t>
        </is>
      </c>
    </row>
    <row r="20" ht="20" customHeight="1">
      <c r="A20" s="4" t="inlineStr">
        <is>
          <t>3 · Viabilidade › Financeiro e tributação</t>
        </is>
      </c>
    </row>
    <row r="21">
      <c r="A21" s="5" t="inlineStr">
        <is>
          <t>Juros de tabela *</t>
        </is>
      </c>
      <c r="B21" s="12" t="n"/>
      <c r="C21" s="7" t="inlineStr">
        <is>
          <t>% a.a. (0 a 999,99; vale p/ todos os grupos)</t>
        </is>
      </c>
      <c r="D21" s="8" t="inlineStr">
        <is>
          <t>estudos.juros_tabela_aa_padrao</t>
        </is>
      </c>
    </row>
    <row r="22">
      <c r="A22" s="5" t="inlineStr">
        <is>
          <t>Taxa de desconto p/ VP *</t>
        </is>
      </c>
      <c r="B22" s="12" t="n"/>
      <c r="C22" s="7" t="inlineStr">
        <is>
          <t>% a.a. (0 a 100)</t>
        </is>
      </c>
      <c r="D22" s="8" t="inlineStr">
        <is>
          <t>estudos.taxa_desconto_aa</t>
        </is>
      </c>
    </row>
    <row r="23">
      <c r="A23" s="5" t="inlineStr">
        <is>
          <t>Corretagem incide sobre a permuta física *</t>
        </is>
      </c>
      <c r="B23" s="6" t="n"/>
      <c r="C23" s="7" t="inlineStr">
        <is>
          <t>Sim/Não</t>
        </is>
      </c>
      <c r="D23" s="8" t="inlineStr">
        <is>
          <t>estudos.corretagem_sobre_permuta_fisica</t>
        </is>
      </c>
    </row>
    <row r="24">
      <c r="A24" s="5" t="inlineStr">
        <is>
          <t>RET (Regime Especial de Tributação) *</t>
        </is>
      </c>
      <c r="B24" s="6" t="n"/>
      <c r="C24" s="7" t="inlineStr">
        <is>
          <t>Sim/Não (único imposto aplicado pelo Avançado)</t>
        </is>
      </c>
      <c r="D24" s="8" t="inlineStr">
        <is>
          <t>parametros.considerar_ret</t>
        </is>
      </c>
    </row>
    <row r="25">
      <c r="A25" s="5" t="inlineStr">
        <is>
          <t>Alíquota RET *</t>
        </is>
      </c>
      <c r="B25" s="12" t="n"/>
      <c r="C25" s="7" t="inlineStr">
        <is>
          <t>% da receita (0 a 100; em loteamento use a alíquota efetiva)</t>
        </is>
      </c>
      <c r="D25" s="8" t="inlineStr">
        <is>
          <t>parametros.ret_pct</t>
        </is>
      </c>
    </row>
    <row r="26" ht="20" customHeight="1">
      <c r="A26" s="4" t="inlineStr">
        <is>
          <t>4 · Cronograma (meses a partir do mês 0)</t>
        </is>
      </c>
    </row>
    <row r="27" ht="26" customHeight="1">
      <c r="A27" s="13" t="inlineStr">
        <is>
          <t>Pré-lançamento, Lançamento e Pós-obras começam no FIM do evento anterior (travado no app): esses inícios estão na zona calculada, não são preenchidos. Informe "tem Pré-lançamento" ANTES de preencher o cronograma.</t>
        </is>
      </c>
    </row>
    <row r="28">
      <c r="A28" s="5" t="inlineStr">
        <is>
          <t>Data de início do projeto *</t>
        </is>
      </c>
      <c r="B28" s="14" t="n"/>
      <c r="C28" s="7" t="inlineStr">
        <is>
          <t>data (mês/ano) — mês 0 do fluxo</t>
        </is>
      </c>
      <c r="D28" s="8" t="inlineStr">
        <is>
          <t>parametros.data_inicio_projeto</t>
        </is>
      </c>
    </row>
    <row r="29">
      <c r="A29" s="5" t="inlineStr">
        <is>
          <t>Este empreendimento tem Pré-lançamento *</t>
        </is>
      </c>
      <c r="B29" s="6" t="n"/>
      <c r="C29" s="7" t="inlineStr">
        <is>
          <t>Sim/Não</t>
        </is>
      </c>
      <c r="D29" s="8" t="inlineStr">
        <is>
          <t>parametros.tem_pre_lancamento</t>
        </is>
      </c>
    </row>
    <row r="30">
      <c r="A30" s="5" t="inlineStr">
        <is>
          <t>Planejamento — Início *</t>
        </is>
      </c>
      <c r="B30" s="15" t="n"/>
      <c r="C30" s="7" t="inlineStr">
        <is>
          <t>mês (inteiro ≥ 0; 0 = início)</t>
        </is>
      </c>
      <c r="D30" s="8" t="inlineStr">
        <is>
          <t>cronograma.planejamento.inicio_mes</t>
        </is>
      </c>
    </row>
    <row r="31">
      <c r="A31" s="5" t="inlineStr">
        <is>
          <t>Planejamento — Duração *</t>
        </is>
      </c>
      <c r="B31" s="15" t="n"/>
      <c r="C31" s="7" t="inlineStr">
        <is>
          <t>meses (inteiro ≥ 1)</t>
        </is>
      </c>
      <c r="D31" s="8" t="inlineStr">
        <is>
          <t>cronograma.planejamento.duracao_meses</t>
        </is>
      </c>
    </row>
    <row r="32">
      <c r="A32" s="5" t="inlineStr">
        <is>
          <t>Pré-lançamento — Duração (só se tiver pré)</t>
        </is>
      </c>
      <c r="B32" s="15" t="n"/>
      <c r="C32" s="7" t="inlineStr">
        <is>
          <t>meses (inteiro ≥ 1)</t>
        </is>
      </c>
      <c r="D32" s="8" t="inlineStr">
        <is>
          <t>cronograma.pre_lancamento.duracao_meses</t>
        </is>
      </c>
    </row>
    <row r="33">
      <c r="A33" s="5" t="inlineStr">
        <is>
          <t>Lançamento — Duração *</t>
        </is>
      </c>
      <c r="B33" s="15" t="n"/>
      <c r="C33" s="7" t="inlineStr">
        <is>
          <t>meses (inteiro ≥ 1)</t>
        </is>
      </c>
      <c r="D33" s="8" t="inlineStr">
        <is>
          <t>cronograma.lancamento.duracao_meses</t>
        </is>
      </c>
    </row>
    <row r="34">
      <c r="A34" s="5" t="inlineStr">
        <is>
          <t>Obra — Início *</t>
        </is>
      </c>
      <c r="B34" s="15" t="n"/>
      <c r="C34" s="7" t="inlineStr">
        <is>
          <t>mês (inteiro ≥ 0)</t>
        </is>
      </c>
      <c r="D34" s="8" t="inlineStr">
        <is>
          <t>cronograma.obra.inicio_mes</t>
        </is>
      </c>
    </row>
    <row r="35">
      <c r="A35" s="5" t="inlineStr">
        <is>
          <t>Obra — Duração *</t>
        </is>
      </c>
      <c r="B35" s="15" t="n"/>
      <c r="C35" s="7" t="inlineStr">
        <is>
          <t>meses (inteiro ≥ 1)</t>
        </is>
      </c>
      <c r="D35" s="8" t="inlineStr">
        <is>
          <t>cronograma.obra.duracao_meses</t>
        </is>
      </c>
    </row>
    <row r="36">
      <c r="A36" s="5" t="inlineStr">
        <is>
          <t>Pós-obras — Duração *</t>
        </is>
      </c>
      <c r="B36" s="15" t="n"/>
      <c r="C36" s="7" t="inlineStr">
        <is>
          <t>meses (inteiro ≥ 1)</t>
        </is>
      </c>
      <c r="D36" s="8" t="inlineStr">
        <is>
          <t>cronograma.pos_obra.duracao_meses</t>
        </is>
      </c>
    </row>
    <row r="37" ht="20" customHeight="1">
      <c r="A37" s="4" t="inlineStr">
        <is>
          <t>Fases customizadas do cronograma (opcional) — 5 vagas; servem de âncora para custos e funding</t>
        </is>
      </c>
    </row>
    <row r="38">
      <c r="A38" s="5" t="inlineStr">
        <is>
          <t>Fase 1 — Nome</t>
        </is>
      </c>
      <c r="B38" s="6" t="n"/>
      <c r="C38" s="7" t="inlineStr">
        <is>
          <t>texto</t>
        </is>
      </c>
      <c r="D38" s="8" t="inlineStr">
        <is>
          <t>fases[1].nome</t>
        </is>
      </c>
    </row>
    <row r="39">
      <c r="A39" s="5" t="inlineStr">
        <is>
          <t>Fase 1 — Início</t>
        </is>
      </c>
      <c r="B39" s="15" t="n"/>
      <c r="C39" s="7" t="inlineStr">
        <is>
          <t>mês (inteiro ≥ 0)</t>
        </is>
      </c>
      <c r="D39" s="8" t="inlineStr">
        <is>
          <t>fases[1].inicio_mes</t>
        </is>
      </c>
    </row>
    <row r="40">
      <c r="A40" s="5" t="inlineStr">
        <is>
          <t>Fase 1 — Duração</t>
        </is>
      </c>
      <c r="B40" s="15" t="n"/>
      <c r="C40" s="7" t="inlineStr">
        <is>
          <t>meses (inteiro ≥ 1)</t>
        </is>
      </c>
      <c r="D40" s="8" t="inlineStr">
        <is>
          <t>fases[1].duracao_meses</t>
        </is>
      </c>
    </row>
    <row r="41">
      <c r="A41" s="5" t="inlineStr">
        <is>
          <t>Fase 2 — Nome</t>
        </is>
      </c>
      <c r="B41" s="6" t="n"/>
      <c r="C41" s="7" t="inlineStr">
        <is>
          <t>texto</t>
        </is>
      </c>
      <c r="D41" s="8" t="inlineStr">
        <is>
          <t>fases[2].nome</t>
        </is>
      </c>
    </row>
    <row r="42">
      <c r="A42" s="5" t="inlineStr">
        <is>
          <t>Fase 2 — Início</t>
        </is>
      </c>
      <c r="B42" s="15" t="n"/>
      <c r="C42" s="7" t="inlineStr">
        <is>
          <t>mês (inteiro ≥ 0)</t>
        </is>
      </c>
      <c r="D42" s="8" t="inlineStr">
        <is>
          <t>fases[2].inicio_mes</t>
        </is>
      </c>
    </row>
    <row r="43">
      <c r="A43" s="5" t="inlineStr">
        <is>
          <t>Fase 2 — Duração</t>
        </is>
      </c>
      <c r="B43" s="15" t="n"/>
      <c r="C43" s="7" t="inlineStr">
        <is>
          <t>meses (inteiro ≥ 1)</t>
        </is>
      </c>
      <c r="D43" s="8" t="inlineStr">
        <is>
          <t>fases[2].duracao_meses</t>
        </is>
      </c>
    </row>
    <row r="44">
      <c r="A44" s="5" t="inlineStr">
        <is>
          <t>Fase 3 — Nome</t>
        </is>
      </c>
      <c r="B44" s="6" t="n"/>
      <c r="C44" s="7" t="inlineStr">
        <is>
          <t>texto</t>
        </is>
      </c>
      <c r="D44" s="8" t="inlineStr">
        <is>
          <t>fases[3].nome</t>
        </is>
      </c>
    </row>
    <row r="45">
      <c r="A45" s="5" t="inlineStr">
        <is>
          <t>Fase 3 — Início</t>
        </is>
      </c>
      <c r="B45" s="15" t="n"/>
      <c r="C45" s="7" t="inlineStr">
        <is>
          <t>mês (inteiro ≥ 0)</t>
        </is>
      </c>
      <c r="D45" s="8" t="inlineStr">
        <is>
          <t>fases[3].inicio_mes</t>
        </is>
      </c>
    </row>
    <row r="46">
      <c r="A46" s="5" t="inlineStr">
        <is>
          <t>Fase 3 — Duração</t>
        </is>
      </c>
      <c r="B46" s="15" t="n"/>
      <c r="C46" s="7" t="inlineStr">
        <is>
          <t>meses (inteiro ≥ 1)</t>
        </is>
      </c>
      <c r="D46" s="8" t="inlineStr">
        <is>
          <t>fases[3].duracao_meses</t>
        </is>
      </c>
    </row>
    <row r="47">
      <c r="A47" s="5" t="inlineStr">
        <is>
          <t>Fase 4 — Nome</t>
        </is>
      </c>
      <c r="B47" s="6" t="n"/>
      <c r="C47" s="7" t="inlineStr">
        <is>
          <t>texto</t>
        </is>
      </c>
      <c r="D47" s="8" t="inlineStr">
        <is>
          <t>fases[4].nome</t>
        </is>
      </c>
    </row>
    <row r="48">
      <c r="A48" s="5" t="inlineStr">
        <is>
          <t>Fase 4 — Início</t>
        </is>
      </c>
      <c r="B48" s="15" t="n"/>
      <c r="C48" s="7" t="inlineStr">
        <is>
          <t>mês (inteiro ≥ 0)</t>
        </is>
      </c>
      <c r="D48" s="8" t="inlineStr">
        <is>
          <t>fases[4].inicio_mes</t>
        </is>
      </c>
    </row>
    <row r="49">
      <c r="A49" s="5" t="inlineStr">
        <is>
          <t>Fase 4 — Duração</t>
        </is>
      </c>
      <c r="B49" s="15" t="n"/>
      <c r="C49" s="7" t="inlineStr">
        <is>
          <t>meses (inteiro ≥ 1)</t>
        </is>
      </c>
      <c r="D49" s="8" t="inlineStr">
        <is>
          <t>fases[4].duracao_meses</t>
        </is>
      </c>
    </row>
    <row r="50">
      <c r="A50" s="5" t="inlineStr">
        <is>
          <t>Fase 5 — Nome</t>
        </is>
      </c>
      <c r="B50" s="6" t="n"/>
      <c r="C50" s="7" t="inlineStr">
        <is>
          <t>texto</t>
        </is>
      </c>
      <c r="D50" s="8" t="inlineStr">
        <is>
          <t>fases[5].nome</t>
        </is>
      </c>
    </row>
    <row r="51">
      <c r="A51" s="5" t="inlineStr">
        <is>
          <t>Fase 5 — Início</t>
        </is>
      </c>
      <c r="B51" s="15" t="n"/>
      <c r="C51" s="7" t="inlineStr">
        <is>
          <t>mês (inteiro ≥ 0)</t>
        </is>
      </c>
      <c r="D51" s="8" t="inlineStr">
        <is>
          <t>fases[5].inicio_mes</t>
        </is>
      </c>
    </row>
    <row r="52">
      <c r="A52" s="5" t="inlineStr">
        <is>
          <t>Fase 5 — Duração</t>
        </is>
      </c>
      <c r="B52" s="15" t="n"/>
      <c r="C52" s="7" t="inlineStr">
        <is>
          <t>meses (inteiro ≥ 1)</t>
        </is>
      </c>
      <c r="D52" s="8" t="inlineStr">
        <is>
          <t>fases[5].duracao_meses</t>
        </is>
      </c>
    </row>
    <row r="53" ht="20" customHeight="1">
      <c r="A53" s="4" t="inlineStr">
        <is>
          <t>Análise de Mercado (opcional)</t>
        </is>
      </c>
    </row>
    <row r="54">
      <c r="A54" s="5" t="inlineStr">
        <is>
          <t>Região de mercado</t>
        </is>
      </c>
      <c r="B54" s="6" t="n"/>
      <c r="C54" s="7" t="inlineStr">
        <is>
          <t>nome de região cadastrada na instância</t>
        </is>
      </c>
      <c r="D54" s="8" t="inlineStr">
        <is>
          <t>estudos.regiao_mercado_id</t>
        </is>
      </c>
    </row>
    <row r="55">
      <c r="A55" s="5" t="inlineStr">
        <is>
          <t>Apelo comercial — tipo de dado</t>
        </is>
      </c>
      <c r="B55" s="6" t="n"/>
      <c r="C55" s="7" t="inlineStr">
        <is>
          <t>lista: anuncios | populacao | mercado | outro</t>
        </is>
      </c>
      <c r="D55" s="8" t="inlineStr">
        <is>
          <t>apelo_comercial_documentos.tipo_dado</t>
        </is>
      </c>
    </row>
    <row r="56">
      <c r="A56" s="5" t="inlineStr">
        <is>
          <t>Apelo comercial — texto adicional</t>
        </is>
      </c>
      <c r="B56" s="6" t="n"/>
      <c r="C56" s="7" t="inlineStr">
        <is>
          <t>texto livre (ou envie arquivo pdf/docx/xlsx à parte)</t>
        </is>
      </c>
      <c r="D56" s="8" t="inlineStr">
        <is>
          <t>apelo_comercial_documentos.texto_adicional</t>
        </is>
      </c>
    </row>
    <row r="57" ht="20" customHeight="1">
      <c r="A57" s="4" t="inlineStr">
        <is>
          <t>5 · Tipologias (Empreendimento › Tipologias) — 10 vagas</t>
        </is>
      </c>
    </row>
    <row r="58">
      <c r="A58" s="16" t="inlineStr">
        <is>
          <t>Tipologia 1</t>
        </is>
      </c>
    </row>
    <row r="59">
      <c r="A59" s="5" t="inlineStr">
        <is>
          <t>Tipologia 1 — Nome</t>
        </is>
      </c>
      <c r="B59" s="6" t="n"/>
      <c r="C59" s="7" t="inlineStr">
        <is>
          <t>texto (até 100)</t>
        </is>
      </c>
      <c r="D59" s="8" t="inlineStr">
        <is>
          <t>tipologias[1].nome</t>
        </is>
      </c>
    </row>
    <row r="60">
      <c r="A60" s="5" t="inlineStr">
        <is>
          <t>Tipologia 1 — Tipo</t>
        </is>
      </c>
      <c r="B60" s="6" t="n"/>
      <c r="C60" s="7" t="inlineStr">
        <is>
          <t>lista: apartamento | cobertura | loja | outro</t>
        </is>
      </c>
      <c r="D60" s="8" t="inlineStr">
        <is>
          <t>tipologias[1].tipo_unidade</t>
        </is>
      </c>
    </row>
    <row r="61">
      <c r="A61" s="5" t="inlineStr">
        <is>
          <t>Tipologia 1 — Área privativa (fechada)</t>
        </is>
      </c>
      <c r="B61" s="10" t="n"/>
      <c r="C61" s="7" t="inlineStr">
        <is>
          <t>m²</t>
        </is>
      </c>
      <c r="D61" s="8" t="inlineStr">
        <is>
          <t>tipologias[1].area_privativa_m2</t>
        </is>
      </c>
    </row>
    <row r="62">
      <c r="A62" s="5" t="inlineStr">
        <is>
          <t>Tipologia 1 — Área aberta</t>
        </is>
      </c>
      <c r="B62" s="10" t="n"/>
      <c r="C62" s="7" t="inlineStr">
        <is>
          <t>m² (entra no VGV)</t>
        </is>
      </c>
      <c r="D62" s="8" t="inlineStr">
        <is>
          <t>tipologias[1].area_privativa_aberta_m2</t>
        </is>
      </c>
    </row>
    <row r="63">
      <c r="A63" s="5" t="inlineStr">
        <is>
          <t>Tipologia 1 — Dormitórios</t>
        </is>
      </c>
      <c r="B63" s="15" t="n"/>
      <c r="C63" s="7" t="inlineStr">
        <is>
          <t>inteiro</t>
        </is>
      </c>
      <c r="D63" s="8" t="inlineStr">
        <is>
          <t>tipologias[1].dormitorios</t>
        </is>
      </c>
    </row>
    <row r="64">
      <c r="A64" s="5" t="inlineStr">
        <is>
          <t>Tipologia 1 — Vagas</t>
        </is>
      </c>
      <c r="B64" s="15" t="n"/>
      <c r="C64" s="7" t="inlineStr">
        <is>
          <t>inteiro</t>
        </is>
      </c>
      <c r="D64" s="8" t="inlineStr">
        <is>
          <t>tipologias[1].vagas</t>
        </is>
      </c>
    </row>
    <row r="65">
      <c r="A65" s="5" t="inlineStr">
        <is>
          <t>Tipologia 1 — Unidades</t>
        </is>
      </c>
      <c r="B65" s="15" t="n"/>
      <c r="C65" s="7" t="inlineStr">
        <is>
          <t>unidades (inteiro &gt; 0)</t>
        </is>
      </c>
      <c r="D65" s="8" t="inlineStr">
        <is>
          <t>tipologias[1].quantidade</t>
        </is>
      </c>
    </row>
    <row r="66">
      <c r="A66" s="5" t="inlineStr">
        <is>
          <t>Tipologia 1 — Preço/m² sugerido</t>
        </is>
      </c>
      <c r="B66" s="17" t="n"/>
      <c r="C66" s="7" t="inlineStr">
        <is>
          <t>R$/m² (preço padrão da alocação)</t>
        </is>
      </c>
      <c r="D66" s="8" t="inlineStr">
        <is>
          <t>tipologias[1].preco_m2</t>
        </is>
      </c>
    </row>
    <row r="67">
      <c r="A67" s="16" t="inlineStr">
        <is>
          <t>Tipologia 2</t>
        </is>
      </c>
    </row>
    <row r="68">
      <c r="A68" s="5" t="inlineStr">
        <is>
          <t>Tipologia 2 — Nome</t>
        </is>
      </c>
      <c r="B68" s="6" t="n"/>
      <c r="C68" s="7" t="inlineStr">
        <is>
          <t>texto (até 100)</t>
        </is>
      </c>
      <c r="D68" s="8" t="inlineStr">
        <is>
          <t>tipologias[2].nome</t>
        </is>
      </c>
    </row>
    <row r="69">
      <c r="A69" s="5" t="inlineStr">
        <is>
          <t>Tipologia 2 — Tipo</t>
        </is>
      </c>
      <c r="B69" s="6" t="n"/>
      <c r="C69" s="7" t="inlineStr">
        <is>
          <t>lista: apartamento | cobertura | loja | outro</t>
        </is>
      </c>
      <c r="D69" s="8" t="inlineStr">
        <is>
          <t>tipologias[2].tipo_unidade</t>
        </is>
      </c>
    </row>
    <row r="70">
      <c r="A70" s="5" t="inlineStr">
        <is>
          <t>Tipologia 2 — Área privativa (fechada)</t>
        </is>
      </c>
      <c r="B70" s="10" t="n"/>
      <c r="C70" s="7" t="inlineStr">
        <is>
          <t>m²</t>
        </is>
      </c>
      <c r="D70" s="8" t="inlineStr">
        <is>
          <t>tipologias[2].area_privativa_m2</t>
        </is>
      </c>
    </row>
    <row r="71">
      <c r="A71" s="5" t="inlineStr">
        <is>
          <t>Tipologia 2 — Área aberta</t>
        </is>
      </c>
      <c r="B71" s="10" t="n"/>
      <c r="C71" s="7" t="inlineStr">
        <is>
          <t>m² (entra no VGV)</t>
        </is>
      </c>
      <c r="D71" s="8" t="inlineStr">
        <is>
          <t>tipologias[2].area_privativa_aberta_m2</t>
        </is>
      </c>
    </row>
    <row r="72">
      <c r="A72" s="5" t="inlineStr">
        <is>
          <t>Tipologia 2 — Dormitórios</t>
        </is>
      </c>
      <c r="B72" s="15" t="n"/>
      <c r="C72" s="7" t="inlineStr">
        <is>
          <t>inteiro</t>
        </is>
      </c>
      <c r="D72" s="8" t="inlineStr">
        <is>
          <t>tipologias[2].dormitorios</t>
        </is>
      </c>
    </row>
    <row r="73">
      <c r="A73" s="5" t="inlineStr">
        <is>
          <t>Tipologia 2 — Vagas</t>
        </is>
      </c>
      <c r="B73" s="15" t="n"/>
      <c r="C73" s="7" t="inlineStr">
        <is>
          <t>inteiro</t>
        </is>
      </c>
      <c r="D73" s="8" t="inlineStr">
        <is>
          <t>tipologias[2].vagas</t>
        </is>
      </c>
    </row>
    <row r="74">
      <c r="A74" s="5" t="inlineStr">
        <is>
          <t>Tipologia 2 — Unidades</t>
        </is>
      </c>
      <c r="B74" s="15" t="n"/>
      <c r="C74" s="7" t="inlineStr">
        <is>
          <t>unidades (inteiro &gt; 0)</t>
        </is>
      </c>
      <c r="D74" s="8" t="inlineStr">
        <is>
          <t>tipologias[2].quantidade</t>
        </is>
      </c>
    </row>
    <row r="75">
      <c r="A75" s="5" t="inlineStr">
        <is>
          <t>Tipologia 2 — Preço/m² sugerido</t>
        </is>
      </c>
      <c r="B75" s="17" t="n"/>
      <c r="C75" s="7" t="inlineStr">
        <is>
          <t>R$/m² (preço padrão da alocação)</t>
        </is>
      </c>
      <c r="D75" s="8" t="inlineStr">
        <is>
          <t>tipologias[2].preco_m2</t>
        </is>
      </c>
    </row>
    <row r="76">
      <c r="A76" s="16" t="inlineStr">
        <is>
          <t>Tipologia 3</t>
        </is>
      </c>
    </row>
    <row r="77">
      <c r="A77" s="5" t="inlineStr">
        <is>
          <t>Tipologia 3 — Nome</t>
        </is>
      </c>
      <c r="B77" s="6" t="n"/>
      <c r="C77" s="7" t="inlineStr">
        <is>
          <t>texto (até 100)</t>
        </is>
      </c>
      <c r="D77" s="8" t="inlineStr">
        <is>
          <t>tipologias[3].nome</t>
        </is>
      </c>
    </row>
    <row r="78">
      <c r="A78" s="5" t="inlineStr">
        <is>
          <t>Tipologia 3 — Tipo</t>
        </is>
      </c>
      <c r="B78" s="6" t="n"/>
      <c r="C78" s="7" t="inlineStr">
        <is>
          <t>lista: apartamento | cobertura | loja | outro</t>
        </is>
      </c>
      <c r="D78" s="8" t="inlineStr">
        <is>
          <t>tipologias[3].tipo_unidade</t>
        </is>
      </c>
    </row>
    <row r="79">
      <c r="A79" s="5" t="inlineStr">
        <is>
          <t>Tipologia 3 — Área privativa (fechada)</t>
        </is>
      </c>
      <c r="B79" s="10" t="n"/>
      <c r="C79" s="7" t="inlineStr">
        <is>
          <t>m²</t>
        </is>
      </c>
      <c r="D79" s="8" t="inlineStr">
        <is>
          <t>tipologias[3].area_privativa_m2</t>
        </is>
      </c>
    </row>
    <row r="80">
      <c r="A80" s="5" t="inlineStr">
        <is>
          <t>Tipologia 3 — Área aberta</t>
        </is>
      </c>
      <c r="B80" s="10" t="n"/>
      <c r="C80" s="7" t="inlineStr">
        <is>
          <t>m² (entra no VGV)</t>
        </is>
      </c>
      <c r="D80" s="8" t="inlineStr">
        <is>
          <t>tipologias[3].area_privativa_aberta_m2</t>
        </is>
      </c>
    </row>
    <row r="81">
      <c r="A81" s="5" t="inlineStr">
        <is>
          <t>Tipologia 3 — Dormitórios</t>
        </is>
      </c>
      <c r="B81" s="15" t="n"/>
      <c r="C81" s="7" t="inlineStr">
        <is>
          <t>inteiro</t>
        </is>
      </c>
      <c r="D81" s="8" t="inlineStr">
        <is>
          <t>tipologias[3].dormitorios</t>
        </is>
      </c>
    </row>
    <row r="82">
      <c r="A82" s="5" t="inlineStr">
        <is>
          <t>Tipologia 3 — Vagas</t>
        </is>
      </c>
      <c r="B82" s="15" t="n"/>
      <c r="C82" s="7" t="inlineStr">
        <is>
          <t>inteiro</t>
        </is>
      </c>
      <c r="D82" s="8" t="inlineStr">
        <is>
          <t>tipologias[3].vagas</t>
        </is>
      </c>
    </row>
    <row r="83">
      <c r="A83" s="5" t="inlineStr">
        <is>
          <t>Tipologia 3 — Unidades</t>
        </is>
      </c>
      <c r="B83" s="15" t="n"/>
      <c r="C83" s="7" t="inlineStr">
        <is>
          <t>unidades (inteiro &gt; 0)</t>
        </is>
      </c>
      <c r="D83" s="8" t="inlineStr">
        <is>
          <t>tipologias[3].quantidade</t>
        </is>
      </c>
    </row>
    <row r="84">
      <c r="A84" s="5" t="inlineStr">
        <is>
          <t>Tipologia 3 — Preço/m² sugerido</t>
        </is>
      </c>
      <c r="B84" s="17" t="n"/>
      <c r="C84" s="7" t="inlineStr">
        <is>
          <t>R$/m² (preço padrão da alocação)</t>
        </is>
      </c>
      <c r="D84" s="8" t="inlineStr">
        <is>
          <t>tipologias[3].preco_m2</t>
        </is>
      </c>
    </row>
    <row r="85">
      <c r="A85" s="16" t="inlineStr">
        <is>
          <t>Tipologia 4</t>
        </is>
      </c>
    </row>
    <row r="86">
      <c r="A86" s="5" t="inlineStr">
        <is>
          <t>Tipologia 4 — Nome</t>
        </is>
      </c>
      <c r="B86" s="6" t="n"/>
      <c r="C86" s="7" t="inlineStr">
        <is>
          <t>texto (até 100)</t>
        </is>
      </c>
      <c r="D86" s="8" t="inlineStr">
        <is>
          <t>tipologias[4].nome</t>
        </is>
      </c>
    </row>
    <row r="87">
      <c r="A87" s="5" t="inlineStr">
        <is>
          <t>Tipologia 4 — Tipo</t>
        </is>
      </c>
      <c r="B87" s="6" t="n"/>
      <c r="C87" s="7" t="inlineStr">
        <is>
          <t>lista: apartamento | cobertura | loja | outro</t>
        </is>
      </c>
      <c r="D87" s="8" t="inlineStr">
        <is>
          <t>tipologias[4].tipo_unidade</t>
        </is>
      </c>
    </row>
    <row r="88">
      <c r="A88" s="5" t="inlineStr">
        <is>
          <t>Tipologia 4 — Área privativa (fechada)</t>
        </is>
      </c>
      <c r="B88" s="10" t="n"/>
      <c r="C88" s="7" t="inlineStr">
        <is>
          <t>m²</t>
        </is>
      </c>
      <c r="D88" s="8" t="inlineStr">
        <is>
          <t>tipologias[4].area_privativa_m2</t>
        </is>
      </c>
    </row>
    <row r="89">
      <c r="A89" s="5" t="inlineStr">
        <is>
          <t>Tipologia 4 — Área aberta</t>
        </is>
      </c>
      <c r="B89" s="10" t="n"/>
      <c r="C89" s="7" t="inlineStr">
        <is>
          <t>m² (entra no VGV)</t>
        </is>
      </c>
      <c r="D89" s="8" t="inlineStr">
        <is>
          <t>tipologias[4].area_privativa_aberta_m2</t>
        </is>
      </c>
    </row>
    <row r="90">
      <c r="A90" s="5" t="inlineStr">
        <is>
          <t>Tipologia 4 — Dormitórios</t>
        </is>
      </c>
      <c r="B90" s="15" t="n"/>
      <c r="C90" s="7" t="inlineStr">
        <is>
          <t>inteiro</t>
        </is>
      </c>
      <c r="D90" s="8" t="inlineStr">
        <is>
          <t>tipologias[4].dormitorios</t>
        </is>
      </c>
    </row>
    <row r="91">
      <c r="A91" s="5" t="inlineStr">
        <is>
          <t>Tipologia 4 — Vagas</t>
        </is>
      </c>
      <c r="B91" s="15" t="n"/>
      <c r="C91" s="7" t="inlineStr">
        <is>
          <t>inteiro</t>
        </is>
      </c>
      <c r="D91" s="8" t="inlineStr">
        <is>
          <t>tipologias[4].vagas</t>
        </is>
      </c>
    </row>
    <row r="92">
      <c r="A92" s="5" t="inlineStr">
        <is>
          <t>Tipologia 4 — Unidades</t>
        </is>
      </c>
      <c r="B92" s="15" t="n"/>
      <c r="C92" s="7" t="inlineStr">
        <is>
          <t>unidades (inteiro &gt; 0)</t>
        </is>
      </c>
      <c r="D92" s="8" t="inlineStr">
        <is>
          <t>tipologias[4].quantidade</t>
        </is>
      </c>
    </row>
    <row r="93">
      <c r="A93" s="5" t="inlineStr">
        <is>
          <t>Tipologia 4 — Preço/m² sugerido</t>
        </is>
      </c>
      <c r="B93" s="17" t="n"/>
      <c r="C93" s="7" t="inlineStr">
        <is>
          <t>R$/m² (preço padrão da alocação)</t>
        </is>
      </c>
      <c r="D93" s="8" t="inlineStr">
        <is>
          <t>tipologias[4].preco_m2</t>
        </is>
      </c>
    </row>
    <row r="94">
      <c r="A94" s="16" t="inlineStr">
        <is>
          <t>Tipologia 5</t>
        </is>
      </c>
    </row>
    <row r="95">
      <c r="A95" s="5" t="inlineStr">
        <is>
          <t>Tipologia 5 — Nome</t>
        </is>
      </c>
      <c r="B95" s="6" t="n"/>
      <c r="C95" s="7" t="inlineStr">
        <is>
          <t>texto (até 100)</t>
        </is>
      </c>
      <c r="D95" s="8" t="inlineStr">
        <is>
          <t>tipologias[5].nome</t>
        </is>
      </c>
    </row>
    <row r="96">
      <c r="A96" s="5" t="inlineStr">
        <is>
          <t>Tipologia 5 — Tipo</t>
        </is>
      </c>
      <c r="B96" s="6" t="n"/>
      <c r="C96" s="7" t="inlineStr">
        <is>
          <t>lista: apartamento | cobertura | loja | outro</t>
        </is>
      </c>
      <c r="D96" s="8" t="inlineStr">
        <is>
          <t>tipologias[5].tipo_unidade</t>
        </is>
      </c>
    </row>
    <row r="97">
      <c r="A97" s="5" t="inlineStr">
        <is>
          <t>Tipologia 5 — Área privativa (fechada)</t>
        </is>
      </c>
      <c r="B97" s="10" t="n"/>
      <c r="C97" s="7" t="inlineStr">
        <is>
          <t>m²</t>
        </is>
      </c>
      <c r="D97" s="8" t="inlineStr">
        <is>
          <t>tipologias[5].area_privativa_m2</t>
        </is>
      </c>
    </row>
    <row r="98">
      <c r="A98" s="5" t="inlineStr">
        <is>
          <t>Tipologia 5 — Área aberta</t>
        </is>
      </c>
      <c r="B98" s="10" t="n"/>
      <c r="C98" s="7" t="inlineStr">
        <is>
          <t>m² (entra no VGV)</t>
        </is>
      </c>
      <c r="D98" s="8" t="inlineStr">
        <is>
          <t>tipologias[5].area_privativa_aberta_m2</t>
        </is>
      </c>
    </row>
    <row r="99">
      <c r="A99" s="5" t="inlineStr">
        <is>
          <t>Tipologia 5 — Dormitórios</t>
        </is>
      </c>
      <c r="B99" s="15" t="n"/>
      <c r="C99" s="7" t="inlineStr">
        <is>
          <t>inteiro</t>
        </is>
      </c>
      <c r="D99" s="8" t="inlineStr">
        <is>
          <t>tipologias[5].dormitorios</t>
        </is>
      </c>
    </row>
    <row r="100">
      <c r="A100" s="5" t="inlineStr">
        <is>
          <t>Tipologia 5 — Vagas</t>
        </is>
      </c>
      <c r="B100" s="15" t="n"/>
      <c r="C100" s="7" t="inlineStr">
        <is>
          <t>inteiro</t>
        </is>
      </c>
      <c r="D100" s="8" t="inlineStr">
        <is>
          <t>tipologias[5].vagas</t>
        </is>
      </c>
    </row>
    <row r="101">
      <c r="A101" s="5" t="inlineStr">
        <is>
          <t>Tipologia 5 — Unidades</t>
        </is>
      </c>
      <c r="B101" s="15" t="n"/>
      <c r="C101" s="7" t="inlineStr">
        <is>
          <t>unidades (inteiro &gt; 0)</t>
        </is>
      </c>
      <c r="D101" s="8" t="inlineStr">
        <is>
          <t>tipologias[5].quantidade</t>
        </is>
      </c>
    </row>
    <row r="102">
      <c r="A102" s="5" t="inlineStr">
        <is>
          <t>Tipologia 5 — Preço/m² sugerido</t>
        </is>
      </c>
      <c r="B102" s="17" t="n"/>
      <c r="C102" s="7" t="inlineStr">
        <is>
          <t>R$/m² (preço padrão da alocação)</t>
        </is>
      </c>
      <c r="D102" s="8" t="inlineStr">
        <is>
          <t>tipologias[5].preco_m2</t>
        </is>
      </c>
    </row>
    <row r="103">
      <c r="A103" s="16" t="inlineStr">
        <is>
          <t>Tipologia 6</t>
        </is>
      </c>
    </row>
    <row r="104">
      <c r="A104" s="5" t="inlineStr">
        <is>
          <t>Tipologia 6 — Nome</t>
        </is>
      </c>
      <c r="B104" s="6" t="n"/>
      <c r="C104" s="7" t="inlineStr">
        <is>
          <t>texto (até 100)</t>
        </is>
      </c>
      <c r="D104" s="8" t="inlineStr">
        <is>
          <t>tipologias[6].nome</t>
        </is>
      </c>
    </row>
    <row r="105">
      <c r="A105" s="5" t="inlineStr">
        <is>
          <t>Tipologia 6 — Tipo</t>
        </is>
      </c>
      <c r="B105" s="6" t="n"/>
      <c r="C105" s="7" t="inlineStr">
        <is>
          <t>lista: apartamento | cobertura | loja | outro</t>
        </is>
      </c>
      <c r="D105" s="8" t="inlineStr">
        <is>
          <t>tipologias[6].tipo_unidade</t>
        </is>
      </c>
    </row>
    <row r="106">
      <c r="A106" s="5" t="inlineStr">
        <is>
          <t>Tipologia 6 — Área privativa (fechada)</t>
        </is>
      </c>
      <c r="B106" s="10" t="n"/>
      <c r="C106" s="7" t="inlineStr">
        <is>
          <t>m²</t>
        </is>
      </c>
      <c r="D106" s="8" t="inlineStr">
        <is>
          <t>tipologias[6].area_privativa_m2</t>
        </is>
      </c>
    </row>
    <row r="107">
      <c r="A107" s="5" t="inlineStr">
        <is>
          <t>Tipologia 6 — Área aberta</t>
        </is>
      </c>
      <c r="B107" s="10" t="n"/>
      <c r="C107" s="7" t="inlineStr">
        <is>
          <t>m² (entra no VGV)</t>
        </is>
      </c>
      <c r="D107" s="8" t="inlineStr">
        <is>
          <t>tipologias[6].area_privativa_aberta_m2</t>
        </is>
      </c>
    </row>
    <row r="108">
      <c r="A108" s="5" t="inlineStr">
        <is>
          <t>Tipologia 6 — Dormitórios</t>
        </is>
      </c>
      <c r="B108" s="15" t="n"/>
      <c r="C108" s="7" t="inlineStr">
        <is>
          <t>inteiro</t>
        </is>
      </c>
      <c r="D108" s="8" t="inlineStr">
        <is>
          <t>tipologias[6].dormitorios</t>
        </is>
      </c>
    </row>
    <row r="109">
      <c r="A109" s="5" t="inlineStr">
        <is>
          <t>Tipologia 6 — Vagas</t>
        </is>
      </c>
      <c r="B109" s="15" t="n"/>
      <c r="C109" s="7" t="inlineStr">
        <is>
          <t>inteiro</t>
        </is>
      </c>
      <c r="D109" s="8" t="inlineStr">
        <is>
          <t>tipologias[6].vagas</t>
        </is>
      </c>
    </row>
    <row r="110">
      <c r="A110" s="5" t="inlineStr">
        <is>
          <t>Tipologia 6 — Unidades</t>
        </is>
      </c>
      <c r="B110" s="15" t="n"/>
      <c r="C110" s="7" t="inlineStr">
        <is>
          <t>unidades (inteiro &gt; 0)</t>
        </is>
      </c>
      <c r="D110" s="8" t="inlineStr">
        <is>
          <t>tipologias[6].quantidade</t>
        </is>
      </c>
    </row>
    <row r="111">
      <c r="A111" s="5" t="inlineStr">
        <is>
          <t>Tipologia 6 — Preço/m² sugerido</t>
        </is>
      </c>
      <c r="B111" s="17" t="n"/>
      <c r="C111" s="7" t="inlineStr">
        <is>
          <t>R$/m² (preço padrão da alocação)</t>
        </is>
      </c>
      <c r="D111" s="8" t="inlineStr">
        <is>
          <t>tipologias[6].preco_m2</t>
        </is>
      </c>
    </row>
    <row r="112">
      <c r="A112" s="16" t="inlineStr">
        <is>
          <t>Tipologia 7</t>
        </is>
      </c>
    </row>
    <row r="113">
      <c r="A113" s="5" t="inlineStr">
        <is>
          <t>Tipologia 7 — Nome</t>
        </is>
      </c>
      <c r="B113" s="6" t="n"/>
      <c r="C113" s="7" t="inlineStr">
        <is>
          <t>texto (até 100)</t>
        </is>
      </c>
      <c r="D113" s="8" t="inlineStr">
        <is>
          <t>tipologias[7].nome</t>
        </is>
      </c>
    </row>
    <row r="114">
      <c r="A114" s="5" t="inlineStr">
        <is>
          <t>Tipologia 7 — Tipo</t>
        </is>
      </c>
      <c r="B114" s="6" t="n"/>
      <c r="C114" s="7" t="inlineStr">
        <is>
          <t>lista: apartamento | cobertura | loja | outro</t>
        </is>
      </c>
      <c r="D114" s="8" t="inlineStr">
        <is>
          <t>tipologias[7].tipo_unidade</t>
        </is>
      </c>
    </row>
    <row r="115">
      <c r="A115" s="5" t="inlineStr">
        <is>
          <t>Tipologia 7 — Área privativa (fechada)</t>
        </is>
      </c>
      <c r="B115" s="10" t="n"/>
      <c r="C115" s="7" t="inlineStr">
        <is>
          <t>m²</t>
        </is>
      </c>
      <c r="D115" s="8" t="inlineStr">
        <is>
          <t>tipologias[7].area_privativa_m2</t>
        </is>
      </c>
    </row>
    <row r="116">
      <c r="A116" s="5" t="inlineStr">
        <is>
          <t>Tipologia 7 — Área aberta</t>
        </is>
      </c>
      <c r="B116" s="10" t="n"/>
      <c r="C116" s="7" t="inlineStr">
        <is>
          <t>m² (entra no VGV)</t>
        </is>
      </c>
      <c r="D116" s="8" t="inlineStr">
        <is>
          <t>tipologias[7].area_privativa_aberta_m2</t>
        </is>
      </c>
    </row>
    <row r="117">
      <c r="A117" s="5" t="inlineStr">
        <is>
          <t>Tipologia 7 — Dormitórios</t>
        </is>
      </c>
      <c r="B117" s="15" t="n"/>
      <c r="C117" s="7" t="inlineStr">
        <is>
          <t>inteiro</t>
        </is>
      </c>
      <c r="D117" s="8" t="inlineStr">
        <is>
          <t>tipologias[7].dormitorios</t>
        </is>
      </c>
    </row>
    <row r="118">
      <c r="A118" s="5" t="inlineStr">
        <is>
          <t>Tipologia 7 — Vagas</t>
        </is>
      </c>
      <c r="B118" s="15" t="n"/>
      <c r="C118" s="7" t="inlineStr">
        <is>
          <t>inteiro</t>
        </is>
      </c>
      <c r="D118" s="8" t="inlineStr">
        <is>
          <t>tipologias[7].vagas</t>
        </is>
      </c>
    </row>
    <row r="119">
      <c r="A119" s="5" t="inlineStr">
        <is>
          <t>Tipologia 7 — Unidades</t>
        </is>
      </c>
      <c r="B119" s="15" t="n"/>
      <c r="C119" s="7" t="inlineStr">
        <is>
          <t>unidades (inteiro &gt; 0)</t>
        </is>
      </c>
      <c r="D119" s="8" t="inlineStr">
        <is>
          <t>tipologias[7].quantidade</t>
        </is>
      </c>
    </row>
    <row r="120">
      <c r="A120" s="5" t="inlineStr">
        <is>
          <t>Tipologia 7 — Preço/m² sugerido</t>
        </is>
      </c>
      <c r="B120" s="17" t="n"/>
      <c r="C120" s="7" t="inlineStr">
        <is>
          <t>R$/m² (preço padrão da alocação)</t>
        </is>
      </c>
      <c r="D120" s="8" t="inlineStr">
        <is>
          <t>tipologias[7].preco_m2</t>
        </is>
      </c>
    </row>
    <row r="121">
      <c r="A121" s="16" t="inlineStr">
        <is>
          <t>Tipologia 8</t>
        </is>
      </c>
    </row>
    <row r="122">
      <c r="A122" s="5" t="inlineStr">
        <is>
          <t>Tipologia 8 — Nome</t>
        </is>
      </c>
      <c r="B122" s="6" t="n"/>
      <c r="C122" s="7" t="inlineStr">
        <is>
          <t>texto (até 100)</t>
        </is>
      </c>
      <c r="D122" s="8" t="inlineStr">
        <is>
          <t>tipologias[8].nome</t>
        </is>
      </c>
    </row>
    <row r="123">
      <c r="A123" s="5" t="inlineStr">
        <is>
          <t>Tipologia 8 — Tipo</t>
        </is>
      </c>
      <c r="B123" s="6" t="n"/>
      <c r="C123" s="7" t="inlineStr">
        <is>
          <t>lista: apartamento | cobertura | loja | outro</t>
        </is>
      </c>
      <c r="D123" s="8" t="inlineStr">
        <is>
          <t>tipologias[8].tipo_unidade</t>
        </is>
      </c>
    </row>
    <row r="124">
      <c r="A124" s="5" t="inlineStr">
        <is>
          <t>Tipologia 8 — Área privativa (fechada)</t>
        </is>
      </c>
      <c r="B124" s="10" t="n"/>
      <c r="C124" s="7" t="inlineStr">
        <is>
          <t>m²</t>
        </is>
      </c>
      <c r="D124" s="8" t="inlineStr">
        <is>
          <t>tipologias[8].area_privativa_m2</t>
        </is>
      </c>
    </row>
    <row r="125">
      <c r="A125" s="5" t="inlineStr">
        <is>
          <t>Tipologia 8 — Área aberta</t>
        </is>
      </c>
      <c r="B125" s="10" t="n"/>
      <c r="C125" s="7" t="inlineStr">
        <is>
          <t>m² (entra no VGV)</t>
        </is>
      </c>
      <c r="D125" s="8" t="inlineStr">
        <is>
          <t>tipologias[8].area_privativa_aberta_m2</t>
        </is>
      </c>
    </row>
    <row r="126">
      <c r="A126" s="5" t="inlineStr">
        <is>
          <t>Tipologia 8 — Dormitórios</t>
        </is>
      </c>
      <c r="B126" s="15" t="n"/>
      <c r="C126" s="7" t="inlineStr">
        <is>
          <t>inteiro</t>
        </is>
      </c>
      <c r="D126" s="8" t="inlineStr">
        <is>
          <t>tipologias[8].dormitorios</t>
        </is>
      </c>
    </row>
    <row r="127">
      <c r="A127" s="5" t="inlineStr">
        <is>
          <t>Tipologia 8 — Vagas</t>
        </is>
      </c>
      <c r="B127" s="15" t="n"/>
      <c r="C127" s="7" t="inlineStr">
        <is>
          <t>inteiro</t>
        </is>
      </c>
      <c r="D127" s="8" t="inlineStr">
        <is>
          <t>tipologias[8].vagas</t>
        </is>
      </c>
    </row>
    <row r="128">
      <c r="A128" s="5" t="inlineStr">
        <is>
          <t>Tipologia 8 — Unidades</t>
        </is>
      </c>
      <c r="B128" s="15" t="n"/>
      <c r="C128" s="7" t="inlineStr">
        <is>
          <t>unidades (inteiro &gt; 0)</t>
        </is>
      </c>
      <c r="D128" s="8" t="inlineStr">
        <is>
          <t>tipologias[8].quantidade</t>
        </is>
      </c>
    </row>
    <row r="129">
      <c r="A129" s="5" t="inlineStr">
        <is>
          <t>Tipologia 8 — Preço/m² sugerido</t>
        </is>
      </c>
      <c r="B129" s="17" t="n"/>
      <c r="C129" s="7" t="inlineStr">
        <is>
          <t>R$/m² (preço padrão da alocação)</t>
        </is>
      </c>
      <c r="D129" s="8" t="inlineStr">
        <is>
          <t>tipologias[8].preco_m2</t>
        </is>
      </c>
    </row>
    <row r="130">
      <c r="A130" s="16" t="inlineStr">
        <is>
          <t>Tipologia 9</t>
        </is>
      </c>
    </row>
    <row r="131">
      <c r="A131" s="5" t="inlineStr">
        <is>
          <t>Tipologia 9 — Nome</t>
        </is>
      </c>
      <c r="B131" s="6" t="n"/>
      <c r="C131" s="7" t="inlineStr">
        <is>
          <t>texto (até 100)</t>
        </is>
      </c>
      <c r="D131" s="8" t="inlineStr">
        <is>
          <t>tipologias[9].nome</t>
        </is>
      </c>
    </row>
    <row r="132">
      <c r="A132" s="5" t="inlineStr">
        <is>
          <t>Tipologia 9 — Tipo</t>
        </is>
      </c>
      <c r="B132" s="6" t="n"/>
      <c r="C132" s="7" t="inlineStr">
        <is>
          <t>lista: apartamento | cobertura | loja | outro</t>
        </is>
      </c>
      <c r="D132" s="8" t="inlineStr">
        <is>
          <t>tipologias[9].tipo_unidade</t>
        </is>
      </c>
    </row>
    <row r="133">
      <c r="A133" s="5" t="inlineStr">
        <is>
          <t>Tipologia 9 — Área privativa (fechada)</t>
        </is>
      </c>
      <c r="B133" s="10" t="n"/>
      <c r="C133" s="7" t="inlineStr">
        <is>
          <t>m²</t>
        </is>
      </c>
      <c r="D133" s="8" t="inlineStr">
        <is>
          <t>tipologias[9].area_privativa_m2</t>
        </is>
      </c>
    </row>
    <row r="134">
      <c r="A134" s="5" t="inlineStr">
        <is>
          <t>Tipologia 9 — Área aberta</t>
        </is>
      </c>
      <c r="B134" s="10" t="n"/>
      <c r="C134" s="7" t="inlineStr">
        <is>
          <t>m² (entra no VGV)</t>
        </is>
      </c>
      <c r="D134" s="8" t="inlineStr">
        <is>
          <t>tipologias[9].area_privativa_aberta_m2</t>
        </is>
      </c>
    </row>
    <row r="135">
      <c r="A135" s="5" t="inlineStr">
        <is>
          <t>Tipologia 9 — Dormitórios</t>
        </is>
      </c>
      <c r="B135" s="15" t="n"/>
      <c r="C135" s="7" t="inlineStr">
        <is>
          <t>inteiro</t>
        </is>
      </c>
      <c r="D135" s="8" t="inlineStr">
        <is>
          <t>tipologias[9].dormitorios</t>
        </is>
      </c>
    </row>
    <row r="136">
      <c r="A136" s="5" t="inlineStr">
        <is>
          <t>Tipologia 9 — Vagas</t>
        </is>
      </c>
      <c r="B136" s="15" t="n"/>
      <c r="C136" s="7" t="inlineStr">
        <is>
          <t>inteiro</t>
        </is>
      </c>
      <c r="D136" s="8" t="inlineStr">
        <is>
          <t>tipologias[9].vagas</t>
        </is>
      </c>
    </row>
    <row r="137">
      <c r="A137" s="5" t="inlineStr">
        <is>
          <t>Tipologia 9 — Unidades</t>
        </is>
      </c>
      <c r="B137" s="15" t="n"/>
      <c r="C137" s="7" t="inlineStr">
        <is>
          <t>unidades (inteiro &gt; 0)</t>
        </is>
      </c>
      <c r="D137" s="8" t="inlineStr">
        <is>
          <t>tipologias[9].quantidade</t>
        </is>
      </c>
    </row>
    <row r="138">
      <c r="A138" s="5" t="inlineStr">
        <is>
          <t>Tipologia 9 — Preço/m² sugerido</t>
        </is>
      </c>
      <c r="B138" s="17" t="n"/>
      <c r="C138" s="7" t="inlineStr">
        <is>
          <t>R$/m² (preço padrão da alocação)</t>
        </is>
      </c>
      <c r="D138" s="8" t="inlineStr">
        <is>
          <t>tipologias[9].preco_m2</t>
        </is>
      </c>
    </row>
    <row r="139">
      <c r="A139" s="16" t="inlineStr">
        <is>
          <t>Tipologia 10</t>
        </is>
      </c>
    </row>
    <row r="140">
      <c r="A140" s="5" t="inlineStr">
        <is>
          <t>Tipologia 10 — Nome</t>
        </is>
      </c>
      <c r="B140" s="6" t="n"/>
      <c r="C140" s="7" t="inlineStr">
        <is>
          <t>texto (até 100)</t>
        </is>
      </c>
      <c r="D140" s="8" t="inlineStr">
        <is>
          <t>tipologias[10].nome</t>
        </is>
      </c>
    </row>
    <row r="141">
      <c r="A141" s="5" t="inlineStr">
        <is>
          <t>Tipologia 10 — Tipo</t>
        </is>
      </c>
      <c r="B141" s="6" t="n"/>
      <c r="C141" s="7" t="inlineStr">
        <is>
          <t>lista: apartamento | cobertura | loja | outro</t>
        </is>
      </c>
      <c r="D141" s="8" t="inlineStr">
        <is>
          <t>tipologias[10].tipo_unidade</t>
        </is>
      </c>
    </row>
    <row r="142">
      <c r="A142" s="5" t="inlineStr">
        <is>
          <t>Tipologia 10 — Área privativa (fechada)</t>
        </is>
      </c>
      <c r="B142" s="10" t="n"/>
      <c r="C142" s="7" t="inlineStr">
        <is>
          <t>m²</t>
        </is>
      </c>
      <c r="D142" s="8" t="inlineStr">
        <is>
          <t>tipologias[10].area_privativa_m2</t>
        </is>
      </c>
    </row>
    <row r="143">
      <c r="A143" s="5" t="inlineStr">
        <is>
          <t>Tipologia 10 — Área aberta</t>
        </is>
      </c>
      <c r="B143" s="10" t="n"/>
      <c r="C143" s="7" t="inlineStr">
        <is>
          <t>m² (entra no VGV)</t>
        </is>
      </c>
      <c r="D143" s="8" t="inlineStr">
        <is>
          <t>tipologias[10].area_privativa_aberta_m2</t>
        </is>
      </c>
    </row>
    <row r="144">
      <c r="A144" s="5" t="inlineStr">
        <is>
          <t>Tipologia 10 — Dormitórios</t>
        </is>
      </c>
      <c r="B144" s="15" t="n"/>
      <c r="C144" s="7" t="inlineStr">
        <is>
          <t>inteiro</t>
        </is>
      </c>
      <c r="D144" s="8" t="inlineStr">
        <is>
          <t>tipologias[10].dormitorios</t>
        </is>
      </c>
    </row>
    <row r="145">
      <c r="A145" s="5" t="inlineStr">
        <is>
          <t>Tipologia 10 — Vagas</t>
        </is>
      </c>
      <c r="B145" s="15" t="n"/>
      <c r="C145" s="7" t="inlineStr">
        <is>
          <t>inteiro</t>
        </is>
      </c>
      <c r="D145" s="8" t="inlineStr">
        <is>
          <t>tipologias[10].vagas</t>
        </is>
      </c>
    </row>
    <row r="146">
      <c r="A146" s="5" t="inlineStr">
        <is>
          <t>Tipologia 10 — Unidades</t>
        </is>
      </c>
      <c r="B146" s="15" t="n"/>
      <c r="C146" s="7" t="inlineStr">
        <is>
          <t>unidades (inteiro &gt; 0)</t>
        </is>
      </c>
      <c r="D146" s="8" t="inlineStr">
        <is>
          <t>tipologias[10].quantidade</t>
        </is>
      </c>
    </row>
    <row r="147">
      <c r="A147" s="5" t="inlineStr">
        <is>
          <t>Tipologia 10 — Preço/m² sugerido</t>
        </is>
      </c>
      <c r="B147" s="17" t="n"/>
      <c r="C147" s="7" t="inlineStr">
        <is>
          <t>R$/m² (preço padrão da alocação)</t>
        </is>
      </c>
      <c r="D147" s="8" t="inlineStr">
        <is>
          <t>tipologias[10].preco_m2</t>
        </is>
      </c>
    </row>
    <row r="148" ht="20" customHeight="1">
      <c r="A148" s="4" t="inlineStr">
        <is>
          <t>6 · Grupos de venda (Viabilidade › Receitas) — 5 vagas; absorção = % das unidades vendido em cada período</t>
        </is>
      </c>
    </row>
    <row r="149" ht="26" customHeight="1">
      <c r="A149" s="13" t="inlineStr">
        <is>
          <t>Pós-chaves = 100% − Pré − Lançamento − Obra e Repasse = 100% − Σ % do grupo na seção de Pagamento: ambos calculados (zona de referência). Sem pré-lançamento, deixe a absorção de pré em branco.</t>
        </is>
      </c>
    </row>
    <row r="150">
      <c r="A150" s="16" t="inlineStr">
        <is>
          <t>Grupo de venda 1</t>
        </is>
      </c>
    </row>
    <row r="151">
      <c r="A151" s="5" t="inlineStr">
        <is>
          <t>Grupo 1 — Nome</t>
        </is>
      </c>
      <c r="B151" s="6" t="n"/>
      <c r="C151" s="7" t="inlineStr">
        <is>
          <t>texto</t>
        </is>
      </c>
      <c r="D151" s="8" t="inlineStr">
        <is>
          <t>grupos[1].nome</t>
        </is>
      </c>
    </row>
    <row r="152">
      <c r="A152" s="5" t="inlineStr">
        <is>
          <t>Grupo 1 — Absorção no Pré-lançamento (só com pré)</t>
        </is>
      </c>
      <c r="B152" s="12" t="n"/>
      <c r="C152" s="7" t="inlineStr">
        <is>
          <t>% das unidades</t>
        </is>
      </c>
      <c r="D152" s="8" t="inlineStr">
        <is>
          <t>grupos[1].pre_lancamento_pct</t>
        </is>
      </c>
    </row>
    <row r="153">
      <c r="A153" s="5" t="inlineStr">
        <is>
          <t>Grupo 1 — Absorção no Lançamento</t>
        </is>
      </c>
      <c r="B153" s="12" t="n"/>
      <c r="C153" s="7" t="inlineStr">
        <is>
          <t>% das unidades</t>
        </is>
      </c>
      <c r="D153" s="8" t="inlineStr">
        <is>
          <t>grupos[1].lancamento_pct</t>
        </is>
      </c>
    </row>
    <row r="154">
      <c r="A154" s="5" t="inlineStr">
        <is>
          <t>Grupo 1 — Absorção Durante a obra</t>
        </is>
      </c>
      <c r="B154" s="12" t="n"/>
      <c r="C154" s="7" t="inlineStr">
        <is>
          <t>% das unidades</t>
        </is>
      </c>
      <c r="D154" s="8" t="inlineStr">
        <is>
          <t>grupos[1].obra_pct</t>
        </is>
      </c>
    </row>
    <row r="155">
      <c r="A155" s="5" t="inlineStr">
        <is>
          <t>Grupo 1 — Janela pós-chaves</t>
        </is>
      </c>
      <c r="B155" s="15" t="n"/>
      <c r="C155" s="7" t="inlineStr">
        <is>
          <t>meses (1 a 12)</t>
        </is>
      </c>
      <c r="D155" s="8" t="inlineStr">
        <is>
          <t>grupos[1].pos_chaves_meses</t>
        </is>
      </c>
    </row>
    <row r="156">
      <c r="A156" s="5" t="inlineStr">
        <is>
          <t>Grupo 1 — Correção de estoque</t>
        </is>
      </c>
      <c r="B156" s="6" t="n"/>
      <c r="C156" s="7" t="inlineStr">
        <is>
          <t>Sim/Não</t>
        </is>
      </c>
      <c r="D156" s="8" t="inlineStr">
        <is>
          <t>grupos[1].correcao_estoque</t>
        </is>
      </c>
    </row>
    <row r="157">
      <c r="A157" s="5" t="inlineStr">
        <is>
          <t>Grupo 1 — Resíduo sem prazo</t>
        </is>
      </c>
      <c r="B157" s="6" t="n"/>
      <c r="C157" s="7" t="inlineStr">
        <is>
          <t>lista: imediato | concentrado</t>
        </is>
      </c>
      <c r="D157" s="8" t="inlineStr">
        <is>
          <t>grupos[1].residuo_sem_prazo</t>
        </is>
      </c>
    </row>
    <row r="158">
      <c r="A158" s="16" t="inlineStr">
        <is>
          <t>Grupo de venda 2</t>
        </is>
      </c>
    </row>
    <row r="159">
      <c r="A159" s="5" t="inlineStr">
        <is>
          <t>Grupo 2 — Nome</t>
        </is>
      </c>
      <c r="B159" s="6" t="n"/>
      <c r="C159" s="7" t="inlineStr">
        <is>
          <t>texto</t>
        </is>
      </c>
      <c r="D159" s="8" t="inlineStr">
        <is>
          <t>grupos[2].nome</t>
        </is>
      </c>
    </row>
    <row r="160">
      <c r="A160" s="5" t="inlineStr">
        <is>
          <t>Grupo 2 — Absorção no Pré-lançamento (só com pré)</t>
        </is>
      </c>
      <c r="B160" s="12" t="n"/>
      <c r="C160" s="7" t="inlineStr">
        <is>
          <t>% das unidades</t>
        </is>
      </c>
      <c r="D160" s="8" t="inlineStr">
        <is>
          <t>grupos[2].pre_lancamento_pct</t>
        </is>
      </c>
    </row>
    <row r="161">
      <c r="A161" s="5" t="inlineStr">
        <is>
          <t>Grupo 2 — Absorção no Lançamento</t>
        </is>
      </c>
      <c r="B161" s="12" t="n"/>
      <c r="C161" s="7" t="inlineStr">
        <is>
          <t>% das unidades</t>
        </is>
      </c>
      <c r="D161" s="8" t="inlineStr">
        <is>
          <t>grupos[2].lancamento_pct</t>
        </is>
      </c>
    </row>
    <row r="162">
      <c r="A162" s="5" t="inlineStr">
        <is>
          <t>Grupo 2 — Absorção Durante a obra</t>
        </is>
      </c>
      <c r="B162" s="12" t="n"/>
      <c r="C162" s="7" t="inlineStr">
        <is>
          <t>% das unidades</t>
        </is>
      </c>
      <c r="D162" s="8" t="inlineStr">
        <is>
          <t>grupos[2].obra_pct</t>
        </is>
      </c>
    </row>
    <row r="163">
      <c r="A163" s="5" t="inlineStr">
        <is>
          <t>Grupo 2 — Janela pós-chaves</t>
        </is>
      </c>
      <c r="B163" s="15" t="n"/>
      <c r="C163" s="7" t="inlineStr">
        <is>
          <t>meses (1 a 12)</t>
        </is>
      </c>
      <c r="D163" s="8" t="inlineStr">
        <is>
          <t>grupos[2].pos_chaves_meses</t>
        </is>
      </c>
    </row>
    <row r="164">
      <c r="A164" s="5" t="inlineStr">
        <is>
          <t>Grupo 2 — Correção de estoque</t>
        </is>
      </c>
      <c r="B164" s="6" t="n"/>
      <c r="C164" s="7" t="inlineStr">
        <is>
          <t>Sim/Não</t>
        </is>
      </c>
      <c r="D164" s="8" t="inlineStr">
        <is>
          <t>grupos[2].correcao_estoque</t>
        </is>
      </c>
    </row>
    <row r="165">
      <c r="A165" s="5" t="inlineStr">
        <is>
          <t>Grupo 2 — Resíduo sem prazo</t>
        </is>
      </c>
      <c r="B165" s="6" t="n"/>
      <c r="C165" s="7" t="inlineStr">
        <is>
          <t>lista: imediato | concentrado</t>
        </is>
      </c>
      <c r="D165" s="8" t="inlineStr">
        <is>
          <t>grupos[2].residuo_sem_prazo</t>
        </is>
      </c>
    </row>
    <row r="166">
      <c r="A166" s="16" t="inlineStr">
        <is>
          <t>Grupo de venda 3</t>
        </is>
      </c>
    </row>
    <row r="167">
      <c r="A167" s="5" t="inlineStr">
        <is>
          <t>Grupo 3 — Nome</t>
        </is>
      </c>
      <c r="B167" s="6" t="n"/>
      <c r="C167" s="7" t="inlineStr">
        <is>
          <t>texto</t>
        </is>
      </c>
      <c r="D167" s="8" t="inlineStr">
        <is>
          <t>grupos[3].nome</t>
        </is>
      </c>
    </row>
    <row r="168">
      <c r="A168" s="5" t="inlineStr">
        <is>
          <t>Grupo 3 — Absorção no Pré-lançamento (só com pré)</t>
        </is>
      </c>
      <c r="B168" s="12" t="n"/>
      <c r="C168" s="7" t="inlineStr">
        <is>
          <t>% das unidades</t>
        </is>
      </c>
      <c r="D168" s="8" t="inlineStr">
        <is>
          <t>grupos[3].pre_lancamento_pct</t>
        </is>
      </c>
    </row>
    <row r="169">
      <c r="A169" s="5" t="inlineStr">
        <is>
          <t>Grupo 3 — Absorção no Lançamento</t>
        </is>
      </c>
      <c r="B169" s="12" t="n"/>
      <c r="C169" s="7" t="inlineStr">
        <is>
          <t>% das unidades</t>
        </is>
      </c>
      <c r="D169" s="8" t="inlineStr">
        <is>
          <t>grupos[3].lancamento_pct</t>
        </is>
      </c>
    </row>
    <row r="170">
      <c r="A170" s="5" t="inlineStr">
        <is>
          <t>Grupo 3 — Absorção Durante a obra</t>
        </is>
      </c>
      <c r="B170" s="12" t="n"/>
      <c r="C170" s="7" t="inlineStr">
        <is>
          <t>% das unidades</t>
        </is>
      </c>
      <c r="D170" s="8" t="inlineStr">
        <is>
          <t>grupos[3].obra_pct</t>
        </is>
      </c>
    </row>
    <row r="171">
      <c r="A171" s="5" t="inlineStr">
        <is>
          <t>Grupo 3 — Janela pós-chaves</t>
        </is>
      </c>
      <c r="B171" s="15" t="n"/>
      <c r="C171" s="7" t="inlineStr">
        <is>
          <t>meses (1 a 12)</t>
        </is>
      </c>
      <c r="D171" s="8" t="inlineStr">
        <is>
          <t>grupos[3].pos_chaves_meses</t>
        </is>
      </c>
    </row>
    <row r="172">
      <c r="A172" s="5" t="inlineStr">
        <is>
          <t>Grupo 3 — Correção de estoque</t>
        </is>
      </c>
      <c r="B172" s="6" t="n"/>
      <c r="C172" s="7" t="inlineStr">
        <is>
          <t>Sim/Não</t>
        </is>
      </c>
      <c r="D172" s="8" t="inlineStr">
        <is>
          <t>grupos[3].correcao_estoque</t>
        </is>
      </c>
    </row>
    <row r="173">
      <c r="A173" s="5" t="inlineStr">
        <is>
          <t>Grupo 3 — Resíduo sem prazo</t>
        </is>
      </c>
      <c r="B173" s="6" t="n"/>
      <c r="C173" s="7" t="inlineStr">
        <is>
          <t>lista: imediato | concentrado</t>
        </is>
      </c>
      <c r="D173" s="8" t="inlineStr">
        <is>
          <t>grupos[3].residuo_sem_prazo</t>
        </is>
      </c>
    </row>
    <row r="174">
      <c r="A174" s="16" t="inlineStr">
        <is>
          <t>Grupo de venda 4</t>
        </is>
      </c>
    </row>
    <row r="175">
      <c r="A175" s="5" t="inlineStr">
        <is>
          <t>Grupo 4 — Nome</t>
        </is>
      </c>
      <c r="B175" s="6" t="n"/>
      <c r="C175" s="7" t="inlineStr">
        <is>
          <t>texto</t>
        </is>
      </c>
      <c r="D175" s="8" t="inlineStr">
        <is>
          <t>grupos[4].nome</t>
        </is>
      </c>
    </row>
    <row r="176">
      <c r="A176" s="5" t="inlineStr">
        <is>
          <t>Grupo 4 — Absorção no Pré-lançamento (só com pré)</t>
        </is>
      </c>
      <c r="B176" s="12" t="n"/>
      <c r="C176" s="7" t="inlineStr">
        <is>
          <t>% das unidades</t>
        </is>
      </c>
      <c r="D176" s="8" t="inlineStr">
        <is>
          <t>grupos[4].pre_lancamento_pct</t>
        </is>
      </c>
    </row>
    <row r="177">
      <c r="A177" s="5" t="inlineStr">
        <is>
          <t>Grupo 4 — Absorção no Lançamento</t>
        </is>
      </c>
      <c r="B177" s="12" t="n"/>
      <c r="C177" s="7" t="inlineStr">
        <is>
          <t>% das unidades</t>
        </is>
      </c>
      <c r="D177" s="8" t="inlineStr">
        <is>
          <t>grupos[4].lancamento_pct</t>
        </is>
      </c>
    </row>
    <row r="178">
      <c r="A178" s="5" t="inlineStr">
        <is>
          <t>Grupo 4 — Absorção Durante a obra</t>
        </is>
      </c>
      <c r="B178" s="12" t="n"/>
      <c r="C178" s="7" t="inlineStr">
        <is>
          <t>% das unidades</t>
        </is>
      </c>
      <c r="D178" s="8" t="inlineStr">
        <is>
          <t>grupos[4].obra_pct</t>
        </is>
      </c>
    </row>
    <row r="179">
      <c r="A179" s="5" t="inlineStr">
        <is>
          <t>Grupo 4 — Janela pós-chaves</t>
        </is>
      </c>
      <c r="B179" s="15" t="n"/>
      <c r="C179" s="7" t="inlineStr">
        <is>
          <t>meses (1 a 12)</t>
        </is>
      </c>
      <c r="D179" s="8" t="inlineStr">
        <is>
          <t>grupos[4].pos_chaves_meses</t>
        </is>
      </c>
    </row>
    <row r="180">
      <c r="A180" s="5" t="inlineStr">
        <is>
          <t>Grupo 4 — Correção de estoque</t>
        </is>
      </c>
      <c r="B180" s="6" t="n"/>
      <c r="C180" s="7" t="inlineStr">
        <is>
          <t>Sim/Não</t>
        </is>
      </c>
      <c r="D180" s="8" t="inlineStr">
        <is>
          <t>grupos[4].correcao_estoque</t>
        </is>
      </c>
    </row>
    <row r="181">
      <c r="A181" s="5" t="inlineStr">
        <is>
          <t>Grupo 4 — Resíduo sem prazo</t>
        </is>
      </c>
      <c r="B181" s="6" t="n"/>
      <c r="C181" s="7" t="inlineStr">
        <is>
          <t>lista: imediato | concentrado</t>
        </is>
      </c>
      <c r="D181" s="8" t="inlineStr">
        <is>
          <t>grupos[4].residuo_sem_prazo</t>
        </is>
      </c>
    </row>
    <row r="182">
      <c r="A182" s="16" t="inlineStr">
        <is>
          <t>Grupo de venda 5</t>
        </is>
      </c>
    </row>
    <row r="183">
      <c r="A183" s="5" t="inlineStr">
        <is>
          <t>Grupo 5 — Nome</t>
        </is>
      </c>
      <c r="B183" s="6" t="n"/>
      <c r="C183" s="7" t="inlineStr">
        <is>
          <t>texto</t>
        </is>
      </c>
      <c r="D183" s="8" t="inlineStr">
        <is>
          <t>grupos[5].nome</t>
        </is>
      </c>
    </row>
    <row r="184">
      <c r="A184" s="5" t="inlineStr">
        <is>
          <t>Grupo 5 — Absorção no Pré-lançamento (só com pré)</t>
        </is>
      </c>
      <c r="B184" s="12" t="n"/>
      <c r="C184" s="7" t="inlineStr">
        <is>
          <t>% das unidades</t>
        </is>
      </c>
      <c r="D184" s="8" t="inlineStr">
        <is>
          <t>grupos[5].pre_lancamento_pct</t>
        </is>
      </c>
    </row>
    <row r="185">
      <c r="A185" s="5" t="inlineStr">
        <is>
          <t>Grupo 5 — Absorção no Lançamento</t>
        </is>
      </c>
      <c r="B185" s="12" t="n"/>
      <c r="C185" s="7" t="inlineStr">
        <is>
          <t>% das unidades</t>
        </is>
      </c>
      <c r="D185" s="8" t="inlineStr">
        <is>
          <t>grupos[5].lancamento_pct</t>
        </is>
      </c>
    </row>
    <row r="186">
      <c r="A186" s="5" t="inlineStr">
        <is>
          <t>Grupo 5 — Absorção Durante a obra</t>
        </is>
      </c>
      <c r="B186" s="12" t="n"/>
      <c r="C186" s="7" t="inlineStr">
        <is>
          <t>% das unidades</t>
        </is>
      </c>
      <c r="D186" s="8" t="inlineStr">
        <is>
          <t>grupos[5].obra_pct</t>
        </is>
      </c>
    </row>
    <row r="187">
      <c r="A187" s="5" t="inlineStr">
        <is>
          <t>Grupo 5 — Janela pós-chaves</t>
        </is>
      </c>
      <c r="B187" s="15" t="n"/>
      <c r="C187" s="7" t="inlineStr">
        <is>
          <t>meses (1 a 12)</t>
        </is>
      </c>
      <c r="D187" s="8" t="inlineStr">
        <is>
          <t>grupos[5].pos_chaves_meses</t>
        </is>
      </c>
    </row>
    <row r="188">
      <c r="A188" s="5" t="inlineStr">
        <is>
          <t>Grupo 5 — Correção de estoque</t>
        </is>
      </c>
      <c r="B188" s="6" t="n"/>
      <c r="C188" s="7" t="inlineStr">
        <is>
          <t>Sim/Não</t>
        </is>
      </c>
      <c r="D188" s="8" t="inlineStr">
        <is>
          <t>grupos[5].correcao_estoque</t>
        </is>
      </c>
    </row>
    <row r="189">
      <c r="A189" s="5" t="inlineStr">
        <is>
          <t>Grupo 5 — Resíduo sem prazo</t>
        </is>
      </c>
      <c r="B189" s="6" t="n"/>
      <c r="C189" s="7" t="inlineStr">
        <is>
          <t>lista: imediato | concentrado</t>
        </is>
      </c>
      <c r="D189" s="8" t="inlineStr">
        <is>
          <t>grupos[5].residuo_sem_prazo</t>
        </is>
      </c>
    </row>
    <row r="190" ht="20" customHeight="1">
      <c r="A190" s="4" t="inlineStr">
        <is>
          <t>7 · Fluxo de pagamento por grupo — 10 vagas (uma linha por condição; até 4 de Parcelamento por grupo)</t>
        </is>
      </c>
    </row>
    <row r="191" ht="13" customHeight="1">
      <c r="A191" s="13" t="inlineStr">
        <is>
          <t>Os juros vêm do campo "Juros de tabela". Nome do grupo exatamente como na seção 6. Σ % do grupo ≤ 100%; o que sobrar é o repasse.</t>
        </is>
      </c>
    </row>
    <row r="192">
      <c r="A192" s="16" t="inlineStr">
        <is>
          <t>Condição de pagamento 1</t>
        </is>
      </c>
    </row>
    <row r="193">
      <c r="A193" s="5" t="inlineStr">
        <is>
          <t>Condição 1 — Grupo</t>
        </is>
      </c>
      <c r="B193" s="6" t="n"/>
      <c r="C193" s="7" t="inlineStr">
        <is>
          <t>nome do grupo (seção 6)</t>
        </is>
      </c>
      <c r="D193" s="8" t="inlineStr">
        <is>
          <t>pagamento[1].grupo</t>
        </is>
      </c>
    </row>
    <row r="194">
      <c r="A194" s="5" t="inlineStr">
        <is>
          <t>Condição 1 — Linha</t>
        </is>
      </c>
      <c r="B194" s="6" t="n"/>
      <c r="C194" s="7" t="inlineStr">
        <is>
          <t>lista: Entrada | Parcelamento</t>
        </is>
      </c>
      <c r="D194" s="8" t="inlineStr">
        <is>
          <t>pagamento[1].linha</t>
        </is>
      </c>
    </row>
    <row r="195">
      <c r="A195" s="5" t="inlineStr">
        <is>
          <t>Condição 1 — % do total</t>
        </is>
      </c>
      <c r="B195" s="12" t="n"/>
      <c r="C195" s="7" t="inlineStr">
        <is>
          <t>% do preço</t>
        </is>
      </c>
      <c r="D195" s="8" t="inlineStr">
        <is>
          <t>pagamento[1].pct</t>
        </is>
      </c>
    </row>
    <row r="196">
      <c r="A196" s="5" t="inlineStr">
        <is>
          <t>Condição 1 — Nº de parcelas</t>
        </is>
      </c>
      <c r="B196" s="15" t="n"/>
      <c r="C196" s="7" t="inlineStr">
        <is>
          <t>inteiro (vazio se ao longo da obra)</t>
        </is>
      </c>
      <c r="D196" s="8" t="inlineStr">
        <is>
          <t>pagamento[1].parcelas</t>
        </is>
      </c>
    </row>
    <row r="197">
      <c r="A197" s="5" t="inlineStr">
        <is>
          <t>Condição 1 — Desconto (só Entrada)</t>
        </is>
      </c>
      <c r="B197" s="12" t="n"/>
      <c r="C197" s="7" t="inlineStr">
        <is>
          <t>% sobre a entrada</t>
        </is>
      </c>
      <c r="D197" s="8" t="inlineStr">
        <is>
          <t>pagamento[1].desconto_pct</t>
        </is>
      </c>
    </row>
    <row r="198">
      <c r="A198" s="5" t="inlineStr">
        <is>
          <t>Condição 1 — Sinal (só Parcelamento)</t>
        </is>
      </c>
      <c r="B198" s="12" t="n"/>
      <c r="C198" s="7" t="inlineStr">
        <is>
          <t>% do parcelamento</t>
        </is>
      </c>
      <c r="D198" s="8" t="inlineStr">
        <is>
          <t>pagamento[1].sinal_pct</t>
        </is>
      </c>
    </row>
    <row r="199">
      <c r="A199" s="5" t="inlineStr">
        <is>
          <t>Condição 1 — Ao longo da obra (só Parcelamento)</t>
        </is>
      </c>
      <c r="B199" s="6" t="n"/>
      <c r="C199" s="7" t="inlineStr">
        <is>
          <t>Sim/Não</t>
        </is>
      </c>
      <c r="D199" s="8" t="inlineStr">
        <is>
          <t>pagamento[1].ao_longo_obra</t>
        </is>
      </c>
    </row>
    <row r="200">
      <c r="A200" s="16" t="inlineStr">
        <is>
          <t>Condição de pagamento 2</t>
        </is>
      </c>
    </row>
    <row r="201">
      <c r="A201" s="5" t="inlineStr">
        <is>
          <t>Condição 2 — Grupo</t>
        </is>
      </c>
      <c r="B201" s="6" t="n"/>
      <c r="C201" s="7" t="inlineStr">
        <is>
          <t>nome do grupo (seção 6)</t>
        </is>
      </c>
      <c r="D201" s="8" t="inlineStr">
        <is>
          <t>pagamento[2].grupo</t>
        </is>
      </c>
    </row>
    <row r="202">
      <c r="A202" s="5" t="inlineStr">
        <is>
          <t>Condição 2 — Linha</t>
        </is>
      </c>
      <c r="B202" s="6" t="n"/>
      <c r="C202" s="7" t="inlineStr">
        <is>
          <t>lista: Entrada | Parcelamento</t>
        </is>
      </c>
      <c r="D202" s="8" t="inlineStr">
        <is>
          <t>pagamento[2].linha</t>
        </is>
      </c>
    </row>
    <row r="203">
      <c r="A203" s="5" t="inlineStr">
        <is>
          <t>Condição 2 — % do total</t>
        </is>
      </c>
      <c r="B203" s="12" t="n"/>
      <c r="C203" s="7" t="inlineStr">
        <is>
          <t>% do preço</t>
        </is>
      </c>
      <c r="D203" s="8" t="inlineStr">
        <is>
          <t>pagamento[2].pct</t>
        </is>
      </c>
    </row>
    <row r="204">
      <c r="A204" s="5" t="inlineStr">
        <is>
          <t>Condição 2 — Nº de parcelas</t>
        </is>
      </c>
      <c r="B204" s="15" t="n"/>
      <c r="C204" s="7" t="inlineStr">
        <is>
          <t>inteiro (vazio se ao longo da obra)</t>
        </is>
      </c>
      <c r="D204" s="8" t="inlineStr">
        <is>
          <t>pagamento[2].parcelas</t>
        </is>
      </c>
    </row>
    <row r="205">
      <c r="A205" s="5" t="inlineStr">
        <is>
          <t>Condição 2 — Desconto (só Entrada)</t>
        </is>
      </c>
      <c r="B205" s="12" t="n"/>
      <c r="C205" s="7" t="inlineStr">
        <is>
          <t>% sobre a entrada</t>
        </is>
      </c>
      <c r="D205" s="8" t="inlineStr">
        <is>
          <t>pagamento[2].desconto_pct</t>
        </is>
      </c>
    </row>
    <row r="206">
      <c r="A206" s="5" t="inlineStr">
        <is>
          <t>Condição 2 — Sinal (só Parcelamento)</t>
        </is>
      </c>
      <c r="B206" s="12" t="n"/>
      <c r="C206" s="7" t="inlineStr">
        <is>
          <t>% do parcelamento</t>
        </is>
      </c>
      <c r="D206" s="8" t="inlineStr">
        <is>
          <t>pagamento[2].sinal_pct</t>
        </is>
      </c>
    </row>
    <row r="207">
      <c r="A207" s="5" t="inlineStr">
        <is>
          <t>Condição 2 — Ao longo da obra (só Parcelamento)</t>
        </is>
      </c>
      <c r="B207" s="6" t="n"/>
      <c r="C207" s="7" t="inlineStr">
        <is>
          <t>Sim/Não</t>
        </is>
      </c>
      <c r="D207" s="8" t="inlineStr">
        <is>
          <t>pagamento[2].ao_longo_obra</t>
        </is>
      </c>
    </row>
    <row r="208">
      <c r="A208" s="16" t="inlineStr">
        <is>
          <t>Condição de pagamento 3</t>
        </is>
      </c>
    </row>
    <row r="209">
      <c r="A209" s="5" t="inlineStr">
        <is>
          <t>Condição 3 — Grupo</t>
        </is>
      </c>
      <c r="B209" s="6" t="n"/>
      <c r="C209" s="7" t="inlineStr">
        <is>
          <t>nome do grupo (seção 6)</t>
        </is>
      </c>
      <c r="D209" s="8" t="inlineStr">
        <is>
          <t>pagamento[3].grupo</t>
        </is>
      </c>
    </row>
    <row r="210">
      <c r="A210" s="5" t="inlineStr">
        <is>
          <t>Condição 3 — Linha</t>
        </is>
      </c>
      <c r="B210" s="6" t="n"/>
      <c r="C210" s="7" t="inlineStr">
        <is>
          <t>lista: Entrada | Parcelamento</t>
        </is>
      </c>
      <c r="D210" s="8" t="inlineStr">
        <is>
          <t>pagamento[3].linha</t>
        </is>
      </c>
    </row>
    <row r="211">
      <c r="A211" s="5" t="inlineStr">
        <is>
          <t>Condição 3 — % do total</t>
        </is>
      </c>
      <c r="B211" s="12" t="n"/>
      <c r="C211" s="7" t="inlineStr">
        <is>
          <t>% do preço</t>
        </is>
      </c>
      <c r="D211" s="8" t="inlineStr">
        <is>
          <t>pagamento[3].pct</t>
        </is>
      </c>
    </row>
    <row r="212">
      <c r="A212" s="5" t="inlineStr">
        <is>
          <t>Condição 3 — Nº de parcelas</t>
        </is>
      </c>
      <c r="B212" s="15" t="n"/>
      <c r="C212" s="7" t="inlineStr">
        <is>
          <t>inteiro (vazio se ao longo da obra)</t>
        </is>
      </c>
      <c r="D212" s="8" t="inlineStr">
        <is>
          <t>pagamento[3].parcelas</t>
        </is>
      </c>
    </row>
    <row r="213">
      <c r="A213" s="5" t="inlineStr">
        <is>
          <t>Condição 3 — Desconto (só Entrada)</t>
        </is>
      </c>
      <c r="B213" s="12" t="n"/>
      <c r="C213" s="7" t="inlineStr">
        <is>
          <t>% sobre a entrada</t>
        </is>
      </c>
      <c r="D213" s="8" t="inlineStr">
        <is>
          <t>pagamento[3].desconto_pct</t>
        </is>
      </c>
    </row>
    <row r="214">
      <c r="A214" s="5" t="inlineStr">
        <is>
          <t>Condição 3 — Sinal (só Parcelamento)</t>
        </is>
      </c>
      <c r="B214" s="12" t="n"/>
      <c r="C214" s="7" t="inlineStr">
        <is>
          <t>% do parcelamento</t>
        </is>
      </c>
      <c r="D214" s="8" t="inlineStr">
        <is>
          <t>pagamento[3].sinal_pct</t>
        </is>
      </c>
    </row>
    <row r="215">
      <c r="A215" s="5" t="inlineStr">
        <is>
          <t>Condição 3 — Ao longo da obra (só Parcelamento)</t>
        </is>
      </c>
      <c r="B215" s="6" t="n"/>
      <c r="C215" s="7" t="inlineStr">
        <is>
          <t>Sim/Não</t>
        </is>
      </c>
      <c r="D215" s="8" t="inlineStr">
        <is>
          <t>pagamento[3].ao_longo_obra</t>
        </is>
      </c>
    </row>
    <row r="216">
      <c r="A216" s="16" t="inlineStr">
        <is>
          <t>Condição de pagamento 4</t>
        </is>
      </c>
    </row>
    <row r="217">
      <c r="A217" s="5" t="inlineStr">
        <is>
          <t>Condição 4 — Grupo</t>
        </is>
      </c>
      <c r="B217" s="6" t="n"/>
      <c r="C217" s="7" t="inlineStr">
        <is>
          <t>nome do grupo (seção 6)</t>
        </is>
      </c>
      <c r="D217" s="8" t="inlineStr">
        <is>
          <t>pagamento[4].grupo</t>
        </is>
      </c>
    </row>
    <row r="218">
      <c r="A218" s="5" t="inlineStr">
        <is>
          <t>Condição 4 — Linha</t>
        </is>
      </c>
      <c r="B218" s="6" t="n"/>
      <c r="C218" s="7" t="inlineStr">
        <is>
          <t>lista: Entrada | Parcelamento</t>
        </is>
      </c>
      <c r="D218" s="8" t="inlineStr">
        <is>
          <t>pagamento[4].linha</t>
        </is>
      </c>
    </row>
    <row r="219">
      <c r="A219" s="5" t="inlineStr">
        <is>
          <t>Condição 4 — % do total</t>
        </is>
      </c>
      <c r="B219" s="12" t="n"/>
      <c r="C219" s="7" t="inlineStr">
        <is>
          <t>% do preço</t>
        </is>
      </c>
      <c r="D219" s="8" t="inlineStr">
        <is>
          <t>pagamento[4].pct</t>
        </is>
      </c>
    </row>
    <row r="220">
      <c r="A220" s="5" t="inlineStr">
        <is>
          <t>Condição 4 — Nº de parcelas</t>
        </is>
      </c>
      <c r="B220" s="15" t="n"/>
      <c r="C220" s="7" t="inlineStr">
        <is>
          <t>inteiro (vazio se ao longo da obra)</t>
        </is>
      </c>
      <c r="D220" s="8" t="inlineStr">
        <is>
          <t>pagamento[4].parcelas</t>
        </is>
      </c>
    </row>
    <row r="221">
      <c r="A221" s="5" t="inlineStr">
        <is>
          <t>Condição 4 — Desconto (só Entrada)</t>
        </is>
      </c>
      <c r="B221" s="12" t="n"/>
      <c r="C221" s="7" t="inlineStr">
        <is>
          <t>% sobre a entrada</t>
        </is>
      </c>
      <c r="D221" s="8" t="inlineStr">
        <is>
          <t>pagamento[4].desconto_pct</t>
        </is>
      </c>
    </row>
    <row r="222">
      <c r="A222" s="5" t="inlineStr">
        <is>
          <t>Condição 4 — Sinal (só Parcelamento)</t>
        </is>
      </c>
      <c r="B222" s="12" t="n"/>
      <c r="C222" s="7" t="inlineStr">
        <is>
          <t>% do parcelamento</t>
        </is>
      </c>
      <c r="D222" s="8" t="inlineStr">
        <is>
          <t>pagamento[4].sinal_pct</t>
        </is>
      </c>
    </row>
    <row r="223">
      <c r="A223" s="5" t="inlineStr">
        <is>
          <t>Condição 4 — Ao longo da obra (só Parcelamento)</t>
        </is>
      </c>
      <c r="B223" s="6" t="n"/>
      <c r="C223" s="7" t="inlineStr">
        <is>
          <t>Sim/Não</t>
        </is>
      </c>
      <c r="D223" s="8" t="inlineStr">
        <is>
          <t>pagamento[4].ao_longo_obra</t>
        </is>
      </c>
    </row>
    <row r="224">
      <c r="A224" s="16" t="inlineStr">
        <is>
          <t>Condição de pagamento 5</t>
        </is>
      </c>
    </row>
    <row r="225">
      <c r="A225" s="5" t="inlineStr">
        <is>
          <t>Condição 5 — Grupo</t>
        </is>
      </c>
      <c r="B225" s="6" t="n"/>
      <c r="C225" s="7" t="inlineStr">
        <is>
          <t>nome do grupo (seção 6)</t>
        </is>
      </c>
      <c r="D225" s="8" t="inlineStr">
        <is>
          <t>pagamento[5].grupo</t>
        </is>
      </c>
    </row>
    <row r="226">
      <c r="A226" s="5" t="inlineStr">
        <is>
          <t>Condição 5 — Linha</t>
        </is>
      </c>
      <c r="B226" s="6" t="n"/>
      <c r="C226" s="7" t="inlineStr">
        <is>
          <t>lista: Entrada | Parcelamento</t>
        </is>
      </c>
      <c r="D226" s="8" t="inlineStr">
        <is>
          <t>pagamento[5].linha</t>
        </is>
      </c>
    </row>
    <row r="227">
      <c r="A227" s="5" t="inlineStr">
        <is>
          <t>Condição 5 — % do total</t>
        </is>
      </c>
      <c r="B227" s="12" t="n"/>
      <c r="C227" s="7" t="inlineStr">
        <is>
          <t>% do preço</t>
        </is>
      </c>
      <c r="D227" s="8" t="inlineStr">
        <is>
          <t>pagamento[5].pct</t>
        </is>
      </c>
    </row>
    <row r="228">
      <c r="A228" s="5" t="inlineStr">
        <is>
          <t>Condição 5 — Nº de parcelas</t>
        </is>
      </c>
      <c r="B228" s="15" t="n"/>
      <c r="C228" s="7" t="inlineStr">
        <is>
          <t>inteiro (vazio se ao longo da obra)</t>
        </is>
      </c>
      <c r="D228" s="8" t="inlineStr">
        <is>
          <t>pagamento[5].parcelas</t>
        </is>
      </c>
    </row>
    <row r="229">
      <c r="A229" s="5" t="inlineStr">
        <is>
          <t>Condição 5 — Desconto (só Entrada)</t>
        </is>
      </c>
      <c r="B229" s="12" t="n"/>
      <c r="C229" s="7" t="inlineStr">
        <is>
          <t>% sobre a entrada</t>
        </is>
      </c>
      <c r="D229" s="8" t="inlineStr">
        <is>
          <t>pagamento[5].desconto_pct</t>
        </is>
      </c>
    </row>
    <row r="230">
      <c r="A230" s="5" t="inlineStr">
        <is>
          <t>Condição 5 — Sinal (só Parcelamento)</t>
        </is>
      </c>
      <c r="B230" s="12" t="n"/>
      <c r="C230" s="7" t="inlineStr">
        <is>
          <t>% do parcelamento</t>
        </is>
      </c>
      <c r="D230" s="8" t="inlineStr">
        <is>
          <t>pagamento[5].sinal_pct</t>
        </is>
      </c>
    </row>
    <row r="231">
      <c r="A231" s="5" t="inlineStr">
        <is>
          <t>Condição 5 — Ao longo da obra (só Parcelamento)</t>
        </is>
      </c>
      <c r="B231" s="6" t="n"/>
      <c r="C231" s="7" t="inlineStr">
        <is>
          <t>Sim/Não</t>
        </is>
      </c>
      <c r="D231" s="8" t="inlineStr">
        <is>
          <t>pagamento[5].ao_longo_obra</t>
        </is>
      </c>
    </row>
    <row r="232">
      <c r="A232" s="16" t="inlineStr">
        <is>
          <t>Condição de pagamento 6</t>
        </is>
      </c>
    </row>
    <row r="233">
      <c r="A233" s="5" t="inlineStr">
        <is>
          <t>Condição 6 — Grupo</t>
        </is>
      </c>
      <c r="B233" s="6" t="n"/>
      <c r="C233" s="7" t="inlineStr">
        <is>
          <t>nome do grupo (seção 6)</t>
        </is>
      </c>
      <c r="D233" s="8" t="inlineStr">
        <is>
          <t>pagamento[6].grupo</t>
        </is>
      </c>
    </row>
    <row r="234">
      <c r="A234" s="5" t="inlineStr">
        <is>
          <t>Condição 6 — Linha</t>
        </is>
      </c>
      <c r="B234" s="6" t="n"/>
      <c r="C234" s="7" t="inlineStr">
        <is>
          <t>lista: Entrada | Parcelamento</t>
        </is>
      </c>
      <c r="D234" s="8" t="inlineStr">
        <is>
          <t>pagamento[6].linha</t>
        </is>
      </c>
    </row>
    <row r="235">
      <c r="A235" s="5" t="inlineStr">
        <is>
          <t>Condição 6 — % do total</t>
        </is>
      </c>
      <c r="B235" s="12" t="n"/>
      <c r="C235" s="7" t="inlineStr">
        <is>
          <t>% do preço</t>
        </is>
      </c>
      <c r="D235" s="8" t="inlineStr">
        <is>
          <t>pagamento[6].pct</t>
        </is>
      </c>
    </row>
    <row r="236">
      <c r="A236" s="5" t="inlineStr">
        <is>
          <t>Condição 6 — Nº de parcelas</t>
        </is>
      </c>
      <c r="B236" s="15" t="n"/>
      <c r="C236" s="7" t="inlineStr">
        <is>
          <t>inteiro (vazio se ao longo da obra)</t>
        </is>
      </c>
      <c r="D236" s="8" t="inlineStr">
        <is>
          <t>pagamento[6].parcelas</t>
        </is>
      </c>
    </row>
    <row r="237">
      <c r="A237" s="5" t="inlineStr">
        <is>
          <t>Condição 6 — Desconto (só Entrada)</t>
        </is>
      </c>
      <c r="B237" s="12" t="n"/>
      <c r="C237" s="7" t="inlineStr">
        <is>
          <t>% sobre a entrada</t>
        </is>
      </c>
      <c r="D237" s="8" t="inlineStr">
        <is>
          <t>pagamento[6].desconto_pct</t>
        </is>
      </c>
    </row>
    <row r="238">
      <c r="A238" s="5" t="inlineStr">
        <is>
          <t>Condição 6 — Sinal (só Parcelamento)</t>
        </is>
      </c>
      <c r="B238" s="12" t="n"/>
      <c r="C238" s="7" t="inlineStr">
        <is>
          <t>% do parcelamento</t>
        </is>
      </c>
      <c r="D238" s="8" t="inlineStr">
        <is>
          <t>pagamento[6].sinal_pct</t>
        </is>
      </c>
    </row>
    <row r="239">
      <c r="A239" s="5" t="inlineStr">
        <is>
          <t>Condição 6 — Ao longo da obra (só Parcelamento)</t>
        </is>
      </c>
      <c r="B239" s="6" t="n"/>
      <c r="C239" s="7" t="inlineStr">
        <is>
          <t>Sim/Não</t>
        </is>
      </c>
      <c r="D239" s="8" t="inlineStr">
        <is>
          <t>pagamento[6].ao_longo_obra</t>
        </is>
      </c>
    </row>
    <row r="240">
      <c r="A240" s="16" t="inlineStr">
        <is>
          <t>Condição de pagamento 7</t>
        </is>
      </c>
    </row>
    <row r="241">
      <c r="A241" s="5" t="inlineStr">
        <is>
          <t>Condição 7 — Grupo</t>
        </is>
      </c>
      <c r="B241" s="6" t="n"/>
      <c r="C241" s="7" t="inlineStr">
        <is>
          <t>nome do grupo (seção 6)</t>
        </is>
      </c>
      <c r="D241" s="8" t="inlineStr">
        <is>
          <t>pagamento[7].grupo</t>
        </is>
      </c>
    </row>
    <row r="242">
      <c r="A242" s="5" t="inlineStr">
        <is>
          <t>Condição 7 — Linha</t>
        </is>
      </c>
      <c r="B242" s="6" t="n"/>
      <c r="C242" s="7" t="inlineStr">
        <is>
          <t>lista: Entrada | Parcelamento</t>
        </is>
      </c>
      <c r="D242" s="8" t="inlineStr">
        <is>
          <t>pagamento[7].linha</t>
        </is>
      </c>
    </row>
    <row r="243">
      <c r="A243" s="5" t="inlineStr">
        <is>
          <t>Condição 7 — % do total</t>
        </is>
      </c>
      <c r="B243" s="12" t="n"/>
      <c r="C243" s="7" t="inlineStr">
        <is>
          <t>% do preço</t>
        </is>
      </c>
      <c r="D243" s="8" t="inlineStr">
        <is>
          <t>pagamento[7].pct</t>
        </is>
      </c>
    </row>
    <row r="244">
      <c r="A244" s="5" t="inlineStr">
        <is>
          <t>Condição 7 — Nº de parcelas</t>
        </is>
      </c>
      <c r="B244" s="15" t="n"/>
      <c r="C244" s="7" t="inlineStr">
        <is>
          <t>inteiro (vazio se ao longo da obra)</t>
        </is>
      </c>
      <c r="D244" s="8" t="inlineStr">
        <is>
          <t>pagamento[7].parcelas</t>
        </is>
      </c>
    </row>
    <row r="245">
      <c r="A245" s="5" t="inlineStr">
        <is>
          <t>Condição 7 — Desconto (só Entrada)</t>
        </is>
      </c>
      <c r="B245" s="12" t="n"/>
      <c r="C245" s="7" t="inlineStr">
        <is>
          <t>% sobre a entrada</t>
        </is>
      </c>
      <c r="D245" s="8" t="inlineStr">
        <is>
          <t>pagamento[7].desconto_pct</t>
        </is>
      </c>
    </row>
    <row r="246">
      <c r="A246" s="5" t="inlineStr">
        <is>
          <t>Condição 7 — Sinal (só Parcelamento)</t>
        </is>
      </c>
      <c r="B246" s="12" t="n"/>
      <c r="C246" s="7" t="inlineStr">
        <is>
          <t>% do parcelamento</t>
        </is>
      </c>
      <c r="D246" s="8" t="inlineStr">
        <is>
          <t>pagamento[7].sinal_pct</t>
        </is>
      </c>
    </row>
    <row r="247">
      <c r="A247" s="5" t="inlineStr">
        <is>
          <t>Condição 7 — Ao longo da obra (só Parcelamento)</t>
        </is>
      </c>
      <c r="B247" s="6" t="n"/>
      <c r="C247" s="7" t="inlineStr">
        <is>
          <t>Sim/Não</t>
        </is>
      </c>
      <c r="D247" s="8" t="inlineStr">
        <is>
          <t>pagamento[7].ao_longo_obra</t>
        </is>
      </c>
    </row>
    <row r="248">
      <c r="A248" s="16" t="inlineStr">
        <is>
          <t>Condição de pagamento 8</t>
        </is>
      </c>
    </row>
    <row r="249">
      <c r="A249" s="5" t="inlineStr">
        <is>
          <t>Condição 8 — Grupo</t>
        </is>
      </c>
      <c r="B249" s="6" t="n"/>
      <c r="C249" s="7" t="inlineStr">
        <is>
          <t>nome do grupo (seção 6)</t>
        </is>
      </c>
      <c r="D249" s="8" t="inlineStr">
        <is>
          <t>pagamento[8].grupo</t>
        </is>
      </c>
    </row>
    <row r="250">
      <c r="A250" s="5" t="inlineStr">
        <is>
          <t>Condição 8 — Linha</t>
        </is>
      </c>
      <c r="B250" s="6" t="n"/>
      <c r="C250" s="7" t="inlineStr">
        <is>
          <t>lista: Entrada | Parcelamento</t>
        </is>
      </c>
      <c r="D250" s="8" t="inlineStr">
        <is>
          <t>pagamento[8].linha</t>
        </is>
      </c>
    </row>
    <row r="251">
      <c r="A251" s="5" t="inlineStr">
        <is>
          <t>Condição 8 — % do total</t>
        </is>
      </c>
      <c r="B251" s="12" t="n"/>
      <c r="C251" s="7" t="inlineStr">
        <is>
          <t>% do preço</t>
        </is>
      </c>
      <c r="D251" s="8" t="inlineStr">
        <is>
          <t>pagamento[8].pct</t>
        </is>
      </c>
    </row>
    <row r="252">
      <c r="A252" s="5" t="inlineStr">
        <is>
          <t>Condição 8 — Nº de parcelas</t>
        </is>
      </c>
      <c r="B252" s="15" t="n"/>
      <c r="C252" s="7" t="inlineStr">
        <is>
          <t>inteiro (vazio se ao longo da obra)</t>
        </is>
      </c>
      <c r="D252" s="8" t="inlineStr">
        <is>
          <t>pagamento[8].parcelas</t>
        </is>
      </c>
    </row>
    <row r="253">
      <c r="A253" s="5" t="inlineStr">
        <is>
          <t>Condição 8 — Desconto (só Entrada)</t>
        </is>
      </c>
      <c r="B253" s="12" t="n"/>
      <c r="C253" s="7" t="inlineStr">
        <is>
          <t>% sobre a entrada</t>
        </is>
      </c>
      <c r="D253" s="8" t="inlineStr">
        <is>
          <t>pagamento[8].desconto_pct</t>
        </is>
      </c>
    </row>
    <row r="254">
      <c r="A254" s="5" t="inlineStr">
        <is>
          <t>Condição 8 — Sinal (só Parcelamento)</t>
        </is>
      </c>
      <c r="B254" s="12" t="n"/>
      <c r="C254" s="7" t="inlineStr">
        <is>
          <t>% do parcelamento</t>
        </is>
      </c>
      <c r="D254" s="8" t="inlineStr">
        <is>
          <t>pagamento[8].sinal_pct</t>
        </is>
      </c>
    </row>
    <row r="255">
      <c r="A255" s="5" t="inlineStr">
        <is>
          <t>Condição 8 — Ao longo da obra (só Parcelamento)</t>
        </is>
      </c>
      <c r="B255" s="6" t="n"/>
      <c r="C255" s="7" t="inlineStr">
        <is>
          <t>Sim/Não</t>
        </is>
      </c>
      <c r="D255" s="8" t="inlineStr">
        <is>
          <t>pagamento[8].ao_longo_obra</t>
        </is>
      </c>
    </row>
    <row r="256">
      <c r="A256" s="16" t="inlineStr">
        <is>
          <t>Condição de pagamento 9</t>
        </is>
      </c>
    </row>
    <row r="257">
      <c r="A257" s="5" t="inlineStr">
        <is>
          <t>Condição 9 — Grupo</t>
        </is>
      </c>
      <c r="B257" s="6" t="n"/>
      <c r="C257" s="7" t="inlineStr">
        <is>
          <t>nome do grupo (seção 6)</t>
        </is>
      </c>
      <c r="D257" s="8" t="inlineStr">
        <is>
          <t>pagamento[9].grupo</t>
        </is>
      </c>
    </row>
    <row r="258">
      <c r="A258" s="5" t="inlineStr">
        <is>
          <t>Condição 9 — Linha</t>
        </is>
      </c>
      <c r="B258" s="6" t="n"/>
      <c r="C258" s="7" t="inlineStr">
        <is>
          <t>lista: Entrada | Parcelamento</t>
        </is>
      </c>
      <c r="D258" s="8" t="inlineStr">
        <is>
          <t>pagamento[9].linha</t>
        </is>
      </c>
    </row>
    <row r="259">
      <c r="A259" s="5" t="inlineStr">
        <is>
          <t>Condição 9 — % do total</t>
        </is>
      </c>
      <c r="B259" s="12" t="n"/>
      <c r="C259" s="7" t="inlineStr">
        <is>
          <t>% do preço</t>
        </is>
      </c>
      <c r="D259" s="8" t="inlineStr">
        <is>
          <t>pagamento[9].pct</t>
        </is>
      </c>
    </row>
    <row r="260">
      <c r="A260" s="5" t="inlineStr">
        <is>
          <t>Condição 9 — Nº de parcelas</t>
        </is>
      </c>
      <c r="B260" s="15" t="n"/>
      <c r="C260" s="7" t="inlineStr">
        <is>
          <t>inteiro (vazio se ao longo da obra)</t>
        </is>
      </c>
      <c r="D260" s="8" t="inlineStr">
        <is>
          <t>pagamento[9].parcelas</t>
        </is>
      </c>
    </row>
    <row r="261">
      <c r="A261" s="5" t="inlineStr">
        <is>
          <t>Condição 9 — Desconto (só Entrada)</t>
        </is>
      </c>
      <c r="B261" s="12" t="n"/>
      <c r="C261" s="7" t="inlineStr">
        <is>
          <t>% sobre a entrada</t>
        </is>
      </c>
      <c r="D261" s="8" t="inlineStr">
        <is>
          <t>pagamento[9].desconto_pct</t>
        </is>
      </c>
    </row>
    <row r="262">
      <c r="A262" s="5" t="inlineStr">
        <is>
          <t>Condição 9 — Sinal (só Parcelamento)</t>
        </is>
      </c>
      <c r="B262" s="12" t="n"/>
      <c r="C262" s="7" t="inlineStr">
        <is>
          <t>% do parcelamento</t>
        </is>
      </c>
      <c r="D262" s="8" t="inlineStr">
        <is>
          <t>pagamento[9].sinal_pct</t>
        </is>
      </c>
    </row>
    <row r="263">
      <c r="A263" s="5" t="inlineStr">
        <is>
          <t>Condição 9 — Ao longo da obra (só Parcelamento)</t>
        </is>
      </c>
      <c r="B263" s="6" t="n"/>
      <c r="C263" s="7" t="inlineStr">
        <is>
          <t>Sim/Não</t>
        </is>
      </c>
      <c r="D263" s="8" t="inlineStr">
        <is>
          <t>pagamento[9].ao_longo_obra</t>
        </is>
      </c>
    </row>
    <row r="264">
      <c r="A264" s="16" t="inlineStr">
        <is>
          <t>Condição de pagamento 10</t>
        </is>
      </c>
    </row>
    <row r="265">
      <c r="A265" s="5" t="inlineStr">
        <is>
          <t>Condição 10 — Grupo</t>
        </is>
      </c>
      <c r="B265" s="6" t="n"/>
      <c r="C265" s="7" t="inlineStr">
        <is>
          <t>nome do grupo (seção 6)</t>
        </is>
      </c>
      <c r="D265" s="8" t="inlineStr">
        <is>
          <t>pagamento[10].grupo</t>
        </is>
      </c>
    </row>
    <row r="266">
      <c r="A266" s="5" t="inlineStr">
        <is>
          <t>Condição 10 — Linha</t>
        </is>
      </c>
      <c r="B266" s="6" t="n"/>
      <c r="C266" s="7" t="inlineStr">
        <is>
          <t>lista: Entrada | Parcelamento</t>
        </is>
      </c>
      <c r="D266" s="8" t="inlineStr">
        <is>
          <t>pagamento[10].linha</t>
        </is>
      </c>
    </row>
    <row r="267">
      <c r="A267" s="5" t="inlineStr">
        <is>
          <t>Condição 10 — % do total</t>
        </is>
      </c>
      <c r="B267" s="12" t="n"/>
      <c r="C267" s="7" t="inlineStr">
        <is>
          <t>% do preço</t>
        </is>
      </c>
      <c r="D267" s="8" t="inlineStr">
        <is>
          <t>pagamento[10].pct</t>
        </is>
      </c>
    </row>
    <row r="268">
      <c r="A268" s="5" t="inlineStr">
        <is>
          <t>Condição 10 — Nº de parcelas</t>
        </is>
      </c>
      <c r="B268" s="15" t="n"/>
      <c r="C268" s="7" t="inlineStr">
        <is>
          <t>inteiro (vazio se ao longo da obra)</t>
        </is>
      </c>
      <c r="D268" s="8" t="inlineStr">
        <is>
          <t>pagamento[10].parcelas</t>
        </is>
      </c>
    </row>
    <row r="269">
      <c r="A269" s="5" t="inlineStr">
        <is>
          <t>Condição 10 — Desconto (só Entrada)</t>
        </is>
      </c>
      <c r="B269" s="12" t="n"/>
      <c r="C269" s="7" t="inlineStr">
        <is>
          <t>% sobre a entrada</t>
        </is>
      </c>
      <c r="D269" s="8" t="inlineStr">
        <is>
          <t>pagamento[10].desconto_pct</t>
        </is>
      </c>
    </row>
    <row r="270">
      <c r="A270" s="5" t="inlineStr">
        <is>
          <t>Condição 10 — Sinal (só Parcelamento)</t>
        </is>
      </c>
      <c r="B270" s="12" t="n"/>
      <c r="C270" s="7" t="inlineStr">
        <is>
          <t>% do parcelamento</t>
        </is>
      </c>
      <c r="D270" s="8" t="inlineStr">
        <is>
          <t>pagamento[10].sinal_pct</t>
        </is>
      </c>
    </row>
    <row r="271">
      <c r="A271" s="5" t="inlineStr">
        <is>
          <t>Condição 10 — Ao longo da obra (só Parcelamento)</t>
        </is>
      </c>
      <c r="B271" s="6" t="n"/>
      <c r="C271" s="7" t="inlineStr">
        <is>
          <t>Sim/Não</t>
        </is>
      </c>
      <c r="D271" s="8" t="inlineStr">
        <is>
          <t>pagamento[10].ao_longo_obra</t>
        </is>
      </c>
    </row>
    <row r="272" ht="20" customHeight="1">
      <c r="A272" s="4" t="inlineStr">
        <is>
          <t>8 · Alocações de venda (tipologia × grupo) — 10 vagas; Σ unidades alocadas por item ≤ catálogo</t>
        </is>
      </c>
    </row>
    <row r="273">
      <c r="A273" s="16" t="inlineStr">
        <is>
          <t>Alocação 1</t>
        </is>
      </c>
    </row>
    <row r="274">
      <c r="A274" s="5" t="inlineStr">
        <is>
          <t>Alocação 1 — Grupo</t>
        </is>
      </c>
      <c r="B274" s="6" t="n"/>
      <c r="C274" s="7" t="inlineStr">
        <is>
          <t>nome do grupo (seção 6)</t>
        </is>
      </c>
      <c r="D274" s="8" t="inlineStr">
        <is>
          <t>alocacoes[1].grupo</t>
        </is>
      </c>
    </row>
    <row r="275">
      <c r="A275" s="5" t="inlineStr">
        <is>
          <t>Alocação 1 — Tipologia</t>
        </is>
      </c>
      <c r="B275" s="6" t="n"/>
      <c r="C275" s="7" t="inlineStr">
        <is>
          <t>nome do tipologia (seção 5)</t>
        </is>
      </c>
      <c r="D275" s="8" t="inlineStr">
        <is>
          <t>alocacoes[1].tipologia</t>
        </is>
      </c>
    </row>
    <row r="276">
      <c r="A276" s="5" t="inlineStr">
        <is>
          <t>Alocação 1 — Unidades</t>
        </is>
      </c>
      <c r="B276" s="15" t="n"/>
      <c r="C276" s="7" t="inlineStr">
        <is>
          <t>unidades (inteiro)</t>
        </is>
      </c>
      <c r="D276" s="8" t="inlineStr">
        <is>
          <t>alocacoes[1].unidades</t>
        </is>
      </c>
    </row>
    <row r="277">
      <c r="A277" s="5" t="inlineStr">
        <is>
          <t>Alocação 1 — Preço</t>
        </is>
      </c>
      <c r="B277" s="17" t="n"/>
      <c r="C277" s="7" t="inlineStr">
        <is>
          <t>R$/m² (sobre privativa + aberta)</t>
        </is>
      </c>
      <c r="D277" s="8" t="inlineStr">
        <is>
          <t>alocacoes[1].preco_m2</t>
        </is>
      </c>
    </row>
    <row r="278">
      <c r="A278" s="16" t="inlineStr">
        <is>
          <t>Alocação 2</t>
        </is>
      </c>
    </row>
    <row r="279">
      <c r="A279" s="5" t="inlineStr">
        <is>
          <t>Alocação 2 — Grupo</t>
        </is>
      </c>
      <c r="B279" s="6" t="n"/>
      <c r="C279" s="7" t="inlineStr">
        <is>
          <t>nome do grupo (seção 6)</t>
        </is>
      </c>
      <c r="D279" s="8" t="inlineStr">
        <is>
          <t>alocacoes[2].grupo</t>
        </is>
      </c>
    </row>
    <row r="280">
      <c r="A280" s="5" t="inlineStr">
        <is>
          <t>Alocação 2 — Tipologia</t>
        </is>
      </c>
      <c r="B280" s="6" t="n"/>
      <c r="C280" s="7" t="inlineStr">
        <is>
          <t>nome do tipologia (seção 5)</t>
        </is>
      </c>
      <c r="D280" s="8" t="inlineStr">
        <is>
          <t>alocacoes[2].tipologia</t>
        </is>
      </c>
    </row>
    <row r="281">
      <c r="A281" s="5" t="inlineStr">
        <is>
          <t>Alocação 2 — Unidades</t>
        </is>
      </c>
      <c r="B281" s="15" t="n"/>
      <c r="C281" s="7" t="inlineStr">
        <is>
          <t>unidades (inteiro)</t>
        </is>
      </c>
      <c r="D281" s="8" t="inlineStr">
        <is>
          <t>alocacoes[2].unidades</t>
        </is>
      </c>
    </row>
    <row r="282">
      <c r="A282" s="5" t="inlineStr">
        <is>
          <t>Alocação 2 — Preço</t>
        </is>
      </c>
      <c r="B282" s="17" t="n"/>
      <c r="C282" s="7" t="inlineStr">
        <is>
          <t>R$/m² (sobre privativa + aberta)</t>
        </is>
      </c>
      <c r="D282" s="8" t="inlineStr">
        <is>
          <t>alocacoes[2].preco_m2</t>
        </is>
      </c>
    </row>
    <row r="283">
      <c r="A283" s="16" t="inlineStr">
        <is>
          <t>Alocação 3</t>
        </is>
      </c>
    </row>
    <row r="284">
      <c r="A284" s="5" t="inlineStr">
        <is>
          <t>Alocação 3 — Grupo</t>
        </is>
      </c>
      <c r="B284" s="6" t="n"/>
      <c r="C284" s="7" t="inlineStr">
        <is>
          <t>nome do grupo (seção 6)</t>
        </is>
      </c>
      <c r="D284" s="8" t="inlineStr">
        <is>
          <t>alocacoes[3].grupo</t>
        </is>
      </c>
    </row>
    <row r="285">
      <c r="A285" s="5" t="inlineStr">
        <is>
          <t>Alocação 3 — Tipologia</t>
        </is>
      </c>
      <c r="B285" s="6" t="n"/>
      <c r="C285" s="7" t="inlineStr">
        <is>
          <t>nome do tipologia (seção 5)</t>
        </is>
      </c>
      <c r="D285" s="8" t="inlineStr">
        <is>
          <t>alocacoes[3].tipologia</t>
        </is>
      </c>
    </row>
    <row r="286">
      <c r="A286" s="5" t="inlineStr">
        <is>
          <t>Alocação 3 — Unidades</t>
        </is>
      </c>
      <c r="B286" s="15" t="n"/>
      <c r="C286" s="7" t="inlineStr">
        <is>
          <t>unidades (inteiro)</t>
        </is>
      </c>
      <c r="D286" s="8" t="inlineStr">
        <is>
          <t>alocacoes[3].unidades</t>
        </is>
      </c>
    </row>
    <row r="287">
      <c r="A287" s="5" t="inlineStr">
        <is>
          <t>Alocação 3 — Preço</t>
        </is>
      </c>
      <c r="B287" s="17" t="n"/>
      <c r="C287" s="7" t="inlineStr">
        <is>
          <t>R$/m² (sobre privativa + aberta)</t>
        </is>
      </c>
      <c r="D287" s="8" t="inlineStr">
        <is>
          <t>alocacoes[3].preco_m2</t>
        </is>
      </c>
    </row>
    <row r="288">
      <c r="A288" s="16" t="inlineStr">
        <is>
          <t>Alocação 4</t>
        </is>
      </c>
    </row>
    <row r="289">
      <c r="A289" s="5" t="inlineStr">
        <is>
          <t>Alocação 4 — Grupo</t>
        </is>
      </c>
      <c r="B289" s="6" t="n"/>
      <c r="C289" s="7" t="inlineStr">
        <is>
          <t>nome do grupo (seção 6)</t>
        </is>
      </c>
      <c r="D289" s="8" t="inlineStr">
        <is>
          <t>alocacoes[4].grupo</t>
        </is>
      </c>
    </row>
    <row r="290">
      <c r="A290" s="5" t="inlineStr">
        <is>
          <t>Alocação 4 — Tipologia</t>
        </is>
      </c>
      <c r="B290" s="6" t="n"/>
      <c r="C290" s="7" t="inlineStr">
        <is>
          <t>nome do tipologia (seção 5)</t>
        </is>
      </c>
      <c r="D290" s="8" t="inlineStr">
        <is>
          <t>alocacoes[4].tipologia</t>
        </is>
      </c>
    </row>
    <row r="291">
      <c r="A291" s="5" t="inlineStr">
        <is>
          <t>Alocação 4 — Unidades</t>
        </is>
      </c>
      <c r="B291" s="15" t="n"/>
      <c r="C291" s="7" t="inlineStr">
        <is>
          <t>unidades (inteiro)</t>
        </is>
      </c>
      <c r="D291" s="8" t="inlineStr">
        <is>
          <t>alocacoes[4].unidades</t>
        </is>
      </c>
    </row>
    <row r="292">
      <c r="A292" s="5" t="inlineStr">
        <is>
          <t>Alocação 4 — Preço</t>
        </is>
      </c>
      <c r="B292" s="17" t="n"/>
      <c r="C292" s="7" t="inlineStr">
        <is>
          <t>R$/m² (sobre privativa + aberta)</t>
        </is>
      </c>
      <c r="D292" s="8" t="inlineStr">
        <is>
          <t>alocacoes[4].preco_m2</t>
        </is>
      </c>
    </row>
    <row r="293">
      <c r="A293" s="16" t="inlineStr">
        <is>
          <t>Alocação 5</t>
        </is>
      </c>
    </row>
    <row r="294">
      <c r="A294" s="5" t="inlineStr">
        <is>
          <t>Alocação 5 — Grupo</t>
        </is>
      </c>
      <c r="B294" s="6" t="n"/>
      <c r="C294" s="7" t="inlineStr">
        <is>
          <t>nome do grupo (seção 6)</t>
        </is>
      </c>
      <c r="D294" s="8" t="inlineStr">
        <is>
          <t>alocacoes[5].grupo</t>
        </is>
      </c>
    </row>
    <row r="295">
      <c r="A295" s="5" t="inlineStr">
        <is>
          <t>Alocação 5 — Tipologia</t>
        </is>
      </c>
      <c r="B295" s="6" t="n"/>
      <c r="C295" s="7" t="inlineStr">
        <is>
          <t>nome do tipologia (seção 5)</t>
        </is>
      </c>
      <c r="D295" s="8" t="inlineStr">
        <is>
          <t>alocacoes[5].tipologia</t>
        </is>
      </c>
    </row>
    <row r="296">
      <c r="A296" s="5" t="inlineStr">
        <is>
          <t>Alocação 5 — Unidades</t>
        </is>
      </c>
      <c r="B296" s="15" t="n"/>
      <c r="C296" s="7" t="inlineStr">
        <is>
          <t>unidades (inteiro)</t>
        </is>
      </c>
      <c r="D296" s="8" t="inlineStr">
        <is>
          <t>alocacoes[5].unidades</t>
        </is>
      </c>
    </row>
    <row r="297">
      <c r="A297" s="5" t="inlineStr">
        <is>
          <t>Alocação 5 — Preço</t>
        </is>
      </c>
      <c r="B297" s="17" t="n"/>
      <c r="C297" s="7" t="inlineStr">
        <is>
          <t>R$/m² (sobre privativa + aberta)</t>
        </is>
      </c>
      <c r="D297" s="8" t="inlineStr">
        <is>
          <t>alocacoes[5].preco_m2</t>
        </is>
      </c>
    </row>
    <row r="298">
      <c r="A298" s="16" t="inlineStr">
        <is>
          <t>Alocação 6</t>
        </is>
      </c>
    </row>
    <row r="299">
      <c r="A299" s="5" t="inlineStr">
        <is>
          <t>Alocação 6 — Grupo</t>
        </is>
      </c>
      <c r="B299" s="6" t="n"/>
      <c r="C299" s="7" t="inlineStr">
        <is>
          <t>nome do grupo (seção 6)</t>
        </is>
      </c>
      <c r="D299" s="8" t="inlineStr">
        <is>
          <t>alocacoes[6].grupo</t>
        </is>
      </c>
    </row>
    <row r="300">
      <c r="A300" s="5" t="inlineStr">
        <is>
          <t>Alocação 6 — Tipologia</t>
        </is>
      </c>
      <c r="B300" s="6" t="n"/>
      <c r="C300" s="7" t="inlineStr">
        <is>
          <t>nome do tipologia (seção 5)</t>
        </is>
      </c>
      <c r="D300" s="8" t="inlineStr">
        <is>
          <t>alocacoes[6].tipologia</t>
        </is>
      </c>
    </row>
    <row r="301">
      <c r="A301" s="5" t="inlineStr">
        <is>
          <t>Alocação 6 — Unidades</t>
        </is>
      </c>
      <c r="B301" s="15" t="n"/>
      <c r="C301" s="7" t="inlineStr">
        <is>
          <t>unidades (inteiro)</t>
        </is>
      </c>
      <c r="D301" s="8" t="inlineStr">
        <is>
          <t>alocacoes[6].unidades</t>
        </is>
      </c>
    </row>
    <row r="302">
      <c r="A302" s="5" t="inlineStr">
        <is>
          <t>Alocação 6 — Preço</t>
        </is>
      </c>
      <c r="B302" s="17" t="n"/>
      <c r="C302" s="7" t="inlineStr">
        <is>
          <t>R$/m² (sobre privativa + aberta)</t>
        </is>
      </c>
      <c r="D302" s="8" t="inlineStr">
        <is>
          <t>alocacoes[6].preco_m2</t>
        </is>
      </c>
    </row>
    <row r="303">
      <c r="A303" s="16" t="inlineStr">
        <is>
          <t>Alocação 7</t>
        </is>
      </c>
    </row>
    <row r="304">
      <c r="A304" s="5" t="inlineStr">
        <is>
          <t>Alocação 7 — Grupo</t>
        </is>
      </c>
      <c r="B304" s="6" t="n"/>
      <c r="C304" s="7" t="inlineStr">
        <is>
          <t>nome do grupo (seção 6)</t>
        </is>
      </c>
      <c r="D304" s="8" t="inlineStr">
        <is>
          <t>alocacoes[7].grupo</t>
        </is>
      </c>
    </row>
    <row r="305">
      <c r="A305" s="5" t="inlineStr">
        <is>
          <t>Alocação 7 — Tipologia</t>
        </is>
      </c>
      <c r="B305" s="6" t="n"/>
      <c r="C305" s="7" t="inlineStr">
        <is>
          <t>nome do tipologia (seção 5)</t>
        </is>
      </c>
      <c r="D305" s="8" t="inlineStr">
        <is>
          <t>alocacoes[7].tipologia</t>
        </is>
      </c>
    </row>
    <row r="306">
      <c r="A306" s="5" t="inlineStr">
        <is>
          <t>Alocação 7 — Unidades</t>
        </is>
      </c>
      <c r="B306" s="15" t="n"/>
      <c r="C306" s="7" t="inlineStr">
        <is>
          <t>unidades (inteiro)</t>
        </is>
      </c>
      <c r="D306" s="8" t="inlineStr">
        <is>
          <t>alocacoes[7].unidades</t>
        </is>
      </c>
    </row>
    <row r="307">
      <c r="A307" s="5" t="inlineStr">
        <is>
          <t>Alocação 7 — Preço</t>
        </is>
      </c>
      <c r="B307" s="17" t="n"/>
      <c r="C307" s="7" t="inlineStr">
        <is>
          <t>R$/m² (sobre privativa + aberta)</t>
        </is>
      </c>
      <c r="D307" s="8" t="inlineStr">
        <is>
          <t>alocacoes[7].preco_m2</t>
        </is>
      </c>
    </row>
    <row r="308">
      <c r="A308" s="16" t="inlineStr">
        <is>
          <t>Alocação 8</t>
        </is>
      </c>
    </row>
    <row r="309">
      <c r="A309" s="5" t="inlineStr">
        <is>
          <t>Alocação 8 — Grupo</t>
        </is>
      </c>
      <c r="B309" s="6" t="n"/>
      <c r="C309" s="7" t="inlineStr">
        <is>
          <t>nome do grupo (seção 6)</t>
        </is>
      </c>
      <c r="D309" s="8" t="inlineStr">
        <is>
          <t>alocacoes[8].grupo</t>
        </is>
      </c>
    </row>
    <row r="310">
      <c r="A310" s="5" t="inlineStr">
        <is>
          <t>Alocação 8 — Tipologia</t>
        </is>
      </c>
      <c r="B310" s="6" t="n"/>
      <c r="C310" s="7" t="inlineStr">
        <is>
          <t>nome do tipologia (seção 5)</t>
        </is>
      </c>
      <c r="D310" s="8" t="inlineStr">
        <is>
          <t>alocacoes[8].tipologia</t>
        </is>
      </c>
    </row>
    <row r="311">
      <c r="A311" s="5" t="inlineStr">
        <is>
          <t>Alocação 8 — Unidades</t>
        </is>
      </c>
      <c r="B311" s="15" t="n"/>
      <c r="C311" s="7" t="inlineStr">
        <is>
          <t>unidades (inteiro)</t>
        </is>
      </c>
      <c r="D311" s="8" t="inlineStr">
        <is>
          <t>alocacoes[8].unidades</t>
        </is>
      </c>
    </row>
    <row r="312">
      <c r="A312" s="5" t="inlineStr">
        <is>
          <t>Alocação 8 — Preço</t>
        </is>
      </c>
      <c r="B312" s="17" t="n"/>
      <c r="C312" s="7" t="inlineStr">
        <is>
          <t>R$/m² (sobre privativa + aberta)</t>
        </is>
      </c>
      <c r="D312" s="8" t="inlineStr">
        <is>
          <t>alocacoes[8].preco_m2</t>
        </is>
      </c>
    </row>
    <row r="313">
      <c r="A313" s="16" t="inlineStr">
        <is>
          <t>Alocação 9</t>
        </is>
      </c>
    </row>
    <row r="314">
      <c r="A314" s="5" t="inlineStr">
        <is>
          <t>Alocação 9 — Grupo</t>
        </is>
      </c>
      <c r="B314" s="6" t="n"/>
      <c r="C314" s="7" t="inlineStr">
        <is>
          <t>nome do grupo (seção 6)</t>
        </is>
      </c>
      <c r="D314" s="8" t="inlineStr">
        <is>
          <t>alocacoes[9].grupo</t>
        </is>
      </c>
    </row>
    <row r="315">
      <c r="A315" s="5" t="inlineStr">
        <is>
          <t>Alocação 9 — Tipologia</t>
        </is>
      </c>
      <c r="B315" s="6" t="n"/>
      <c r="C315" s="7" t="inlineStr">
        <is>
          <t>nome do tipologia (seção 5)</t>
        </is>
      </c>
      <c r="D315" s="8" t="inlineStr">
        <is>
          <t>alocacoes[9].tipologia</t>
        </is>
      </c>
    </row>
    <row r="316">
      <c r="A316" s="5" t="inlineStr">
        <is>
          <t>Alocação 9 — Unidades</t>
        </is>
      </c>
      <c r="B316" s="15" t="n"/>
      <c r="C316" s="7" t="inlineStr">
        <is>
          <t>unidades (inteiro)</t>
        </is>
      </c>
      <c r="D316" s="8" t="inlineStr">
        <is>
          <t>alocacoes[9].unidades</t>
        </is>
      </c>
    </row>
    <row r="317">
      <c r="A317" s="5" t="inlineStr">
        <is>
          <t>Alocação 9 — Preço</t>
        </is>
      </c>
      <c r="B317" s="17" t="n"/>
      <c r="C317" s="7" t="inlineStr">
        <is>
          <t>R$/m² (sobre privativa + aberta)</t>
        </is>
      </c>
      <c r="D317" s="8" t="inlineStr">
        <is>
          <t>alocacoes[9].preco_m2</t>
        </is>
      </c>
    </row>
    <row r="318">
      <c r="A318" s="16" t="inlineStr">
        <is>
          <t>Alocação 10</t>
        </is>
      </c>
    </row>
    <row r="319">
      <c r="A319" s="5" t="inlineStr">
        <is>
          <t>Alocação 10 — Grupo</t>
        </is>
      </c>
      <c r="B319" s="6" t="n"/>
      <c r="C319" s="7" t="inlineStr">
        <is>
          <t>nome do grupo (seção 6)</t>
        </is>
      </c>
      <c r="D319" s="8" t="inlineStr">
        <is>
          <t>alocacoes[10].grupo</t>
        </is>
      </c>
    </row>
    <row r="320">
      <c r="A320" s="5" t="inlineStr">
        <is>
          <t>Alocação 10 — Tipologia</t>
        </is>
      </c>
      <c r="B320" s="6" t="n"/>
      <c r="C320" s="7" t="inlineStr">
        <is>
          <t>nome do tipologia (seção 5)</t>
        </is>
      </c>
      <c r="D320" s="8" t="inlineStr">
        <is>
          <t>alocacoes[10].tipologia</t>
        </is>
      </c>
    </row>
    <row r="321">
      <c r="A321" s="5" t="inlineStr">
        <is>
          <t>Alocação 10 — Unidades</t>
        </is>
      </c>
      <c r="B321" s="15" t="n"/>
      <c r="C321" s="7" t="inlineStr">
        <is>
          <t>unidades (inteiro)</t>
        </is>
      </c>
      <c r="D321" s="8" t="inlineStr">
        <is>
          <t>alocacoes[10].unidades</t>
        </is>
      </c>
    </row>
    <row r="322">
      <c r="A322" s="5" t="inlineStr">
        <is>
          <t>Alocação 10 — Preço</t>
        </is>
      </c>
      <c r="B322" s="17" t="n"/>
      <c r="C322" s="7" t="inlineStr">
        <is>
          <t>R$/m² (sobre privativa + aberta)</t>
        </is>
      </c>
      <c r="D322" s="8" t="inlineStr">
        <is>
          <t>alocacoes[10].preco_m2</t>
        </is>
      </c>
    </row>
    <row r="323" ht="20" customHeight="1">
      <c r="A323" s="4" t="inlineStr">
        <is>
          <t>9 · Custos (Viabilidade › Custos) — 28 vagas + permutas do terreno</t>
        </is>
      </c>
    </row>
    <row r="324" ht="117" customHeight="1">
      <c r="A324" s="13" t="inlineStr">
        <is>
          <t>Categorias e unidades aceitas (rs = R$ · rs_m2_priv = R$/m² privativo · rs_m2_terreno · pct_vgv · pct_obra · pct_recebido · pct_constr). TERRENO: Preço (rs, rs_m2_terreno; permuta financeira: rs, pct_vgv) · Registro (rs, rs_m2_priv) · Outro (rs, pct_vgv). OBRA: Construção, Decoração (rs, rs_m2_priv) · Outorga, Contingência, Outro (rs, pct_vgv) · Gestão da obra (rs, pct_obra). DIRETOS: Marketing &amp; Publicidade, Manutenção pós-obra, Outro (rs, pct_vgv, pct_recebido) · Corretagem de vendas (pct_vgv) · Projetos (rs, rs_m2_priv, pct_constr) · Licenças e Aprovações (rs, rs_m2_priv). INDIRETO: Marketing global, Gestão, Outro (rs, pct_vgv, pct_recebido) · Stand de vendas (rs, pct_vgv). FINANCEIRO: Juros de financiamento, Taxas bancárias, Estruturação de dívida, Investidores, Outro (rs, pct_vgv). Cronograma padrão: terreno/Preço = customizado; terreno/demais, indireto = planejamento; obra/diretos/financeiro = obra; Manutenção pós-obra = pos_obra. Início e Duração só valem com cronograma = customizado; cronograma ancorado em fase customizada = escrever "fase: &lt;nome da fase&gt;". Corretagem sai no mês da venda e a permuta física na entrega das unidades (não escolhem distribuição). Obrigatórias: terreno/Preço, obra/Construção, diretos/Corretagem de vendas (% VGV).</t>
        </is>
      </c>
    </row>
    <row r="325" ht="39" customHeight="1">
      <c r="A325" s="13" t="inlineStr">
        <is>
          <t>Em cada vaga: escolha a Unidade e preencha o Valor na linha certa — "Valor (R$ ou R$/m²)" quando a unidade for rs, rs_m2_priv ou rs_m2_terreno; "Valor (%)" quando for pct_*. A coluna Unidade da linha de valor mostra o que a unidade escolhida significa. Vagas 1 a 3 já vêm com Grupo e Categoria obrigatórios (cinza).</t>
        </is>
      </c>
    </row>
    <row r="326">
      <c r="A326" s="16" t="inlineStr">
        <is>
          <t>Custo 1 — obrigatório: terreno / Preço</t>
        </is>
      </c>
    </row>
    <row r="327">
      <c r="A327" s="5" t="inlineStr">
        <is>
          <t>Custo 1 — Grupo</t>
        </is>
      </c>
      <c r="B327" s="9" t="inlineStr">
        <is>
          <t>terreno</t>
        </is>
      </c>
      <c r="C327" s="7" t="inlineStr">
        <is>
          <t>lista: terreno | obra | diretos | indireto | financeiro</t>
        </is>
      </c>
      <c r="D327" s="8" t="inlineStr">
        <is>
          <t>custos[1].grupo</t>
        </is>
      </c>
    </row>
    <row r="328">
      <c r="A328" s="5" t="inlineStr">
        <is>
          <t>Custo 1 — Categoria</t>
        </is>
      </c>
      <c r="B328" s="9" t="inlineStr">
        <is>
          <t>Preço</t>
        </is>
      </c>
      <c r="C328" s="7" t="inlineStr">
        <is>
          <t>ver tabela acima</t>
        </is>
      </c>
      <c r="D328" s="8" t="inlineStr">
        <is>
          <t>custos[1].categoria</t>
        </is>
      </c>
    </row>
    <row r="329">
      <c r="A329" s="5" t="inlineStr">
        <is>
          <t>Custo 1 — Subcategoria / descrição</t>
        </is>
      </c>
      <c r="B329" s="6" t="n"/>
      <c r="C329" s="7" t="inlineStr">
        <is>
          <t>Preço: Valor à vista | Parcelado; Outro: texto</t>
        </is>
      </c>
      <c r="D329" s="8" t="inlineStr">
        <is>
          <t>custos[1].subcategoria</t>
        </is>
      </c>
    </row>
    <row r="330">
      <c r="A330" s="5" t="inlineStr">
        <is>
          <t>Custo 1 — Unidade</t>
        </is>
      </c>
      <c r="B330" s="6" t="n"/>
      <c r="C330" s="7" t="inlineStr">
        <is>
          <t>lista: rs | rs_m2_priv | rs_m2_terreno | pct_vgv | pct_obra | pct_recebido | pct_constr</t>
        </is>
      </c>
      <c r="D330" s="8" t="inlineStr">
        <is>
          <t>custos[1].unidade</t>
        </is>
      </c>
    </row>
    <row r="331">
      <c r="A331" s="5" t="inlineStr">
        <is>
          <t>Custo 1 — Valor (R$ ou R$/m²)</t>
        </is>
      </c>
      <c r="B331" s="17" t="n"/>
      <c r="C331" s="7">
        <f>IF($B$330="","escolha a Unidade acima",IF($B$330="rs","R$ (valor cheio)",IF($B$330="rs_m2_priv","R$/m² privativo (fechada+aberta)",IF($B$330="rs_m2_terreno","R$/m² de terreno",IF(LEFT($B$330,3)="pct","— (use a linha de %)","unidade inválida")))))</f>
        <v/>
      </c>
      <c r="D331" s="8" t="inlineStr">
        <is>
          <t>custos[1].valor_rs</t>
        </is>
      </c>
    </row>
    <row r="332">
      <c r="A332" s="5" t="inlineStr">
        <is>
          <t>Custo 1 — Valor (%)</t>
        </is>
      </c>
      <c r="B332" s="12" t="n"/>
      <c r="C332" s="7">
        <f>IF($B$330="","escolha a Unidade acima",IF($B$330="pct_vgv","% do VGV",IF($B$330="pct_receita","% da receita líquida (RET, sem juros)",IF($B$330="pct_obra","% da obra (grupo Obras inteiro)",IF($B$330="pct_recebido","% do recebido (com juros de tabela)",IF($B$330="pct_constr","% da construção (constr.+decor.+gestão da obra)",IF(LEFT($B$330,2)="rs","— (use a linha de R$)","unidade inválida"))))))</f>
        <v/>
      </c>
      <c r="D332" s="8" t="inlineStr">
        <is>
          <t>custos[1].valor_pct</t>
        </is>
      </c>
    </row>
    <row r="333">
      <c r="A333" s="5" t="inlineStr">
        <is>
          <t>Custo 1 — Distribuição</t>
        </is>
      </c>
      <c r="B333" s="6" t="n"/>
      <c r="C333" s="7" t="inlineStr">
        <is>
          <t>Linear | nome de uma curva do catálogo (ex.: Curva S) | unit_delivery | sales_revenue</t>
        </is>
      </c>
      <c r="D333" s="8" t="inlineStr">
        <is>
          <t>custos[1].distribuicao</t>
        </is>
      </c>
    </row>
    <row r="334">
      <c r="A334" s="5" t="inlineStr">
        <is>
          <t>Custo 1 — Cronograma</t>
        </is>
      </c>
      <c r="B334" s="6" t="n"/>
      <c r="C334" s="7" t="inlineStr">
        <is>
          <t>evento, customizado ou "fase: &lt;nome&gt;"</t>
        </is>
      </c>
      <c r="D334" s="8" t="inlineStr">
        <is>
          <t>custos[1].cronograma</t>
        </is>
      </c>
    </row>
    <row r="335">
      <c r="A335" s="5" t="inlineStr">
        <is>
          <t>Custo 1 — Início (só customizado)</t>
        </is>
      </c>
      <c r="B335" s="15" t="n"/>
      <c r="C335" s="7" t="inlineStr">
        <is>
          <t>mês (inteiro ≥ 0)</t>
        </is>
      </c>
      <c r="D335" s="8" t="inlineStr">
        <is>
          <t>custos[1].inicio_mes</t>
        </is>
      </c>
    </row>
    <row r="336">
      <c r="A336" s="5" t="inlineStr">
        <is>
          <t>Custo 1 — Duração (só customizado)</t>
        </is>
      </c>
      <c r="B336" s="15" t="n"/>
      <c r="C336" s="7" t="inlineStr">
        <is>
          <t>meses (inteiro ≥ 1)</t>
        </is>
      </c>
      <c r="D336" s="8" t="inlineStr">
        <is>
          <t>custos[1].duracao_meses</t>
        </is>
      </c>
    </row>
    <row r="337">
      <c r="A337" s="16" t="inlineStr">
        <is>
          <t>Custo 2 — obrigatório: obra / Construção</t>
        </is>
      </c>
    </row>
    <row r="338">
      <c r="A338" s="5" t="inlineStr">
        <is>
          <t>Custo 2 — Grupo</t>
        </is>
      </c>
      <c r="B338" s="9" t="inlineStr">
        <is>
          <t>obra</t>
        </is>
      </c>
      <c r="C338" s="7" t="inlineStr">
        <is>
          <t>lista: terreno | obra | diretos | indireto | financeiro</t>
        </is>
      </c>
      <c r="D338" s="8" t="inlineStr">
        <is>
          <t>custos[2].grupo</t>
        </is>
      </c>
    </row>
    <row r="339">
      <c r="A339" s="5" t="inlineStr">
        <is>
          <t>Custo 2 — Categoria</t>
        </is>
      </c>
      <c r="B339" s="9" t="inlineStr">
        <is>
          <t>Construção</t>
        </is>
      </c>
      <c r="C339" s="7" t="inlineStr">
        <is>
          <t>ver tabela acima</t>
        </is>
      </c>
      <c r="D339" s="8" t="inlineStr">
        <is>
          <t>custos[2].categoria</t>
        </is>
      </c>
    </row>
    <row r="340">
      <c r="A340" s="5" t="inlineStr">
        <is>
          <t>Custo 2 — Subcategoria / descrição</t>
        </is>
      </c>
      <c r="B340" s="6" t="n"/>
      <c r="C340" s="7" t="inlineStr">
        <is>
          <t>Preço: Valor à vista | Parcelado; Outro: texto</t>
        </is>
      </c>
      <c r="D340" s="8" t="inlineStr">
        <is>
          <t>custos[2].subcategoria</t>
        </is>
      </c>
    </row>
    <row r="341">
      <c r="A341" s="5" t="inlineStr">
        <is>
          <t>Custo 2 — Unidade</t>
        </is>
      </c>
      <c r="B341" s="6" t="n"/>
      <c r="C341" s="7" t="inlineStr">
        <is>
          <t>lista: rs | rs_m2_priv | rs_m2_terreno | pct_vgv | pct_obra | pct_recebido | pct_constr</t>
        </is>
      </c>
      <c r="D341" s="8" t="inlineStr">
        <is>
          <t>custos[2].unidade</t>
        </is>
      </c>
    </row>
    <row r="342">
      <c r="A342" s="5" t="inlineStr">
        <is>
          <t>Custo 2 — Valor (R$ ou R$/m²)</t>
        </is>
      </c>
      <c r="B342" s="17" t="n"/>
      <c r="C342" s="7">
        <f>IF($B$341="","escolha a Unidade acima",IF($B$341="rs","R$ (valor cheio)",IF($B$341="rs_m2_priv","R$/m² privativo (fechada+aberta)",IF($B$341="rs_m2_terreno","R$/m² de terreno",IF(LEFT($B$341,3)="pct","— (use a linha de %)","unidade inválida")))))</f>
        <v/>
      </c>
      <c r="D342" s="8" t="inlineStr">
        <is>
          <t>custos[2].valor_rs</t>
        </is>
      </c>
    </row>
    <row r="343">
      <c r="A343" s="5" t="inlineStr">
        <is>
          <t>Custo 2 — Valor (%)</t>
        </is>
      </c>
      <c r="B343" s="12" t="n"/>
      <c r="C343" s="7">
        <f>IF($B$341="","escolha a Unidade acima",IF($B$341="pct_vgv","% do VGV",IF($B$341="pct_receita","% da receita líquida (RET, sem juros)",IF($B$341="pct_obra","% da obra (grupo Obras inteiro)",IF($B$341="pct_recebido","% do recebido (com juros de tabela)",IF($B$341="pct_constr","% da construção (constr.+decor.+gestão da obra)",IF(LEFT($B$341,2)="rs","— (use a linha de R$)","unidade inválida"))))))</f>
        <v/>
      </c>
      <c r="D343" s="8" t="inlineStr">
        <is>
          <t>custos[2].valor_pct</t>
        </is>
      </c>
    </row>
    <row r="344">
      <c r="A344" s="5" t="inlineStr">
        <is>
          <t>Custo 2 — Distribuição</t>
        </is>
      </c>
      <c r="B344" s="6" t="n"/>
      <c r="C344" s="7" t="inlineStr">
        <is>
          <t>Linear | nome de uma curva do catálogo (ex.: Curva S) | unit_delivery | sales_revenue</t>
        </is>
      </c>
      <c r="D344" s="8" t="inlineStr">
        <is>
          <t>custos[2].distribuicao</t>
        </is>
      </c>
    </row>
    <row r="345">
      <c r="A345" s="5" t="inlineStr">
        <is>
          <t>Custo 2 — Cronograma</t>
        </is>
      </c>
      <c r="B345" s="6" t="n"/>
      <c r="C345" s="7" t="inlineStr">
        <is>
          <t>evento, customizado ou "fase: &lt;nome&gt;"</t>
        </is>
      </c>
      <c r="D345" s="8" t="inlineStr">
        <is>
          <t>custos[2].cronograma</t>
        </is>
      </c>
    </row>
    <row r="346">
      <c r="A346" s="5" t="inlineStr">
        <is>
          <t>Custo 2 — Início (só customizado)</t>
        </is>
      </c>
      <c r="B346" s="15" t="n"/>
      <c r="C346" s="7" t="inlineStr">
        <is>
          <t>mês (inteiro ≥ 0)</t>
        </is>
      </c>
      <c r="D346" s="8" t="inlineStr">
        <is>
          <t>custos[2].inicio_mes</t>
        </is>
      </c>
    </row>
    <row r="347">
      <c r="A347" s="5" t="inlineStr">
        <is>
          <t>Custo 2 — Duração (só customizado)</t>
        </is>
      </c>
      <c r="B347" s="15" t="n"/>
      <c r="C347" s="7" t="inlineStr">
        <is>
          <t>meses (inteiro ≥ 1)</t>
        </is>
      </c>
      <c r="D347" s="8" t="inlineStr">
        <is>
          <t>custos[2].duracao_meses</t>
        </is>
      </c>
    </row>
    <row r="348">
      <c r="A348" s="16" t="inlineStr">
        <is>
          <t>Custo 3 — obrigatório: diretos / Corretagem de vendas (% VGV)</t>
        </is>
      </c>
    </row>
    <row r="349">
      <c r="A349" s="5" t="inlineStr">
        <is>
          <t>Custo 3 — Grupo</t>
        </is>
      </c>
      <c r="B349" s="9" t="inlineStr">
        <is>
          <t>diretos</t>
        </is>
      </c>
      <c r="C349" s="7" t="inlineStr">
        <is>
          <t>lista: terreno | obra | diretos | indireto | financeiro</t>
        </is>
      </c>
      <c r="D349" s="8" t="inlineStr">
        <is>
          <t>custos[3].grupo</t>
        </is>
      </c>
    </row>
    <row r="350">
      <c r="A350" s="5" t="inlineStr">
        <is>
          <t>Custo 3 — Categoria</t>
        </is>
      </c>
      <c r="B350" s="9" t="inlineStr">
        <is>
          <t>Corretagem de vendas</t>
        </is>
      </c>
      <c r="C350" s="7" t="inlineStr">
        <is>
          <t>ver tabela acima</t>
        </is>
      </c>
      <c r="D350" s="8" t="inlineStr">
        <is>
          <t>custos[3].categoria</t>
        </is>
      </c>
    </row>
    <row r="351">
      <c r="A351" s="5" t="inlineStr">
        <is>
          <t>Custo 3 — Subcategoria / descrição</t>
        </is>
      </c>
      <c r="B351" s="6" t="n"/>
      <c r="C351" s="7" t="inlineStr">
        <is>
          <t>Preço: Valor à vista | Parcelado; Outro: texto</t>
        </is>
      </c>
      <c r="D351" s="8" t="inlineStr">
        <is>
          <t>custos[3].subcategoria</t>
        </is>
      </c>
    </row>
    <row r="352">
      <c r="A352" s="5" t="inlineStr">
        <is>
          <t>Custo 3 — Unidade</t>
        </is>
      </c>
      <c r="B352" s="9" t="inlineStr">
        <is>
          <t>pct_vgv</t>
        </is>
      </c>
      <c r="C352" s="7" t="inlineStr">
        <is>
          <t>lista: rs | rs_m2_priv | rs_m2_terreno | pct_vgv | pct_obra | pct_recebido | pct_constr</t>
        </is>
      </c>
      <c r="D352" s="8" t="inlineStr">
        <is>
          <t>custos[3].unidade</t>
        </is>
      </c>
    </row>
    <row r="353">
      <c r="A353" s="5" t="inlineStr">
        <is>
          <t>Custo 3 — Valor (R$ ou R$/m²)</t>
        </is>
      </c>
      <c r="B353" s="17" t="n"/>
      <c r="C353" s="7">
        <f>IF($B$352="","escolha a Unidade acima",IF($B$352="rs","R$ (valor cheio)",IF($B$352="rs_m2_priv","R$/m² privativo (fechada+aberta)",IF($B$352="rs_m2_terreno","R$/m² de terreno",IF(LEFT($B$352,3)="pct","— (use a linha de %)","unidade inválida")))))</f>
        <v/>
      </c>
      <c r="D353" s="8" t="inlineStr">
        <is>
          <t>custos[3].valor_rs</t>
        </is>
      </c>
    </row>
    <row r="354">
      <c r="A354" s="5" t="inlineStr">
        <is>
          <t>Custo 3 — Valor (%)</t>
        </is>
      </c>
      <c r="B354" s="12" t="n"/>
      <c r="C354" s="7">
        <f>IF($B$352="","escolha a Unidade acima",IF($B$352="pct_vgv","% do VGV",IF($B$352="pct_receita","% da receita líquida (RET, sem juros)",IF($B$352="pct_obra","% da obra (grupo Obras inteiro)",IF($B$352="pct_recebido","% do recebido (com juros de tabela)",IF($B$352="pct_constr","% da construção (constr.+decor.+gestão da obra)",IF(LEFT($B$352,2)="rs","— (use a linha de R$)","unidade inválida"))))))</f>
        <v/>
      </c>
      <c r="D354" s="8" t="inlineStr">
        <is>
          <t>custos[3].valor_pct</t>
        </is>
      </c>
    </row>
    <row r="355">
      <c r="A355" s="5" t="inlineStr">
        <is>
          <t>Custo 3 — Distribuição</t>
        </is>
      </c>
      <c r="B355" s="6" t="n"/>
      <c r="C355" s="7" t="inlineStr">
        <is>
          <t>Linear | nome de uma curva do catálogo (ex.: Curva S) | unit_delivery | sales_revenue</t>
        </is>
      </c>
      <c r="D355" s="8" t="inlineStr">
        <is>
          <t>custos[3].distribuicao</t>
        </is>
      </c>
    </row>
    <row r="356">
      <c r="A356" s="5" t="inlineStr">
        <is>
          <t>Custo 3 — Cronograma</t>
        </is>
      </c>
      <c r="B356" s="6" t="n"/>
      <c r="C356" s="7" t="inlineStr">
        <is>
          <t>evento, customizado ou "fase: &lt;nome&gt;"</t>
        </is>
      </c>
      <c r="D356" s="8" t="inlineStr">
        <is>
          <t>custos[3].cronograma</t>
        </is>
      </c>
    </row>
    <row r="357">
      <c r="A357" s="5" t="inlineStr">
        <is>
          <t>Custo 3 — Início (só customizado)</t>
        </is>
      </c>
      <c r="B357" s="15" t="n"/>
      <c r="C357" s="7" t="inlineStr">
        <is>
          <t>mês (inteiro ≥ 0)</t>
        </is>
      </c>
      <c r="D357" s="8" t="inlineStr">
        <is>
          <t>custos[3].inicio_mes</t>
        </is>
      </c>
    </row>
    <row r="358">
      <c r="A358" s="5" t="inlineStr">
        <is>
          <t>Custo 3 — Duração (só customizado)</t>
        </is>
      </c>
      <c r="B358" s="15" t="n"/>
      <c r="C358" s="7" t="inlineStr">
        <is>
          <t>meses (inteiro ≥ 1)</t>
        </is>
      </c>
      <c r="D358" s="8" t="inlineStr">
        <is>
          <t>custos[3].duracao_meses</t>
        </is>
      </c>
    </row>
    <row r="359">
      <c r="A359" s="16" t="inlineStr">
        <is>
          <t>Custo 4</t>
        </is>
      </c>
    </row>
    <row r="360">
      <c r="A360" s="5" t="inlineStr">
        <is>
          <t>Custo 4 — Grupo</t>
        </is>
      </c>
      <c r="B360" s="6" t="n"/>
      <c r="C360" s="7" t="inlineStr">
        <is>
          <t>lista: terreno | obra | diretos | indireto | financeiro</t>
        </is>
      </c>
      <c r="D360" s="8" t="inlineStr">
        <is>
          <t>custos[4].grupo</t>
        </is>
      </c>
    </row>
    <row r="361">
      <c r="A361" s="5" t="inlineStr">
        <is>
          <t>Custo 4 — Categoria</t>
        </is>
      </c>
      <c r="B361" s="6" t="n"/>
      <c r="C361" s="7" t="inlineStr">
        <is>
          <t>ver tabela acima</t>
        </is>
      </c>
      <c r="D361" s="8" t="inlineStr">
        <is>
          <t>custos[4].categoria</t>
        </is>
      </c>
    </row>
    <row r="362">
      <c r="A362" s="5" t="inlineStr">
        <is>
          <t>Custo 4 — Subcategoria / descrição</t>
        </is>
      </c>
      <c r="B362" s="6" t="n"/>
      <c r="C362" s="7" t="inlineStr">
        <is>
          <t>Preço: Valor à vista | Parcelado; Outro: texto</t>
        </is>
      </c>
      <c r="D362" s="8" t="inlineStr">
        <is>
          <t>custos[4].subcategoria</t>
        </is>
      </c>
    </row>
    <row r="363">
      <c r="A363" s="5" t="inlineStr">
        <is>
          <t>Custo 4 — Unidade</t>
        </is>
      </c>
      <c r="B363" s="6" t="n"/>
      <c r="C363" s="7" t="inlineStr">
        <is>
          <t>lista: rs | rs_m2_priv | rs_m2_terreno | pct_vgv | pct_obra | pct_recebido | pct_constr</t>
        </is>
      </c>
      <c r="D363" s="8" t="inlineStr">
        <is>
          <t>custos[4].unidade</t>
        </is>
      </c>
    </row>
    <row r="364">
      <c r="A364" s="5" t="inlineStr">
        <is>
          <t>Custo 4 — Valor (R$ ou R$/m²)</t>
        </is>
      </c>
      <c r="B364" s="17" t="n"/>
      <c r="C364" s="7">
        <f>IF($B$363="","escolha a Unidade acima",IF($B$363="rs","R$ (valor cheio)",IF($B$363="rs_m2_priv","R$/m² privativo (fechada+aberta)",IF($B$363="rs_m2_terreno","R$/m² de terreno",IF(LEFT($B$363,3)="pct","— (use a linha de %)","unidade inválida")))))</f>
        <v/>
      </c>
      <c r="D364" s="8" t="inlineStr">
        <is>
          <t>custos[4].valor_rs</t>
        </is>
      </c>
    </row>
    <row r="365">
      <c r="A365" s="5" t="inlineStr">
        <is>
          <t>Custo 4 — Valor (%)</t>
        </is>
      </c>
      <c r="B365" s="12" t="n"/>
      <c r="C365" s="7">
        <f>IF($B$363="","escolha a Unidade acima",IF($B$363="pct_vgv","% do VGV",IF($B$363="pct_receita","% da receita líquida (RET, sem juros)",IF($B$363="pct_obra","% da obra (grupo Obras inteiro)",IF($B$363="pct_recebido","% do recebido (com juros de tabela)",IF($B$363="pct_constr","% da construção (constr.+decor.+gestão da obra)",IF(LEFT($B$363,2)="rs","— (use a linha de R$)","unidade inválida"))))))</f>
        <v/>
      </c>
      <c r="D365" s="8" t="inlineStr">
        <is>
          <t>custos[4].valor_pct</t>
        </is>
      </c>
    </row>
    <row r="366">
      <c r="A366" s="5" t="inlineStr">
        <is>
          <t>Custo 4 — Distribuição</t>
        </is>
      </c>
      <c r="B366" s="6" t="n"/>
      <c r="C366" s="7" t="inlineStr">
        <is>
          <t>Linear | nome de uma curva do catálogo (ex.: Curva S) | unit_delivery | sales_revenue</t>
        </is>
      </c>
      <c r="D366" s="8" t="inlineStr">
        <is>
          <t>custos[4].distribuicao</t>
        </is>
      </c>
    </row>
    <row r="367">
      <c r="A367" s="5" t="inlineStr">
        <is>
          <t>Custo 4 — Cronograma</t>
        </is>
      </c>
      <c r="B367" s="6" t="n"/>
      <c r="C367" s="7" t="inlineStr">
        <is>
          <t>evento, customizado ou "fase: &lt;nome&gt;"</t>
        </is>
      </c>
      <c r="D367" s="8" t="inlineStr">
        <is>
          <t>custos[4].cronograma</t>
        </is>
      </c>
    </row>
    <row r="368">
      <c r="A368" s="5" t="inlineStr">
        <is>
          <t>Custo 4 — Início (só customizado)</t>
        </is>
      </c>
      <c r="B368" s="15" t="n"/>
      <c r="C368" s="7" t="inlineStr">
        <is>
          <t>mês (inteiro ≥ 0)</t>
        </is>
      </c>
      <c r="D368" s="8" t="inlineStr">
        <is>
          <t>custos[4].inicio_mes</t>
        </is>
      </c>
    </row>
    <row r="369">
      <c r="A369" s="5" t="inlineStr">
        <is>
          <t>Custo 4 — Duração (só customizado)</t>
        </is>
      </c>
      <c r="B369" s="15" t="n"/>
      <c r="C369" s="7" t="inlineStr">
        <is>
          <t>meses (inteiro ≥ 1)</t>
        </is>
      </c>
      <c r="D369" s="8" t="inlineStr">
        <is>
          <t>custos[4].duracao_meses</t>
        </is>
      </c>
    </row>
    <row r="370">
      <c r="A370" s="16" t="inlineStr">
        <is>
          <t>Custo 5</t>
        </is>
      </c>
    </row>
    <row r="371">
      <c r="A371" s="5" t="inlineStr">
        <is>
          <t>Custo 5 — Grupo</t>
        </is>
      </c>
      <c r="B371" s="6" t="n"/>
      <c r="C371" s="7" t="inlineStr">
        <is>
          <t>lista: terreno | obra | diretos | indireto | financeiro</t>
        </is>
      </c>
      <c r="D371" s="8" t="inlineStr">
        <is>
          <t>custos[5].grupo</t>
        </is>
      </c>
    </row>
    <row r="372">
      <c r="A372" s="5" t="inlineStr">
        <is>
          <t>Custo 5 — Categoria</t>
        </is>
      </c>
      <c r="B372" s="6" t="n"/>
      <c r="C372" s="7" t="inlineStr">
        <is>
          <t>ver tabela acima</t>
        </is>
      </c>
      <c r="D372" s="8" t="inlineStr">
        <is>
          <t>custos[5].categoria</t>
        </is>
      </c>
    </row>
    <row r="373">
      <c r="A373" s="5" t="inlineStr">
        <is>
          <t>Custo 5 — Subcategoria / descrição</t>
        </is>
      </c>
      <c r="B373" s="6" t="n"/>
      <c r="C373" s="7" t="inlineStr">
        <is>
          <t>Preço: Valor à vista | Parcelado; Outro: texto</t>
        </is>
      </c>
      <c r="D373" s="8" t="inlineStr">
        <is>
          <t>custos[5].subcategoria</t>
        </is>
      </c>
    </row>
    <row r="374">
      <c r="A374" s="5" t="inlineStr">
        <is>
          <t>Custo 5 — Unidade</t>
        </is>
      </c>
      <c r="B374" s="6" t="n"/>
      <c r="C374" s="7" t="inlineStr">
        <is>
          <t>lista: rs | rs_m2_priv | rs_m2_terreno | pct_vgv | pct_obra | pct_recebido | pct_constr</t>
        </is>
      </c>
      <c r="D374" s="8" t="inlineStr">
        <is>
          <t>custos[5].unidade</t>
        </is>
      </c>
    </row>
    <row r="375">
      <c r="A375" s="5" t="inlineStr">
        <is>
          <t>Custo 5 — Valor (R$ ou R$/m²)</t>
        </is>
      </c>
      <c r="B375" s="17" t="n"/>
      <c r="C375" s="7">
        <f>IF($B$374="","escolha a Unidade acima",IF($B$374="rs","R$ (valor cheio)",IF($B$374="rs_m2_priv","R$/m² privativo (fechada+aberta)",IF($B$374="rs_m2_terreno","R$/m² de terreno",IF(LEFT($B$374,3)="pct","— (use a linha de %)","unidade inválida")))))</f>
        <v/>
      </c>
      <c r="D375" s="8" t="inlineStr">
        <is>
          <t>custos[5].valor_rs</t>
        </is>
      </c>
    </row>
    <row r="376">
      <c r="A376" s="5" t="inlineStr">
        <is>
          <t>Custo 5 — Valor (%)</t>
        </is>
      </c>
      <c r="B376" s="12" t="n"/>
      <c r="C376" s="7">
        <f>IF($B$374="","escolha a Unidade acima",IF($B$374="pct_vgv","% do VGV",IF($B$374="pct_receita","% da receita líquida (RET, sem juros)",IF($B$374="pct_obra","% da obra (grupo Obras inteiro)",IF($B$374="pct_recebido","% do recebido (com juros de tabela)",IF($B$374="pct_constr","% da construção (constr.+decor.+gestão da obra)",IF(LEFT($B$374,2)="rs","— (use a linha de R$)","unidade inválida"))))))</f>
        <v/>
      </c>
      <c r="D376" s="8" t="inlineStr">
        <is>
          <t>custos[5].valor_pct</t>
        </is>
      </c>
    </row>
    <row r="377">
      <c r="A377" s="5" t="inlineStr">
        <is>
          <t>Custo 5 — Distribuição</t>
        </is>
      </c>
      <c r="B377" s="6" t="n"/>
      <c r="C377" s="7" t="inlineStr">
        <is>
          <t>Linear | nome de uma curva do catálogo (ex.: Curva S) | unit_delivery | sales_revenue</t>
        </is>
      </c>
      <c r="D377" s="8" t="inlineStr">
        <is>
          <t>custos[5].distribuicao</t>
        </is>
      </c>
    </row>
    <row r="378">
      <c r="A378" s="5" t="inlineStr">
        <is>
          <t>Custo 5 — Cronograma</t>
        </is>
      </c>
      <c r="B378" s="6" t="n"/>
      <c r="C378" s="7" t="inlineStr">
        <is>
          <t>evento, customizado ou "fase: &lt;nome&gt;"</t>
        </is>
      </c>
      <c r="D378" s="8" t="inlineStr">
        <is>
          <t>custos[5].cronograma</t>
        </is>
      </c>
    </row>
    <row r="379">
      <c r="A379" s="5" t="inlineStr">
        <is>
          <t>Custo 5 — Início (só customizado)</t>
        </is>
      </c>
      <c r="B379" s="15" t="n"/>
      <c r="C379" s="7" t="inlineStr">
        <is>
          <t>mês (inteiro ≥ 0)</t>
        </is>
      </c>
      <c r="D379" s="8" t="inlineStr">
        <is>
          <t>custos[5].inicio_mes</t>
        </is>
      </c>
    </row>
    <row r="380">
      <c r="A380" s="5" t="inlineStr">
        <is>
          <t>Custo 5 — Duração (só customizado)</t>
        </is>
      </c>
      <c r="B380" s="15" t="n"/>
      <c r="C380" s="7" t="inlineStr">
        <is>
          <t>meses (inteiro ≥ 1)</t>
        </is>
      </c>
      <c r="D380" s="8" t="inlineStr">
        <is>
          <t>custos[5].duracao_meses</t>
        </is>
      </c>
    </row>
    <row r="381">
      <c r="A381" s="16" t="inlineStr">
        <is>
          <t>Custo 6</t>
        </is>
      </c>
    </row>
    <row r="382">
      <c r="A382" s="5" t="inlineStr">
        <is>
          <t>Custo 6 — Grupo</t>
        </is>
      </c>
      <c r="B382" s="6" t="n"/>
      <c r="C382" s="7" t="inlineStr">
        <is>
          <t>lista: terreno | obra | diretos | indireto | financeiro</t>
        </is>
      </c>
      <c r="D382" s="8" t="inlineStr">
        <is>
          <t>custos[6].grupo</t>
        </is>
      </c>
    </row>
    <row r="383">
      <c r="A383" s="5" t="inlineStr">
        <is>
          <t>Custo 6 — Categoria</t>
        </is>
      </c>
      <c r="B383" s="6" t="n"/>
      <c r="C383" s="7" t="inlineStr">
        <is>
          <t>ver tabela acima</t>
        </is>
      </c>
      <c r="D383" s="8" t="inlineStr">
        <is>
          <t>custos[6].categoria</t>
        </is>
      </c>
    </row>
    <row r="384">
      <c r="A384" s="5" t="inlineStr">
        <is>
          <t>Custo 6 — Subcategoria / descrição</t>
        </is>
      </c>
      <c r="B384" s="6" t="n"/>
      <c r="C384" s="7" t="inlineStr">
        <is>
          <t>Preço: Valor à vista | Parcelado; Outro: texto</t>
        </is>
      </c>
      <c r="D384" s="8" t="inlineStr">
        <is>
          <t>custos[6].subcategoria</t>
        </is>
      </c>
    </row>
    <row r="385">
      <c r="A385" s="5" t="inlineStr">
        <is>
          <t>Custo 6 — Unidade</t>
        </is>
      </c>
      <c r="B385" s="6" t="n"/>
      <c r="C385" s="7" t="inlineStr">
        <is>
          <t>lista: rs | rs_m2_priv | rs_m2_terreno | pct_vgv | pct_obra | pct_recebido | pct_constr</t>
        </is>
      </c>
      <c r="D385" s="8" t="inlineStr">
        <is>
          <t>custos[6].unidade</t>
        </is>
      </c>
    </row>
    <row r="386">
      <c r="A386" s="5" t="inlineStr">
        <is>
          <t>Custo 6 — Valor (R$ ou R$/m²)</t>
        </is>
      </c>
      <c r="B386" s="17" t="n"/>
      <c r="C386" s="7">
        <f>IF($B$385="","escolha a Unidade acima",IF($B$385="rs","R$ (valor cheio)",IF($B$385="rs_m2_priv","R$/m² privativo (fechada+aberta)",IF($B$385="rs_m2_terreno","R$/m² de terreno",IF(LEFT($B$385,3)="pct","— (use a linha de %)","unidade inválida")))))</f>
        <v/>
      </c>
      <c r="D386" s="8" t="inlineStr">
        <is>
          <t>custos[6].valor_rs</t>
        </is>
      </c>
    </row>
    <row r="387">
      <c r="A387" s="5" t="inlineStr">
        <is>
          <t>Custo 6 — Valor (%)</t>
        </is>
      </c>
      <c r="B387" s="12" t="n"/>
      <c r="C387" s="7">
        <f>IF($B$385="","escolha a Unidade acima",IF($B$385="pct_vgv","% do VGV",IF($B$385="pct_receita","% da receita líquida (RET, sem juros)",IF($B$385="pct_obra","% da obra (grupo Obras inteiro)",IF($B$385="pct_recebido","% do recebido (com juros de tabela)",IF($B$385="pct_constr","% da construção (constr.+decor.+gestão da obra)",IF(LEFT($B$385,2)="rs","— (use a linha de R$)","unidade inválida"))))))</f>
        <v/>
      </c>
      <c r="D387" s="8" t="inlineStr">
        <is>
          <t>custos[6].valor_pct</t>
        </is>
      </c>
    </row>
    <row r="388">
      <c r="A388" s="5" t="inlineStr">
        <is>
          <t>Custo 6 — Distribuição</t>
        </is>
      </c>
      <c r="B388" s="6" t="n"/>
      <c r="C388" s="7" t="inlineStr">
        <is>
          <t>Linear | nome de uma curva do catálogo (ex.: Curva S) | unit_delivery | sales_revenue</t>
        </is>
      </c>
      <c r="D388" s="8" t="inlineStr">
        <is>
          <t>custos[6].distribuicao</t>
        </is>
      </c>
    </row>
    <row r="389">
      <c r="A389" s="5" t="inlineStr">
        <is>
          <t>Custo 6 — Cronograma</t>
        </is>
      </c>
      <c r="B389" s="6" t="n"/>
      <c r="C389" s="7" t="inlineStr">
        <is>
          <t>evento, customizado ou "fase: &lt;nome&gt;"</t>
        </is>
      </c>
      <c r="D389" s="8" t="inlineStr">
        <is>
          <t>custos[6].cronograma</t>
        </is>
      </c>
    </row>
    <row r="390">
      <c r="A390" s="5" t="inlineStr">
        <is>
          <t>Custo 6 — Início (só customizado)</t>
        </is>
      </c>
      <c r="B390" s="15" t="n"/>
      <c r="C390" s="7" t="inlineStr">
        <is>
          <t>mês (inteiro ≥ 0)</t>
        </is>
      </c>
      <c r="D390" s="8" t="inlineStr">
        <is>
          <t>custos[6].inicio_mes</t>
        </is>
      </c>
    </row>
    <row r="391">
      <c r="A391" s="5" t="inlineStr">
        <is>
          <t>Custo 6 — Duração (só customizado)</t>
        </is>
      </c>
      <c r="B391" s="15" t="n"/>
      <c r="C391" s="7" t="inlineStr">
        <is>
          <t>meses (inteiro ≥ 1)</t>
        </is>
      </c>
      <c r="D391" s="8" t="inlineStr">
        <is>
          <t>custos[6].duracao_meses</t>
        </is>
      </c>
    </row>
    <row r="392">
      <c r="A392" s="16" t="inlineStr">
        <is>
          <t>Custo 7</t>
        </is>
      </c>
    </row>
    <row r="393">
      <c r="A393" s="5" t="inlineStr">
        <is>
          <t>Custo 7 — Grupo</t>
        </is>
      </c>
      <c r="B393" s="6" t="n"/>
      <c r="C393" s="7" t="inlineStr">
        <is>
          <t>lista: terreno | obra | diretos | indireto | financeiro</t>
        </is>
      </c>
      <c r="D393" s="8" t="inlineStr">
        <is>
          <t>custos[7].grupo</t>
        </is>
      </c>
    </row>
    <row r="394">
      <c r="A394" s="5" t="inlineStr">
        <is>
          <t>Custo 7 — Categoria</t>
        </is>
      </c>
      <c r="B394" s="6" t="n"/>
      <c r="C394" s="7" t="inlineStr">
        <is>
          <t>ver tabela acima</t>
        </is>
      </c>
      <c r="D394" s="8" t="inlineStr">
        <is>
          <t>custos[7].categoria</t>
        </is>
      </c>
    </row>
    <row r="395">
      <c r="A395" s="5" t="inlineStr">
        <is>
          <t>Custo 7 — Subcategoria / descrição</t>
        </is>
      </c>
      <c r="B395" s="6" t="n"/>
      <c r="C395" s="7" t="inlineStr">
        <is>
          <t>Preço: Valor à vista | Parcelado; Outro: texto</t>
        </is>
      </c>
      <c r="D395" s="8" t="inlineStr">
        <is>
          <t>custos[7].subcategoria</t>
        </is>
      </c>
    </row>
    <row r="396">
      <c r="A396" s="5" t="inlineStr">
        <is>
          <t>Custo 7 — Unidade</t>
        </is>
      </c>
      <c r="B396" s="6" t="n"/>
      <c r="C396" s="7" t="inlineStr">
        <is>
          <t>lista: rs | rs_m2_priv | rs_m2_terreno | pct_vgv | pct_obra | pct_recebido | pct_constr</t>
        </is>
      </c>
      <c r="D396" s="8" t="inlineStr">
        <is>
          <t>custos[7].unidade</t>
        </is>
      </c>
    </row>
    <row r="397">
      <c r="A397" s="5" t="inlineStr">
        <is>
          <t>Custo 7 — Valor (R$ ou R$/m²)</t>
        </is>
      </c>
      <c r="B397" s="17" t="n"/>
      <c r="C397" s="7">
        <f>IF($B$396="","escolha a Unidade acima",IF($B$396="rs","R$ (valor cheio)",IF($B$396="rs_m2_priv","R$/m² privativo (fechada+aberta)",IF($B$396="rs_m2_terreno","R$/m² de terreno",IF(LEFT($B$396,3)="pct","— (use a linha de %)","unidade inválida")))))</f>
        <v/>
      </c>
      <c r="D397" s="8" t="inlineStr">
        <is>
          <t>custos[7].valor_rs</t>
        </is>
      </c>
    </row>
    <row r="398">
      <c r="A398" s="5" t="inlineStr">
        <is>
          <t>Custo 7 — Valor (%)</t>
        </is>
      </c>
      <c r="B398" s="12" t="n"/>
      <c r="C398" s="7">
        <f>IF($B$396="","escolha a Unidade acima",IF($B$396="pct_vgv","% do VGV",IF($B$396="pct_receita","% da receita líquida (RET, sem juros)",IF($B$396="pct_obra","% da obra (grupo Obras inteiro)",IF($B$396="pct_recebido","% do recebido (com juros de tabela)",IF($B$396="pct_constr","% da construção (constr.+decor.+gestão da obra)",IF(LEFT($B$396,2)="rs","— (use a linha de R$)","unidade inválida"))))))</f>
        <v/>
      </c>
      <c r="D398" s="8" t="inlineStr">
        <is>
          <t>custos[7].valor_pct</t>
        </is>
      </c>
    </row>
    <row r="399">
      <c r="A399" s="5" t="inlineStr">
        <is>
          <t>Custo 7 — Distribuição</t>
        </is>
      </c>
      <c r="B399" s="6" t="n"/>
      <c r="C399" s="7" t="inlineStr">
        <is>
          <t>Linear | nome de uma curva do catálogo (ex.: Curva S) | unit_delivery | sales_revenue</t>
        </is>
      </c>
      <c r="D399" s="8" t="inlineStr">
        <is>
          <t>custos[7].distribuicao</t>
        </is>
      </c>
    </row>
    <row r="400">
      <c r="A400" s="5" t="inlineStr">
        <is>
          <t>Custo 7 — Cronograma</t>
        </is>
      </c>
      <c r="B400" s="6" t="n"/>
      <c r="C400" s="7" t="inlineStr">
        <is>
          <t>evento, customizado ou "fase: &lt;nome&gt;"</t>
        </is>
      </c>
      <c r="D400" s="8" t="inlineStr">
        <is>
          <t>custos[7].cronograma</t>
        </is>
      </c>
    </row>
    <row r="401">
      <c r="A401" s="5" t="inlineStr">
        <is>
          <t>Custo 7 — Início (só customizado)</t>
        </is>
      </c>
      <c r="B401" s="15" t="n"/>
      <c r="C401" s="7" t="inlineStr">
        <is>
          <t>mês (inteiro ≥ 0)</t>
        </is>
      </c>
      <c r="D401" s="8" t="inlineStr">
        <is>
          <t>custos[7].inicio_mes</t>
        </is>
      </c>
    </row>
    <row r="402">
      <c r="A402" s="5" t="inlineStr">
        <is>
          <t>Custo 7 — Duração (só customizado)</t>
        </is>
      </c>
      <c r="B402" s="15" t="n"/>
      <c r="C402" s="7" t="inlineStr">
        <is>
          <t>meses (inteiro ≥ 1)</t>
        </is>
      </c>
      <c r="D402" s="8" t="inlineStr">
        <is>
          <t>custos[7].duracao_meses</t>
        </is>
      </c>
    </row>
    <row r="403">
      <c r="A403" s="16" t="inlineStr">
        <is>
          <t>Custo 8</t>
        </is>
      </c>
    </row>
    <row r="404">
      <c r="A404" s="5" t="inlineStr">
        <is>
          <t>Custo 8 — Grupo</t>
        </is>
      </c>
      <c r="B404" s="6" t="n"/>
      <c r="C404" s="7" t="inlineStr">
        <is>
          <t>lista: terreno | obra | diretos | indireto | financeiro</t>
        </is>
      </c>
      <c r="D404" s="8" t="inlineStr">
        <is>
          <t>custos[8].grupo</t>
        </is>
      </c>
    </row>
    <row r="405">
      <c r="A405" s="5" t="inlineStr">
        <is>
          <t>Custo 8 — Categoria</t>
        </is>
      </c>
      <c r="B405" s="6" t="n"/>
      <c r="C405" s="7" t="inlineStr">
        <is>
          <t>ver tabela acima</t>
        </is>
      </c>
      <c r="D405" s="8" t="inlineStr">
        <is>
          <t>custos[8].categoria</t>
        </is>
      </c>
    </row>
    <row r="406">
      <c r="A406" s="5" t="inlineStr">
        <is>
          <t>Custo 8 — Subcategoria / descrição</t>
        </is>
      </c>
      <c r="B406" s="6" t="n"/>
      <c r="C406" s="7" t="inlineStr">
        <is>
          <t>Preço: Valor à vista | Parcelado; Outro: texto</t>
        </is>
      </c>
      <c r="D406" s="8" t="inlineStr">
        <is>
          <t>custos[8].subcategoria</t>
        </is>
      </c>
    </row>
    <row r="407">
      <c r="A407" s="5" t="inlineStr">
        <is>
          <t>Custo 8 — Unidade</t>
        </is>
      </c>
      <c r="B407" s="6" t="n"/>
      <c r="C407" s="7" t="inlineStr">
        <is>
          <t>lista: rs | rs_m2_priv | rs_m2_terreno | pct_vgv | pct_obra | pct_recebido | pct_constr</t>
        </is>
      </c>
      <c r="D407" s="8" t="inlineStr">
        <is>
          <t>custos[8].unidade</t>
        </is>
      </c>
    </row>
    <row r="408">
      <c r="A408" s="5" t="inlineStr">
        <is>
          <t>Custo 8 — Valor (R$ ou R$/m²)</t>
        </is>
      </c>
      <c r="B408" s="17" t="n"/>
      <c r="C408" s="7">
        <f>IF($B$407="","escolha a Unidade acima",IF($B$407="rs","R$ (valor cheio)",IF($B$407="rs_m2_priv","R$/m² privativo (fechada+aberta)",IF($B$407="rs_m2_terreno","R$/m² de terreno",IF(LEFT($B$407,3)="pct","— (use a linha de %)","unidade inválida")))))</f>
        <v/>
      </c>
      <c r="D408" s="8" t="inlineStr">
        <is>
          <t>custos[8].valor_rs</t>
        </is>
      </c>
    </row>
    <row r="409">
      <c r="A409" s="5" t="inlineStr">
        <is>
          <t>Custo 8 — Valor (%)</t>
        </is>
      </c>
      <c r="B409" s="12" t="n"/>
      <c r="C409" s="7">
        <f>IF($B$407="","escolha a Unidade acima",IF($B$407="pct_vgv","% do VGV",IF($B$407="pct_receita","% da receita líquida (RET, sem juros)",IF($B$407="pct_obra","% da obra (grupo Obras inteiro)",IF($B$407="pct_recebido","% do recebido (com juros de tabela)",IF($B$407="pct_constr","% da construção (constr.+decor.+gestão da obra)",IF(LEFT($B$407,2)="rs","— (use a linha de R$)","unidade inválida"))))))</f>
        <v/>
      </c>
      <c r="D409" s="8" t="inlineStr">
        <is>
          <t>custos[8].valor_pct</t>
        </is>
      </c>
    </row>
    <row r="410">
      <c r="A410" s="5" t="inlineStr">
        <is>
          <t>Custo 8 — Distribuição</t>
        </is>
      </c>
      <c r="B410" s="6" t="n"/>
      <c r="C410" s="7" t="inlineStr">
        <is>
          <t>Linear | nome de uma curva do catálogo (ex.: Curva S) | unit_delivery | sales_revenue</t>
        </is>
      </c>
      <c r="D410" s="8" t="inlineStr">
        <is>
          <t>custos[8].distribuicao</t>
        </is>
      </c>
    </row>
    <row r="411">
      <c r="A411" s="5" t="inlineStr">
        <is>
          <t>Custo 8 — Cronograma</t>
        </is>
      </c>
      <c r="B411" s="6" t="n"/>
      <c r="C411" s="7" t="inlineStr">
        <is>
          <t>evento, customizado ou "fase: &lt;nome&gt;"</t>
        </is>
      </c>
      <c r="D411" s="8" t="inlineStr">
        <is>
          <t>custos[8].cronograma</t>
        </is>
      </c>
    </row>
    <row r="412">
      <c r="A412" s="5" t="inlineStr">
        <is>
          <t>Custo 8 — Início (só customizado)</t>
        </is>
      </c>
      <c r="B412" s="15" t="n"/>
      <c r="C412" s="7" t="inlineStr">
        <is>
          <t>mês (inteiro ≥ 0)</t>
        </is>
      </c>
      <c r="D412" s="8" t="inlineStr">
        <is>
          <t>custos[8].inicio_mes</t>
        </is>
      </c>
    </row>
    <row r="413">
      <c r="A413" s="5" t="inlineStr">
        <is>
          <t>Custo 8 — Duração (só customizado)</t>
        </is>
      </c>
      <c r="B413" s="15" t="n"/>
      <c r="C413" s="7" t="inlineStr">
        <is>
          <t>meses (inteiro ≥ 1)</t>
        </is>
      </c>
      <c r="D413" s="8" t="inlineStr">
        <is>
          <t>custos[8].duracao_meses</t>
        </is>
      </c>
    </row>
    <row r="414">
      <c r="A414" s="16" t="inlineStr">
        <is>
          <t>Custo 9</t>
        </is>
      </c>
    </row>
    <row r="415">
      <c r="A415" s="5" t="inlineStr">
        <is>
          <t>Custo 9 — Grupo</t>
        </is>
      </c>
      <c r="B415" s="6" t="n"/>
      <c r="C415" s="7" t="inlineStr">
        <is>
          <t>lista: terreno | obra | diretos | indireto | financeiro</t>
        </is>
      </c>
      <c r="D415" s="8" t="inlineStr">
        <is>
          <t>custos[9].grupo</t>
        </is>
      </c>
    </row>
    <row r="416">
      <c r="A416" s="5" t="inlineStr">
        <is>
          <t>Custo 9 — Categoria</t>
        </is>
      </c>
      <c r="B416" s="6" t="n"/>
      <c r="C416" s="7" t="inlineStr">
        <is>
          <t>ver tabela acima</t>
        </is>
      </c>
      <c r="D416" s="8" t="inlineStr">
        <is>
          <t>custos[9].categoria</t>
        </is>
      </c>
    </row>
    <row r="417">
      <c r="A417" s="5" t="inlineStr">
        <is>
          <t>Custo 9 — Subcategoria / descrição</t>
        </is>
      </c>
      <c r="B417" s="6" t="n"/>
      <c r="C417" s="7" t="inlineStr">
        <is>
          <t>Preço: Valor à vista | Parcelado; Outro: texto</t>
        </is>
      </c>
      <c r="D417" s="8" t="inlineStr">
        <is>
          <t>custos[9].subcategoria</t>
        </is>
      </c>
    </row>
    <row r="418">
      <c r="A418" s="5" t="inlineStr">
        <is>
          <t>Custo 9 — Unidade</t>
        </is>
      </c>
      <c r="B418" s="6" t="n"/>
      <c r="C418" s="7" t="inlineStr">
        <is>
          <t>lista: rs | rs_m2_priv | rs_m2_terreno | pct_vgv | pct_obra | pct_recebido | pct_constr</t>
        </is>
      </c>
      <c r="D418" s="8" t="inlineStr">
        <is>
          <t>custos[9].unidade</t>
        </is>
      </c>
    </row>
    <row r="419">
      <c r="A419" s="5" t="inlineStr">
        <is>
          <t>Custo 9 — Valor (R$ ou R$/m²)</t>
        </is>
      </c>
      <c r="B419" s="17" t="n"/>
      <c r="C419" s="7">
        <f>IF($B$418="","escolha a Unidade acima",IF($B$418="rs","R$ (valor cheio)",IF($B$418="rs_m2_priv","R$/m² privativo (fechada+aberta)",IF($B$418="rs_m2_terreno","R$/m² de terreno",IF(LEFT($B$418,3)="pct","— (use a linha de %)","unidade inválida")))))</f>
        <v/>
      </c>
      <c r="D419" s="8" t="inlineStr">
        <is>
          <t>custos[9].valor_rs</t>
        </is>
      </c>
    </row>
    <row r="420">
      <c r="A420" s="5" t="inlineStr">
        <is>
          <t>Custo 9 — Valor (%)</t>
        </is>
      </c>
      <c r="B420" s="12" t="n"/>
      <c r="C420" s="7">
        <f>IF($B$418="","escolha a Unidade acima",IF($B$418="pct_vgv","% do VGV",IF($B$418="pct_receita","% da receita líquida (RET, sem juros)",IF($B$418="pct_obra","% da obra (grupo Obras inteiro)",IF($B$418="pct_recebido","% do recebido (com juros de tabela)",IF($B$418="pct_constr","% da construção (constr.+decor.+gestão da obra)",IF(LEFT($B$418,2)="rs","— (use a linha de R$)","unidade inválida"))))))</f>
        <v/>
      </c>
      <c r="D420" s="8" t="inlineStr">
        <is>
          <t>custos[9].valor_pct</t>
        </is>
      </c>
    </row>
    <row r="421">
      <c r="A421" s="5" t="inlineStr">
        <is>
          <t>Custo 9 — Distribuição</t>
        </is>
      </c>
      <c r="B421" s="6" t="n"/>
      <c r="C421" s="7" t="inlineStr">
        <is>
          <t>Linear | nome de uma curva do catálogo (ex.: Curva S) | unit_delivery | sales_revenue</t>
        </is>
      </c>
      <c r="D421" s="8" t="inlineStr">
        <is>
          <t>custos[9].distribuicao</t>
        </is>
      </c>
    </row>
    <row r="422">
      <c r="A422" s="5" t="inlineStr">
        <is>
          <t>Custo 9 — Cronograma</t>
        </is>
      </c>
      <c r="B422" s="6" t="n"/>
      <c r="C422" s="7" t="inlineStr">
        <is>
          <t>evento, customizado ou "fase: &lt;nome&gt;"</t>
        </is>
      </c>
      <c r="D422" s="8" t="inlineStr">
        <is>
          <t>custos[9].cronograma</t>
        </is>
      </c>
    </row>
    <row r="423">
      <c r="A423" s="5" t="inlineStr">
        <is>
          <t>Custo 9 — Início (só customizado)</t>
        </is>
      </c>
      <c r="B423" s="15" t="n"/>
      <c r="C423" s="7" t="inlineStr">
        <is>
          <t>mês (inteiro ≥ 0)</t>
        </is>
      </c>
      <c r="D423" s="8" t="inlineStr">
        <is>
          <t>custos[9].inicio_mes</t>
        </is>
      </c>
    </row>
    <row r="424">
      <c r="A424" s="5" t="inlineStr">
        <is>
          <t>Custo 9 — Duração (só customizado)</t>
        </is>
      </c>
      <c r="B424" s="15" t="n"/>
      <c r="C424" s="7" t="inlineStr">
        <is>
          <t>meses (inteiro ≥ 1)</t>
        </is>
      </c>
      <c r="D424" s="8" t="inlineStr">
        <is>
          <t>custos[9].duracao_meses</t>
        </is>
      </c>
    </row>
    <row r="425">
      <c r="A425" s="16" t="inlineStr">
        <is>
          <t>Custo 10</t>
        </is>
      </c>
    </row>
    <row r="426">
      <c r="A426" s="5" t="inlineStr">
        <is>
          <t>Custo 10 — Grupo</t>
        </is>
      </c>
      <c r="B426" s="6" t="n"/>
      <c r="C426" s="7" t="inlineStr">
        <is>
          <t>lista: terreno | obra | diretos | indireto | financeiro</t>
        </is>
      </c>
      <c r="D426" s="8" t="inlineStr">
        <is>
          <t>custos[10].grupo</t>
        </is>
      </c>
    </row>
    <row r="427">
      <c r="A427" s="5" t="inlineStr">
        <is>
          <t>Custo 10 — Categoria</t>
        </is>
      </c>
      <c r="B427" s="6" t="n"/>
      <c r="C427" s="7" t="inlineStr">
        <is>
          <t>ver tabela acima</t>
        </is>
      </c>
      <c r="D427" s="8" t="inlineStr">
        <is>
          <t>custos[10].categoria</t>
        </is>
      </c>
    </row>
    <row r="428">
      <c r="A428" s="5" t="inlineStr">
        <is>
          <t>Custo 10 — Subcategoria / descrição</t>
        </is>
      </c>
      <c r="B428" s="6" t="n"/>
      <c r="C428" s="7" t="inlineStr">
        <is>
          <t>Preço: Valor à vista | Parcelado; Outro: texto</t>
        </is>
      </c>
      <c r="D428" s="8" t="inlineStr">
        <is>
          <t>custos[10].subcategoria</t>
        </is>
      </c>
    </row>
    <row r="429">
      <c r="A429" s="5" t="inlineStr">
        <is>
          <t>Custo 10 — Unidade</t>
        </is>
      </c>
      <c r="B429" s="6" t="n"/>
      <c r="C429" s="7" t="inlineStr">
        <is>
          <t>lista: rs | rs_m2_priv | rs_m2_terreno | pct_vgv | pct_obra | pct_recebido | pct_constr</t>
        </is>
      </c>
      <c r="D429" s="8" t="inlineStr">
        <is>
          <t>custos[10].unidade</t>
        </is>
      </c>
    </row>
    <row r="430">
      <c r="A430" s="5" t="inlineStr">
        <is>
          <t>Custo 10 — Valor (R$ ou R$/m²)</t>
        </is>
      </c>
      <c r="B430" s="17" t="n"/>
      <c r="C430" s="7">
        <f>IF($B$429="","escolha a Unidade acima",IF($B$429="rs","R$ (valor cheio)",IF($B$429="rs_m2_priv","R$/m² privativo (fechada+aberta)",IF($B$429="rs_m2_terreno","R$/m² de terreno",IF(LEFT($B$429,3)="pct","— (use a linha de %)","unidade inválida")))))</f>
        <v/>
      </c>
      <c r="D430" s="8" t="inlineStr">
        <is>
          <t>custos[10].valor_rs</t>
        </is>
      </c>
    </row>
    <row r="431">
      <c r="A431" s="5" t="inlineStr">
        <is>
          <t>Custo 10 — Valor (%)</t>
        </is>
      </c>
      <c r="B431" s="12" t="n"/>
      <c r="C431" s="7">
        <f>IF($B$429="","escolha a Unidade acima",IF($B$429="pct_vgv","% do VGV",IF($B$429="pct_receita","% da receita líquida (RET, sem juros)",IF($B$429="pct_obra","% da obra (grupo Obras inteiro)",IF($B$429="pct_recebido","% do recebido (com juros de tabela)",IF($B$429="pct_constr","% da construção (constr.+decor.+gestão da obra)",IF(LEFT($B$429,2)="rs","— (use a linha de R$)","unidade inválida"))))))</f>
        <v/>
      </c>
      <c r="D431" s="8" t="inlineStr">
        <is>
          <t>custos[10].valor_pct</t>
        </is>
      </c>
    </row>
    <row r="432">
      <c r="A432" s="5" t="inlineStr">
        <is>
          <t>Custo 10 — Distribuição</t>
        </is>
      </c>
      <c r="B432" s="6" t="n"/>
      <c r="C432" s="7" t="inlineStr">
        <is>
          <t>Linear | nome de uma curva do catálogo (ex.: Curva S) | unit_delivery | sales_revenue</t>
        </is>
      </c>
      <c r="D432" s="8" t="inlineStr">
        <is>
          <t>custos[10].distribuicao</t>
        </is>
      </c>
    </row>
    <row r="433">
      <c r="A433" s="5" t="inlineStr">
        <is>
          <t>Custo 10 — Cronograma</t>
        </is>
      </c>
      <c r="B433" s="6" t="n"/>
      <c r="C433" s="7" t="inlineStr">
        <is>
          <t>evento, customizado ou "fase: &lt;nome&gt;"</t>
        </is>
      </c>
      <c r="D433" s="8" t="inlineStr">
        <is>
          <t>custos[10].cronograma</t>
        </is>
      </c>
    </row>
    <row r="434">
      <c r="A434" s="5" t="inlineStr">
        <is>
          <t>Custo 10 — Início (só customizado)</t>
        </is>
      </c>
      <c r="B434" s="15" t="n"/>
      <c r="C434" s="7" t="inlineStr">
        <is>
          <t>mês (inteiro ≥ 0)</t>
        </is>
      </c>
      <c r="D434" s="8" t="inlineStr">
        <is>
          <t>custos[10].inicio_mes</t>
        </is>
      </c>
    </row>
    <row r="435">
      <c r="A435" s="5" t="inlineStr">
        <is>
          <t>Custo 10 — Duração (só customizado)</t>
        </is>
      </c>
      <c r="B435" s="15" t="n"/>
      <c r="C435" s="7" t="inlineStr">
        <is>
          <t>meses (inteiro ≥ 1)</t>
        </is>
      </c>
      <c r="D435" s="8" t="inlineStr">
        <is>
          <t>custos[10].duracao_meses</t>
        </is>
      </c>
    </row>
    <row r="436">
      <c r="A436" s="16" t="inlineStr">
        <is>
          <t>Custo 11</t>
        </is>
      </c>
    </row>
    <row r="437">
      <c r="A437" s="5" t="inlineStr">
        <is>
          <t>Custo 11 — Grupo</t>
        </is>
      </c>
      <c r="B437" s="6" t="n"/>
      <c r="C437" s="7" t="inlineStr">
        <is>
          <t>lista: terreno | obra | diretos | indireto | financeiro</t>
        </is>
      </c>
      <c r="D437" s="8" t="inlineStr">
        <is>
          <t>custos[11].grupo</t>
        </is>
      </c>
    </row>
    <row r="438">
      <c r="A438" s="5" t="inlineStr">
        <is>
          <t>Custo 11 — Categoria</t>
        </is>
      </c>
      <c r="B438" s="6" t="n"/>
      <c r="C438" s="7" t="inlineStr">
        <is>
          <t>ver tabela acima</t>
        </is>
      </c>
      <c r="D438" s="8" t="inlineStr">
        <is>
          <t>custos[11].categoria</t>
        </is>
      </c>
    </row>
    <row r="439">
      <c r="A439" s="5" t="inlineStr">
        <is>
          <t>Custo 11 — Subcategoria / descrição</t>
        </is>
      </c>
      <c r="B439" s="6" t="n"/>
      <c r="C439" s="7" t="inlineStr">
        <is>
          <t>Preço: Valor à vista | Parcelado; Outro: texto</t>
        </is>
      </c>
      <c r="D439" s="8" t="inlineStr">
        <is>
          <t>custos[11].subcategoria</t>
        </is>
      </c>
    </row>
    <row r="440">
      <c r="A440" s="5" t="inlineStr">
        <is>
          <t>Custo 11 — Unidade</t>
        </is>
      </c>
      <c r="B440" s="6" t="n"/>
      <c r="C440" s="7" t="inlineStr">
        <is>
          <t>lista: rs | rs_m2_priv | rs_m2_terreno | pct_vgv | pct_obra | pct_recebido | pct_constr</t>
        </is>
      </c>
      <c r="D440" s="8" t="inlineStr">
        <is>
          <t>custos[11].unidade</t>
        </is>
      </c>
    </row>
    <row r="441">
      <c r="A441" s="5" t="inlineStr">
        <is>
          <t>Custo 11 — Valor (R$ ou R$/m²)</t>
        </is>
      </c>
      <c r="B441" s="17" t="n"/>
      <c r="C441" s="7">
        <f>IF($B$440="","escolha a Unidade acima",IF($B$440="rs","R$ (valor cheio)",IF($B$440="rs_m2_priv","R$/m² privativo (fechada+aberta)",IF($B$440="rs_m2_terreno","R$/m² de terreno",IF(LEFT($B$440,3)="pct","— (use a linha de %)","unidade inválida")))))</f>
        <v/>
      </c>
      <c r="D441" s="8" t="inlineStr">
        <is>
          <t>custos[11].valor_rs</t>
        </is>
      </c>
    </row>
    <row r="442">
      <c r="A442" s="5" t="inlineStr">
        <is>
          <t>Custo 11 — Valor (%)</t>
        </is>
      </c>
      <c r="B442" s="12" t="n"/>
      <c r="C442" s="7">
        <f>IF($B$440="","escolha a Unidade acima",IF($B$440="pct_vgv","% do VGV",IF($B$440="pct_receita","% da receita líquida (RET, sem juros)",IF($B$440="pct_obra","% da obra (grupo Obras inteiro)",IF($B$440="pct_recebido","% do recebido (com juros de tabela)",IF($B$440="pct_constr","% da construção (constr.+decor.+gestão da obra)",IF(LEFT($B$440,2)="rs","— (use a linha de R$)","unidade inválida"))))))</f>
        <v/>
      </c>
      <c r="D442" s="8" t="inlineStr">
        <is>
          <t>custos[11].valor_pct</t>
        </is>
      </c>
    </row>
    <row r="443">
      <c r="A443" s="5" t="inlineStr">
        <is>
          <t>Custo 11 — Distribuição</t>
        </is>
      </c>
      <c r="B443" s="6" t="n"/>
      <c r="C443" s="7" t="inlineStr">
        <is>
          <t>Linear | nome de uma curva do catálogo (ex.: Curva S) | unit_delivery | sales_revenue</t>
        </is>
      </c>
      <c r="D443" s="8" t="inlineStr">
        <is>
          <t>custos[11].distribuicao</t>
        </is>
      </c>
    </row>
    <row r="444">
      <c r="A444" s="5" t="inlineStr">
        <is>
          <t>Custo 11 — Cronograma</t>
        </is>
      </c>
      <c r="B444" s="6" t="n"/>
      <c r="C444" s="7" t="inlineStr">
        <is>
          <t>evento, customizado ou "fase: &lt;nome&gt;"</t>
        </is>
      </c>
      <c r="D444" s="8" t="inlineStr">
        <is>
          <t>custos[11].cronograma</t>
        </is>
      </c>
    </row>
    <row r="445">
      <c r="A445" s="5" t="inlineStr">
        <is>
          <t>Custo 11 — Início (só customizado)</t>
        </is>
      </c>
      <c r="B445" s="15" t="n"/>
      <c r="C445" s="7" t="inlineStr">
        <is>
          <t>mês (inteiro ≥ 0)</t>
        </is>
      </c>
      <c r="D445" s="8" t="inlineStr">
        <is>
          <t>custos[11].inicio_mes</t>
        </is>
      </c>
    </row>
    <row r="446">
      <c r="A446" s="5" t="inlineStr">
        <is>
          <t>Custo 11 — Duração (só customizado)</t>
        </is>
      </c>
      <c r="B446" s="15" t="n"/>
      <c r="C446" s="7" t="inlineStr">
        <is>
          <t>meses (inteiro ≥ 1)</t>
        </is>
      </c>
      <c r="D446" s="8" t="inlineStr">
        <is>
          <t>custos[11].duracao_meses</t>
        </is>
      </c>
    </row>
    <row r="447">
      <c r="A447" s="16" t="inlineStr">
        <is>
          <t>Custo 12</t>
        </is>
      </c>
    </row>
    <row r="448">
      <c r="A448" s="5" t="inlineStr">
        <is>
          <t>Custo 12 — Grupo</t>
        </is>
      </c>
      <c r="B448" s="6" t="n"/>
      <c r="C448" s="7" t="inlineStr">
        <is>
          <t>lista: terreno | obra | diretos | indireto | financeiro</t>
        </is>
      </c>
      <c r="D448" s="8" t="inlineStr">
        <is>
          <t>custos[12].grupo</t>
        </is>
      </c>
    </row>
    <row r="449">
      <c r="A449" s="5" t="inlineStr">
        <is>
          <t>Custo 12 — Categoria</t>
        </is>
      </c>
      <c r="B449" s="6" t="n"/>
      <c r="C449" s="7" t="inlineStr">
        <is>
          <t>ver tabela acima</t>
        </is>
      </c>
      <c r="D449" s="8" t="inlineStr">
        <is>
          <t>custos[12].categoria</t>
        </is>
      </c>
    </row>
    <row r="450">
      <c r="A450" s="5" t="inlineStr">
        <is>
          <t>Custo 12 — Subcategoria / descrição</t>
        </is>
      </c>
      <c r="B450" s="6" t="n"/>
      <c r="C450" s="7" t="inlineStr">
        <is>
          <t>Preço: Valor à vista | Parcelado; Outro: texto</t>
        </is>
      </c>
      <c r="D450" s="8" t="inlineStr">
        <is>
          <t>custos[12].subcategoria</t>
        </is>
      </c>
    </row>
    <row r="451">
      <c r="A451" s="5" t="inlineStr">
        <is>
          <t>Custo 12 — Unidade</t>
        </is>
      </c>
      <c r="B451" s="6" t="n"/>
      <c r="C451" s="7" t="inlineStr">
        <is>
          <t>lista: rs | rs_m2_priv | rs_m2_terreno | pct_vgv | pct_obra | pct_recebido | pct_constr</t>
        </is>
      </c>
      <c r="D451" s="8" t="inlineStr">
        <is>
          <t>custos[12].unidade</t>
        </is>
      </c>
    </row>
    <row r="452">
      <c r="A452" s="5" t="inlineStr">
        <is>
          <t>Custo 12 — Valor (R$ ou R$/m²)</t>
        </is>
      </c>
      <c r="B452" s="17" t="n"/>
      <c r="C452" s="7">
        <f>IF($B$451="","escolha a Unidade acima",IF($B$451="rs","R$ (valor cheio)",IF($B$451="rs_m2_priv","R$/m² privativo (fechada+aberta)",IF($B$451="rs_m2_terreno","R$/m² de terreno",IF(LEFT($B$451,3)="pct","— (use a linha de %)","unidade inválida")))))</f>
        <v/>
      </c>
      <c r="D452" s="8" t="inlineStr">
        <is>
          <t>custos[12].valor_rs</t>
        </is>
      </c>
    </row>
    <row r="453">
      <c r="A453" s="5" t="inlineStr">
        <is>
          <t>Custo 12 — Valor (%)</t>
        </is>
      </c>
      <c r="B453" s="12" t="n"/>
      <c r="C453" s="7">
        <f>IF($B$451="","escolha a Unidade acima",IF($B$451="pct_vgv","% do VGV",IF($B$451="pct_receita","% da receita líquida (RET, sem juros)",IF($B$451="pct_obra","% da obra (grupo Obras inteiro)",IF($B$451="pct_recebido","% do recebido (com juros de tabela)",IF($B$451="pct_constr","% da construção (constr.+decor.+gestão da obra)",IF(LEFT($B$451,2)="rs","— (use a linha de R$)","unidade inválida"))))))</f>
        <v/>
      </c>
      <c r="D453" s="8" t="inlineStr">
        <is>
          <t>custos[12].valor_pct</t>
        </is>
      </c>
    </row>
    <row r="454">
      <c r="A454" s="5" t="inlineStr">
        <is>
          <t>Custo 12 — Distribuição</t>
        </is>
      </c>
      <c r="B454" s="6" t="n"/>
      <c r="C454" s="7" t="inlineStr">
        <is>
          <t>Linear | nome de uma curva do catálogo (ex.: Curva S) | unit_delivery | sales_revenue</t>
        </is>
      </c>
      <c r="D454" s="8" t="inlineStr">
        <is>
          <t>custos[12].distribuicao</t>
        </is>
      </c>
    </row>
    <row r="455">
      <c r="A455" s="5" t="inlineStr">
        <is>
          <t>Custo 12 — Cronograma</t>
        </is>
      </c>
      <c r="B455" s="6" t="n"/>
      <c r="C455" s="7" t="inlineStr">
        <is>
          <t>evento, customizado ou "fase: &lt;nome&gt;"</t>
        </is>
      </c>
      <c r="D455" s="8" t="inlineStr">
        <is>
          <t>custos[12].cronograma</t>
        </is>
      </c>
    </row>
    <row r="456">
      <c r="A456" s="5" t="inlineStr">
        <is>
          <t>Custo 12 — Início (só customizado)</t>
        </is>
      </c>
      <c r="B456" s="15" t="n"/>
      <c r="C456" s="7" t="inlineStr">
        <is>
          <t>mês (inteiro ≥ 0)</t>
        </is>
      </c>
      <c r="D456" s="8" t="inlineStr">
        <is>
          <t>custos[12].inicio_mes</t>
        </is>
      </c>
    </row>
    <row r="457">
      <c r="A457" s="5" t="inlineStr">
        <is>
          <t>Custo 12 — Duração (só customizado)</t>
        </is>
      </c>
      <c r="B457" s="15" t="n"/>
      <c r="C457" s="7" t="inlineStr">
        <is>
          <t>meses (inteiro ≥ 1)</t>
        </is>
      </c>
      <c r="D457" s="8" t="inlineStr">
        <is>
          <t>custos[12].duracao_meses</t>
        </is>
      </c>
    </row>
    <row r="458">
      <c r="A458" s="16" t="inlineStr">
        <is>
          <t>Custo 13</t>
        </is>
      </c>
    </row>
    <row r="459">
      <c r="A459" s="5" t="inlineStr">
        <is>
          <t>Custo 13 — Grupo</t>
        </is>
      </c>
      <c r="B459" s="6" t="n"/>
      <c r="C459" s="7" t="inlineStr">
        <is>
          <t>lista: terreno | obra | diretos | indireto | financeiro</t>
        </is>
      </c>
      <c r="D459" s="8" t="inlineStr">
        <is>
          <t>custos[13].grupo</t>
        </is>
      </c>
    </row>
    <row r="460">
      <c r="A460" s="5" t="inlineStr">
        <is>
          <t>Custo 13 — Categoria</t>
        </is>
      </c>
      <c r="B460" s="6" t="n"/>
      <c r="C460" s="7" t="inlineStr">
        <is>
          <t>ver tabela acima</t>
        </is>
      </c>
      <c r="D460" s="8" t="inlineStr">
        <is>
          <t>custos[13].categoria</t>
        </is>
      </c>
    </row>
    <row r="461">
      <c r="A461" s="5" t="inlineStr">
        <is>
          <t>Custo 13 — Subcategoria / descrição</t>
        </is>
      </c>
      <c r="B461" s="6" t="n"/>
      <c r="C461" s="7" t="inlineStr">
        <is>
          <t>Preço: Valor à vista | Parcelado; Outro: texto</t>
        </is>
      </c>
      <c r="D461" s="8" t="inlineStr">
        <is>
          <t>custos[13].subcategoria</t>
        </is>
      </c>
    </row>
    <row r="462">
      <c r="A462" s="5" t="inlineStr">
        <is>
          <t>Custo 13 — Unidade</t>
        </is>
      </c>
      <c r="B462" s="6" t="n"/>
      <c r="C462" s="7" t="inlineStr">
        <is>
          <t>lista: rs | rs_m2_priv | rs_m2_terreno | pct_vgv | pct_obra | pct_recebido | pct_constr</t>
        </is>
      </c>
      <c r="D462" s="8" t="inlineStr">
        <is>
          <t>custos[13].unidade</t>
        </is>
      </c>
    </row>
    <row r="463">
      <c r="A463" s="5" t="inlineStr">
        <is>
          <t>Custo 13 — Valor (R$ ou R$/m²)</t>
        </is>
      </c>
      <c r="B463" s="17" t="n"/>
      <c r="C463" s="7">
        <f>IF($B$462="","escolha a Unidade acima",IF($B$462="rs","R$ (valor cheio)",IF($B$462="rs_m2_priv","R$/m² privativo (fechada+aberta)",IF($B$462="rs_m2_terreno","R$/m² de terreno",IF(LEFT($B$462,3)="pct","— (use a linha de %)","unidade inválida")))))</f>
        <v/>
      </c>
      <c r="D463" s="8" t="inlineStr">
        <is>
          <t>custos[13].valor_rs</t>
        </is>
      </c>
    </row>
    <row r="464">
      <c r="A464" s="5" t="inlineStr">
        <is>
          <t>Custo 13 — Valor (%)</t>
        </is>
      </c>
      <c r="B464" s="12" t="n"/>
      <c r="C464" s="7">
        <f>IF($B$462="","escolha a Unidade acima",IF($B$462="pct_vgv","% do VGV",IF($B$462="pct_receita","% da receita líquida (RET, sem juros)",IF($B$462="pct_obra","% da obra (grupo Obras inteiro)",IF($B$462="pct_recebido","% do recebido (com juros de tabela)",IF($B$462="pct_constr","% da construção (constr.+decor.+gestão da obra)",IF(LEFT($B$462,2)="rs","— (use a linha de R$)","unidade inválida"))))))</f>
        <v/>
      </c>
      <c r="D464" s="8" t="inlineStr">
        <is>
          <t>custos[13].valor_pct</t>
        </is>
      </c>
    </row>
    <row r="465">
      <c r="A465" s="5" t="inlineStr">
        <is>
          <t>Custo 13 — Distribuição</t>
        </is>
      </c>
      <c r="B465" s="6" t="n"/>
      <c r="C465" s="7" t="inlineStr">
        <is>
          <t>Linear | nome de uma curva do catálogo (ex.: Curva S) | unit_delivery | sales_revenue</t>
        </is>
      </c>
      <c r="D465" s="8" t="inlineStr">
        <is>
          <t>custos[13].distribuicao</t>
        </is>
      </c>
    </row>
    <row r="466">
      <c r="A466" s="5" t="inlineStr">
        <is>
          <t>Custo 13 — Cronograma</t>
        </is>
      </c>
      <c r="B466" s="6" t="n"/>
      <c r="C466" s="7" t="inlineStr">
        <is>
          <t>evento, customizado ou "fase: &lt;nome&gt;"</t>
        </is>
      </c>
      <c r="D466" s="8" t="inlineStr">
        <is>
          <t>custos[13].cronograma</t>
        </is>
      </c>
    </row>
    <row r="467">
      <c r="A467" s="5" t="inlineStr">
        <is>
          <t>Custo 13 — Início (só customizado)</t>
        </is>
      </c>
      <c r="B467" s="15" t="n"/>
      <c r="C467" s="7" t="inlineStr">
        <is>
          <t>mês (inteiro ≥ 0)</t>
        </is>
      </c>
      <c r="D467" s="8" t="inlineStr">
        <is>
          <t>custos[13].inicio_mes</t>
        </is>
      </c>
    </row>
    <row r="468">
      <c r="A468" s="5" t="inlineStr">
        <is>
          <t>Custo 13 — Duração (só customizado)</t>
        </is>
      </c>
      <c r="B468" s="15" t="n"/>
      <c r="C468" s="7" t="inlineStr">
        <is>
          <t>meses (inteiro ≥ 1)</t>
        </is>
      </c>
      <c r="D468" s="8" t="inlineStr">
        <is>
          <t>custos[13].duracao_meses</t>
        </is>
      </c>
    </row>
    <row r="469">
      <c r="A469" s="16" t="inlineStr">
        <is>
          <t>Custo 14</t>
        </is>
      </c>
    </row>
    <row r="470">
      <c r="A470" s="5" t="inlineStr">
        <is>
          <t>Custo 14 — Grupo</t>
        </is>
      </c>
      <c r="B470" s="6" t="n"/>
      <c r="C470" s="7" t="inlineStr">
        <is>
          <t>lista: terreno | obra | diretos | indireto | financeiro</t>
        </is>
      </c>
      <c r="D470" s="8" t="inlineStr">
        <is>
          <t>custos[14].grupo</t>
        </is>
      </c>
    </row>
    <row r="471">
      <c r="A471" s="5" t="inlineStr">
        <is>
          <t>Custo 14 — Categoria</t>
        </is>
      </c>
      <c r="B471" s="6" t="n"/>
      <c r="C471" s="7" t="inlineStr">
        <is>
          <t>ver tabela acima</t>
        </is>
      </c>
      <c r="D471" s="8" t="inlineStr">
        <is>
          <t>custos[14].categoria</t>
        </is>
      </c>
    </row>
    <row r="472">
      <c r="A472" s="5" t="inlineStr">
        <is>
          <t>Custo 14 — Subcategoria / descrição</t>
        </is>
      </c>
      <c r="B472" s="6" t="n"/>
      <c r="C472" s="7" t="inlineStr">
        <is>
          <t>Preço: Valor à vista | Parcelado; Outro: texto</t>
        </is>
      </c>
      <c r="D472" s="8" t="inlineStr">
        <is>
          <t>custos[14].subcategoria</t>
        </is>
      </c>
    </row>
    <row r="473">
      <c r="A473" s="5" t="inlineStr">
        <is>
          <t>Custo 14 — Unidade</t>
        </is>
      </c>
      <c r="B473" s="6" t="n"/>
      <c r="C473" s="7" t="inlineStr">
        <is>
          <t>lista: rs | rs_m2_priv | rs_m2_terreno | pct_vgv | pct_obra | pct_recebido | pct_constr</t>
        </is>
      </c>
      <c r="D473" s="8" t="inlineStr">
        <is>
          <t>custos[14].unidade</t>
        </is>
      </c>
    </row>
    <row r="474">
      <c r="A474" s="5" t="inlineStr">
        <is>
          <t>Custo 14 — Valor (R$ ou R$/m²)</t>
        </is>
      </c>
      <c r="B474" s="17" t="n"/>
      <c r="C474" s="7">
        <f>IF($B$473="","escolha a Unidade acima",IF($B$473="rs","R$ (valor cheio)",IF($B$473="rs_m2_priv","R$/m² privativo (fechada+aberta)",IF($B$473="rs_m2_terreno","R$/m² de terreno",IF(LEFT($B$473,3)="pct","— (use a linha de %)","unidade inválida")))))</f>
        <v/>
      </c>
      <c r="D474" s="8" t="inlineStr">
        <is>
          <t>custos[14].valor_rs</t>
        </is>
      </c>
    </row>
    <row r="475">
      <c r="A475" s="5" t="inlineStr">
        <is>
          <t>Custo 14 — Valor (%)</t>
        </is>
      </c>
      <c r="B475" s="12" t="n"/>
      <c r="C475" s="7">
        <f>IF($B$473="","escolha a Unidade acima",IF($B$473="pct_vgv","% do VGV",IF($B$473="pct_receita","% da receita líquida (RET, sem juros)",IF($B$473="pct_obra","% da obra (grupo Obras inteiro)",IF($B$473="pct_recebido","% do recebido (com juros de tabela)",IF($B$473="pct_constr","% da construção (constr.+decor.+gestão da obra)",IF(LEFT($B$473,2)="rs","— (use a linha de R$)","unidade inválida"))))))</f>
        <v/>
      </c>
      <c r="D475" s="8" t="inlineStr">
        <is>
          <t>custos[14].valor_pct</t>
        </is>
      </c>
    </row>
    <row r="476">
      <c r="A476" s="5" t="inlineStr">
        <is>
          <t>Custo 14 — Distribuição</t>
        </is>
      </c>
      <c r="B476" s="6" t="n"/>
      <c r="C476" s="7" t="inlineStr">
        <is>
          <t>Linear | nome de uma curva do catálogo (ex.: Curva S) | unit_delivery | sales_revenue</t>
        </is>
      </c>
      <c r="D476" s="8" t="inlineStr">
        <is>
          <t>custos[14].distribuicao</t>
        </is>
      </c>
    </row>
    <row r="477">
      <c r="A477" s="5" t="inlineStr">
        <is>
          <t>Custo 14 — Cronograma</t>
        </is>
      </c>
      <c r="B477" s="6" t="n"/>
      <c r="C477" s="7" t="inlineStr">
        <is>
          <t>evento, customizado ou "fase: &lt;nome&gt;"</t>
        </is>
      </c>
      <c r="D477" s="8" t="inlineStr">
        <is>
          <t>custos[14].cronograma</t>
        </is>
      </c>
    </row>
    <row r="478">
      <c r="A478" s="5" t="inlineStr">
        <is>
          <t>Custo 14 — Início (só customizado)</t>
        </is>
      </c>
      <c r="B478" s="15" t="n"/>
      <c r="C478" s="7" t="inlineStr">
        <is>
          <t>mês (inteiro ≥ 0)</t>
        </is>
      </c>
      <c r="D478" s="8" t="inlineStr">
        <is>
          <t>custos[14].inicio_mes</t>
        </is>
      </c>
    </row>
    <row r="479">
      <c r="A479" s="5" t="inlineStr">
        <is>
          <t>Custo 14 — Duração (só customizado)</t>
        </is>
      </c>
      <c r="B479" s="15" t="n"/>
      <c r="C479" s="7" t="inlineStr">
        <is>
          <t>meses (inteiro ≥ 1)</t>
        </is>
      </c>
      <c r="D479" s="8" t="inlineStr">
        <is>
          <t>custos[14].duracao_meses</t>
        </is>
      </c>
    </row>
    <row r="480">
      <c r="A480" s="16" t="inlineStr">
        <is>
          <t>Custo 15</t>
        </is>
      </c>
    </row>
    <row r="481">
      <c r="A481" s="5" t="inlineStr">
        <is>
          <t>Custo 15 — Grupo</t>
        </is>
      </c>
      <c r="B481" s="6" t="n"/>
      <c r="C481" s="7" t="inlineStr">
        <is>
          <t>lista: terreno | obra | diretos | indireto | financeiro</t>
        </is>
      </c>
      <c r="D481" s="8" t="inlineStr">
        <is>
          <t>custos[15].grupo</t>
        </is>
      </c>
    </row>
    <row r="482">
      <c r="A482" s="5" t="inlineStr">
        <is>
          <t>Custo 15 — Categoria</t>
        </is>
      </c>
      <c r="B482" s="6" t="n"/>
      <c r="C482" s="7" t="inlineStr">
        <is>
          <t>ver tabela acima</t>
        </is>
      </c>
      <c r="D482" s="8" t="inlineStr">
        <is>
          <t>custos[15].categoria</t>
        </is>
      </c>
    </row>
    <row r="483">
      <c r="A483" s="5" t="inlineStr">
        <is>
          <t>Custo 15 — Subcategoria / descrição</t>
        </is>
      </c>
      <c r="B483" s="6" t="n"/>
      <c r="C483" s="7" t="inlineStr">
        <is>
          <t>Preço: Valor à vista | Parcelado; Outro: texto</t>
        </is>
      </c>
      <c r="D483" s="8" t="inlineStr">
        <is>
          <t>custos[15].subcategoria</t>
        </is>
      </c>
    </row>
    <row r="484">
      <c r="A484" s="5" t="inlineStr">
        <is>
          <t>Custo 15 — Unidade</t>
        </is>
      </c>
      <c r="B484" s="6" t="n"/>
      <c r="C484" s="7" t="inlineStr">
        <is>
          <t>lista: rs | rs_m2_priv | rs_m2_terreno | pct_vgv | pct_obra | pct_recebido | pct_constr</t>
        </is>
      </c>
      <c r="D484" s="8" t="inlineStr">
        <is>
          <t>custos[15].unidade</t>
        </is>
      </c>
    </row>
    <row r="485">
      <c r="A485" s="5" t="inlineStr">
        <is>
          <t>Custo 15 — Valor (R$ ou R$/m²)</t>
        </is>
      </c>
      <c r="B485" s="17" t="n"/>
      <c r="C485" s="7">
        <f>IF($B$484="","escolha a Unidade acima",IF($B$484="rs","R$ (valor cheio)",IF($B$484="rs_m2_priv","R$/m² privativo (fechada+aberta)",IF($B$484="rs_m2_terreno","R$/m² de terreno",IF(LEFT($B$484,3)="pct","— (use a linha de %)","unidade inválida")))))</f>
        <v/>
      </c>
      <c r="D485" s="8" t="inlineStr">
        <is>
          <t>custos[15].valor_rs</t>
        </is>
      </c>
    </row>
    <row r="486">
      <c r="A486" s="5" t="inlineStr">
        <is>
          <t>Custo 15 — Valor (%)</t>
        </is>
      </c>
      <c r="B486" s="12" t="n"/>
      <c r="C486" s="7">
        <f>IF($B$484="","escolha a Unidade acima",IF($B$484="pct_vgv","% do VGV",IF($B$484="pct_receita","% da receita líquida (RET, sem juros)",IF($B$484="pct_obra","% da obra (grupo Obras inteiro)",IF($B$484="pct_recebido","% do recebido (com juros de tabela)",IF($B$484="pct_constr","% da construção (constr.+decor.+gestão da obra)",IF(LEFT($B$484,2)="rs","— (use a linha de R$)","unidade inválida"))))))</f>
        <v/>
      </c>
      <c r="D486" s="8" t="inlineStr">
        <is>
          <t>custos[15].valor_pct</t>
        </is>
      </c>
    </row>
    <row r="487">
      <c r="A487" s="5" t="inlineStr">
        <is>
          <t>Custo 15 — Distribuição</t>
        </is>
      </c>
      <c r="B487" s="6" t="n"/>
      <c r="C487" s="7" t="inlineStr">
        <is>
          <t>Linear | nome de uma curva do catálogo (ex.: Curva S) | unit_delivery | sales_revenue</t>
        </is>
      </c>
      <c r="D487" s="8" t="inlineStr">
        <is>
          <t>custos[15].distribuicao</t>
        </is>
      </c>
    </row>
    <row r="488">
      <c r="A488" s="5" t="inlineStr">
        <is>
          <t>Custo 15 — Cronograma</t>
        </is>
      </c>
      <c r="B488" s="6" t="n"/>
      <c r="C488" s="7" t="inlineStr">
        <is>
          <t>evento, customizado ou "fase: &lt;nome&gt;"</t>
        </is>
      </c>
      <c r="D488" s="8" t="inlineStr">
        <is>
          <t>custos[15].cronograma</t>
        </is>
      </c>
    </row>
    <row r="489">
      <c r="A489" s="5" t="inlineStr">
        <is>
          <t>Custo 15 — Início (só customizado)</t>
        </is>
      </c>
      <c r="B489" s="15" t="n"/>
      <c r="C489" s="7" t="inlineStr">
        <is>
          <t>mês (inteiro ≥ 0)</t>
        </is>
      </c>
      <c r="D489" s="8" t="inlineStr">
        <is>
          <t>custos[15].inicio_mes</t>
        </is>
      </c>
    </row>
    <row r="490">
      <c r="A490" s="5" t="inlineStr">
        <is>
          <t>Custo 15 — Duração (só customizado)</t>
        </is>
      </c>
      <c r="B490" s="15" t="n"/>
      <c r="C490" s="7" t="inlineStr">
        <is>
          <t>meses (inteiro ≥ 1)</t>
        </is>
      </c>
      <c r="D490" s="8" t="inlineStr">
        <is>
          <t>custos[15].duracao_meses</t>
        </is>
      </c>
    </row>
    <row r="491">
      <c r="A491" s="16" t="inlineStr">
        <is>
          <t>Custo 16</t>
        </is>
      </c>
    </row>
    <row r="492">
      <c r="A492" s="5" t="inlineStr">
        <is>
          <t>Custo 16 — Grupo</t>
        </is>
      </c>
      <c r="B492" s="6" t="n"/>
      <c r="C492" s="7" t="inlineStr">
        <is>
          <t>lista: terreno | obra | diretos | indireto | financeiro</t>
        </is>
      </c>
      <c r="D492" s="8" t="inlineStr">
        <is>
          <t>custos[16].grupo</t>
        </is>
      </c>
    </row>
    <row r="493">
      <c r="A493" s="5" t="inlineStr">
        <is>
          <t>Custo 16 — Categoria</t>
        </is>
      </c>
      <c r="B493" s="6" t="n"/>
      <c r="C493" s="7" t="inlineStr">
        <is>
          <t>ver tabela acima</t>
        </is>
      </c>
      <c r="D493" s="8" t="inlineStr">
        <is>
          <t>custos[16].categoria</t>
        </is>
      </c>
    </row>
    <row r="494">
      <c r="A494" s="5" t="inlineStr">
        <is>
          <t>Custo 16 — Subcategoria / descrição</t>
        </is>
      </c>
      <c r="B494" s="6" t="n"/>
      <c r="C494" s="7" t="inlineStr">
        <is>
          <t>Preço: Valor à vista | Parcelado; Outro: texto</t>
        </is>
      </c>
      <c r="D494" s="8" t="inlineStr">
        <is>
          <t>custos[16].subcategoria</t>
        </is>
      </c>
    </row>
    <row r="495">
      <c r="A495" s="5" t="inlineStr">
        <is>
          <t>Custo 16 — Unidade</t>
        </is>
      </c>
      <c r="B495" s="6" t="n"/>
      <c r="C495" s="7" t="inlineStr">
        <is>
          <t>lista: rs | rs_m2_priv | rs_m2_terreno | pct_vgv | pct_obra | pct_recebido | pct_constr</t>
        </is>
      </c>
      <c r="D495" s="8" t="inlineStr">
        <is>
          <t>custos[16].unidade</t>
        </is>
      </c>
    </row>
    <row r="496">
      <c r="A496" s="5" t="inlineStr">
        <is>
          <t>Custo 16 — Valor (R$ ou R$/m²)</t>
        </is>
      </c>
      <c r="B496" s="17" t="n"/>
      <c r="C496" s="7">
        <f>IF($B$495="","escolha a Unidade acima",IF($B$495="rs","R$ (valor cheio)",IF($B$495="rs_m2_priv","R$/m² privativo (fechada+aberta)",IF($B$495="rs_m2_terreno","R$/m² de terreno",IF(LEFT($B$495,3)="pct","— (use a linha de %)","unidade inválida")))))</f>
        <v/>
      </c>
      <c r="D496" s="8" t="inlineStr">
        <is>
          <t>custos[16].valor_rs</t>
        </is>
      </c>
    </row>
    <row r="497">
      <c r="A497" s="5" t="inlineStr">
        <is>
          <t>Custo 16 — Valor (%)</t>
        </is>
      </c>
      <c r="B497" s="12" t="n"/>
      <c r="C497" s="7">
        <f>IF($B$495="","escolha a Unidade acima",IF($B$495="pct_vgv","% do VGV",IF($B$495="pct_receita","% da receita líquida (RET, sem juros)",IF($B$495="pct_obra","% da obra (grupo Obras inteiro)",IF($B$495="pct_recebido","% do recebido (com juros de tabela)",IF($B$495="pct_constr","% da construção (constr.+decor.+gestão da obra)",IF(LEFT($B$495,2)="rs","— (use a linha de R$)","unidade inválida"))))))</f>
        <v/>
      </c>
      <c r="D497" s="8" t="inlineStr">
        <is>
          <t>custos[16].valor_pct</t>
        </is>
      </c>
    </row>
    <row r="498">
      <c r="A498" s="5" t="inlineStr">
        <is>
          <t>Custo 16 — Distribuição</t>
        </is>
      </c>
      <c r="B498" s="6" t="n"/>
      <c r="C498" s="7" t="inlineStr">
        <is>
          <t>Linear | nome de uma curva do catálogo (ex.: Curva S) | unit_delivery | sales_revenue</t>
        </is>
      </c>
      <c r="D498" s="8" t="inlineStr">
        <is>
          <t>custos[16].distribuicao</t>
        </is>
      </c>
    </row>
    <row r="499">
      <c r="A499" s="5" t="inlineStr">
        <is>
          <t>Custo 16 — Cronograma</t>
        </is>
      </c>
      <c r="B499" s="6" t="n"/>
      <c r="C499" s="7" t="inlineStr">
        <is>
          <t>evento, customizado ou "fase: &lt;nome&gt;"</t>
        </is>
      </c>
      <c r="D499" s="8" t="inlineStr">
        <is>
          <t>custos[16].cronograma</t>
        </is>
      </c>
    </row>
    <row r="500">
      <c r="A500" s="5" t="inlineStr">
        <is>
          <t>Custo 16 — Início (só customizado)</t>
        </is>
      </c>
      <c r="B500" s="15" t="n"/>
      <c r="C500" s="7" t="inlineStr">
        <is>
          <t>mês (inteiro ≥ 0)</t>
        </is>
      </c>
      <c r="D500" s="8" t="inlineStr">
        <is>
          <t>custos[16].inicio_mes</t>
        </is>
      </c>
    </row>
    <row r="501">
      <c r="A501" s="5" t="inlineStr">
        <is>
          <t>Custo 16 — Duração (só customizado)</t>
        </is>
      </c>
      <c r="B501" s="15" t="n"/>
      <c r="C501" s="7" t="inlineStr">
        <is>
          <t>meses (inteiro ≥ 1)</t>
        </is>
      </c>
      <c r="D501" s="8" t="inlineStr">
        <is>
          <t>custos[16].duracao_meses</t>
        </is>
      </c>
    </row>
    <row r="502">
      <c r="A502" s="16" t="inlineStr">
        <is>
          <t>Custo 17</t>
        </is>
      </c>
    </row>
    <row r="503">
      <c r="A503" s="5" t="inlineStr">
        <is>
          <t>Custo 17 — Grupo</t>
        </is>
      </c>
      <c r="B503" s="6" t="n"/>
      <c r="C503" s="7" t="inlineStr">
        <is>
          <t>lista: terreno | obra | diretos | indireto | financeiro</t>
        </is>
      </c>
      <c r="D503" s="8" t="inlineStr">
        <is>
          <t>custos[17].grupo</t>
        </is>
      </c>
    </row>
    <row r="504">
      <c r="A504" s="5" t="inlineStr">
        <is>
          <t>Custo 17 — Categoria</t>
        </is>
      </c>
      <c r="B504" s="6" t="n"/>
      <c r="C504" s="7" t="inlineStr">
        <is>
          <t>ver tabela acima</t>
        </is>
      </c>
      <c r="D504" s="8" t="inlineStr">
        <is>
          <t>custos[17].categoria</t>
        </is>
      </c>
    </row>
    <row r="505">
      <c r="A505" s="5" t="inlineStr">
        <is>
          <t>Custo 17 — Subcategoria / descrição</t>
        </is>
      </c>
      <c r="B505" s="6" t="n"/>
      <c r="C505" s="7" t="inlineStr">
        <is>
          <t>Preço: Valor à vista | Parcelado; Outro: texto</t>
        </is>
      </c>
      <c r="D505" s="8" t="inlineStr">
        <is>
          <t>custos[17].subcategoria</t>
        </is>
      </c>
    </row>
    <row r="506">
      <c r="A506" s="5" t="inlineStr">
        <is>
          <t>Custo 17 — Unidade</t>
        </is>
      </c>
      <c r="B506" s="6" t="n"/>
      <c r="C506" s="7" t="inlineStr">
        <is>
          <t>lista: rs | rs_m2_priv | rs_m2_terreno | pct_vgv | pct_obra | pct_recebido | pct_constr</t>
        </is>
      </c>
      <c r="D506" s="8" t="inlineStr">
        <is>
          <t>custos[17].unidade</t>
        </is>
      </c>
    </row>
    <row r="507">
      <c r="A507" s="5" t="inlineStr">
        <is>
          <t>Custo 17 — Valor (R$ ou R$/m²)</t>
        </is>
      </c>
      <c r="B507" s="17" t="n"/>
      <c r="C507" s="7">
        <f>IF($B$506="","escolha a Unidade acima",IF($B$506="rs","R$ (valor cheio)",IF($B$506="rs_m2_priv","R$/m² privativo (fechada+aberta)",IF($B$506="rs_m2_terreno","R$/m² de terreno",IF(LEFT($B$506,3)="pct","— (use a linha de %)","unidade inválida")))))</f>
        <v/>
      </c>
      <c r="D507" s="8" t="inlineStr">
        <is>
          <t>custos[17].valor_rs</t>
        </is>
      </c>
    </row>
    <row r="508">
      <c r="A508" s="5" t="inlineStr">
        <is>
          <t>Custo 17 — Valor (%)</t>
        </is>
      </c>
      <c r="B508" s="12" t="n"/>
      <c r="C508" s="7">
        <f>IF($B$506="","escolha a Unidade acima",IF($B$506="pct_vgv","% do VGV",IF($B$506="pct_receita","% da receita líquida (RET, sem juros)",IF($B$506="pct_obra","% da obra (grupo Obras inteiro)",IF($B$506="pct_recebido","% do recebido (com juros de tabela)",IF($B$506="pct_constr","% da construção (constr.+decor.+gestão da obra)",IF(LEFT($B$506,2)="rs","— (use a linha de R$)","unidade inválida"))))))</f>
        <v/>
      </c>
      <c r="D508" s="8" t="inlineStr">
        <is>
          <t>custos[17].valor_pct</t>
        </is>
      </c>
    </row>
    <row r="509">
      <c r="A509" s="5" t="inlineStr">
        <is>
          <t>Custo 17 — Distribuição</t>
        </is>
      </c>
      <c r="B509" s="6" t="n"/>
      <c r="C509" s="7" t="inlineStr">
        <is>
          <t>Linear | nome de uma curva do catálogo (ex.: Curva S) | unit_delivery | sales_revenue</t>
        </is>
      </c>
      <c r="D509" s="8" t="inlineStr">
        <is>
          <t>custos[17].distribuicao</t>
        </is>
      </c>
    </row>
    <row r="510">
      <c r="A510" s="5" t="inlineStr">
        <is>
          <t>Custo 17 — Cronograma</t>
        </is>
      </c>
      <c r="B510" s="6" t="n"/>
      <c r="C510" s="7" t="inlineStr">
        <is>
          <t>evento, customizado ou "fase: &lt;nome&gt;"</t>
        </is>
      </c>
      <c r="D510" s="8" t="inlineStr">
        <is>
          <t>custos[17].cronograma</t>
        </is>
      </c>
    </row>
    <row r="511">
      <c r="A511" s="5" t="inlineStr">
        <is>
          <t>Custo 17 — Início (só customizado)</t>
        </is>
      </c>
      <c r="B511" s="15" t="n"/>
      <c r="C511" s="7" t="inlineStr">
        <is>
          <t>mês (inteiro ≥ 0)</t>
        </is>
      </c>
      <c r="D511" s="8" t="inlineStr">
        <is>
          <t>custos[17].inicio_mes</t>
        </is>
      </c>
    </row>
    <row r="512">
      <c r="A512" s="5" t="inlineStr">
        <is>
          <t>Custo 17 — Duração (só customizado)</t>
        </is>
      </c>
      <c r="B512" s="15" t="n"/>
      <c r="C512" s="7" t="inlineStr">
        <is>
          <t>meses (inteiro ≥ 1)</t>
        </is>
      </c>
      <c r="D512" s="8" t="inlineStr">
        <is>
          <t>custos[17].duracao_meses</t>
        </is>
      </c>
    </row>
    <row r="513">
      <c r="A513" s="16" t="inlineStr">
        <is>
          <t>Custo 18</t>
        </is>
      </c>
    </row>
    <row r="514">
      <c r="A514" s="5" t="inlineStr">
        <is>
          <t>Custo 18 — Grupo</t>
        </is>
      </c>
      <c r="B514" s="6" t="n"/>
      <c r="C514" s="7" t="inlineStr">
        <is>
          <t>lista: terreno | obra | diretos | indireto | financeiro</t>
        </is>
      </c>
      <c r="D514" s="8" t="inlineStr">
        <is>
          <t>custos[18].grupo</t>
        </is>
      </c>
    </row>
    <row r="515">
      <c r="A515" s="5" t="inlineStr">
        <is>
          <t>Custo 18 — Categoria</t>
        </is>
      </c>
      <c r="B515" s="6" t="n"/>
      <c r="C515" s="7" t="inlineStr">
        <is>
          <t>ver tabela acima</t>
        </is>
      </c>
      <c r="D515" s="8" t="inlineStr">
        <is>
          <t>custos[18].categoria</t>
        </is>
      </c>
    </row>
    <row r="516">
      <c r="A516" s="5" t="inlineStr">
        <is>
          <t>Custo 18 — Subcategoria / descrição</t>
        </is>
      </c>
      <c r="B516" s="6" t="n"/>
      <c r="C516" s="7" t="inlineStr">
        <is>
          <t>Preço: Valor à vista | Parcelado; Outro: texto</t>
        </is>
      </c>
      <c r="D516" s="8" t="inlineStr">
        <is>
          <t>custos[18].subcategoria</t>
        </is>
      </c>
    </row>
    <row r="517">
      <c r="A517" s="5" t="inlineStr">
        <is>
          <t>Custo 18 — Unidade</t>
        </is>
      </c>
      <c r="B517" s="6" t="n"/>
      <c r="C517" s="7" t="inlineStr">
        <is>
          <t>lista: rs | rs_m2_priv | rs_m2_terreno | pct_vgv | pct_obra | pct_recebido | pct_constr</t>
        </is>
      </c>
      <c r="D517" s="8" t="inlineStr">
        <is>
          <t>custos[18].unidade</t>
        </is>
      </c>
    </row>
    <row r="518">
      <c r="A518" s="5" t="inlineStr">
        <is>
          <t>Custo 18 — Valor (R$ ou R$/m²)</t>
        </is>
      </c>
      <c r="B518" s="17" t="n"/>
      <c r="C518" s="7">
        <f>IF($B$517="","escolha a Unidade acima",IF($B$517="rs","R$ (valor cheio)",IF($B$517="rs_m2_priv","R$/m² privativo (fechada+aberta)",IF($B$517="rs_m2_terreno","R$/m² de terreno",IF(LEFT($B$517,3)="pct","— (use a linha de %)","unidade inválida")))))</f>
        <v/>
      </c>
      <c r="D518" s="8" t="inlineStr">
        <is>
          <t>custos[18].valor_rs</t>
        </is>
      </c>
    </row>
    <row r="519">
      <c r="A519" s="5" t="inlineStr">
        <is>
          <t>Custo 18 — Valor (%)</t>
        </is>
      </c>
      <c r="B519" s="12" t="n"/>
      <c r="C519" s="7">
        <f>IF($B$517="","escolha a Unidade acima",IF($B$517="pct_vgv","% do VGV",IF($B$517="pct_receita","% da receita líquida (RET, sem juros)",IF($B$517="pct_obra","% da obra (grupo Obras inteiro)",IF($B$517="pct_recebido","% do recebido (com juros de tabela)",IF($B$517="pct_constr","% da construção (constr.+decor.+gestão da obra)",IF(LEFT($B$517,2)="rs","— (use a linha de R$)","unidade inválida"))))))</f>
        <v/>
      </c>
      <c r="D519" s="8" t="inlineStr">
        <is>
          <t>custos[18].valor_pct</t>
        </is>
      </c>
    </row>
    <row r="520">
      <c r="A520" s="5" t="inlineStr">
        <is>
          <t>Custo 18 — Distribuição</t>
        </is>
      </c>
      <c r="B520" s="6" t="n"/>
      <c r="C520" s="7" t="inlineStr">
        <is>
          <t>Linear | nome de uma curva do catálogo (ex.: Curva S) | unit_delivery | sales_revenue</t>
        </is>
      </c>
      <c r="D520" s="8" t="inlineStr">
        <is>
          <t>custos[18].distribuicao</t>
        </is>
      </c>
    </row>
    <row r="521">
      <c r="A521" s="5" t="inlineStr">
        <is>
          <t>Custo 18 — Cronograma</t>
        </is>
      </c>
      <c r="B521" s="6" t="n"/>
      <c r="C521" s="7" t="inlineStr">
        <is>
          <t>evento, customizado ou "fase: &lt;nome&gt;"</t>
        </is>
      </c>
      <c r="D521" s="8" t="inlineStr">
        <is>
          <t>custos[18].cronograma</t>
        </is>
      </c>
    </row>
    <row r="522">
      <c r="A522" s="5" t="inlineStr">
        <is>
          <t>Custo 18 — Início (só customizado)</t>
        </is>
      </c>
      <c r="B522" s="15" t="n"/>
      <c r="C522" s="7" t="inlineStr">
        <is>
          <t>mês (inteiro ≥ 0)</t>
        </is>
      </c>
      <c r="D522" s="8" t="inlineStr">
        <is>
          <t>custos[18].inicio_mes</t>
        </is>
      </c>
    </row>
    <row r="523">
      <c r="A523" s="5" t="inlineStr">
        <is>
          <t>Custo 18 — Duração (só customizado)</t>
        </is>
      </c>
      <c r="B523" s="15" t="n"/>
      <c r="C523" s="7" t="inlineStr">
        <is>
          <t>meses (inteiro ≥ 1)</t>
        </is>
      </c>
      <c r="D523" s="8" t="inlineStr">
        <is>
          <t>custos[18].duracao_meses</t>
        </is>
      </c>
    </row>
    <row r="524">
      <c r="A524" s="16" t="inlineStr">
        <is>
          <t>Custo 19</t>
        </is>
      </c>
    </row>
    <row r="525">
      <c r="A525" s="5" t="inlineStr">
        <is>
          <t>Custo 19 — Grupo</t>
        </is>
      </c>
      <c r="B525" s="6" t="n"/>
      <c r="C525" s="7" t="inlineStr">
        <is>
          <t>lista: terreno | obra | diretos | indireto | financeiro</t>
        </is>
      </c>
      <c r="D525" s="8" t="inlineStr">
        <is>
          <t>custos[19].grupo</t>
        </is>
      </c>
    </row>
    <row r="526">
      <c r="A526" s="5" t="inlineStr">
        <is>
          <t>Custo 19 — Categoria</t>
        </is>
      </c>
      <c r="B526" s="6" t="n"/>
      <c r="C526" s="7" t="inlineStr">
        <is>
          <t>ver tabela acima</t>
        </is>
      </c>
      <c r="D526" s="8" t="inlineStr">
        <is>
          <t>custos[19].categoria</t>
        </is>
      </c>
    </row>
    <row r="527">
      <c r="A527" s="5" t="inlineStr">
        <is>
          <t>Custo 19 — Subcategoria / descrição</t>
        </is>
      </c>
      <c r="B527" s="6" t="n"/>
      <c r="C527" s="7" t="inlineStr">
        <is>
          <t>Preço: Valor à vista | Parcelado; Outro: texto</t>
        </is>
      </c>
      <c r="D527" s="8" t="inlineStr">
        <is>
          <t>custos[19].subcategoria</t>
        </is>
      </c>
    </row>
    <row r="528">
      <c r="A528" s="5" t="inlineStr">
        <is>
          <t>Custo 19 — Unidade</t>
        </is>
      </c>
      <c r="B528" s="6" t="n"/>
      <c r="C528" s="7" t="inlineStr">
        <is>
          <t>lista: rs | rs_m2_priv | rs_m2_terreno | pct_vgv | pct_obra | pct_recebido | pct_constr</t>
        </is>
      </c>
      <c r="D528" s="8" t="inlineStr">
        <is>
          <t>custos[19].unidade</t>
        </is>
      </c>
    </row>
    <row r="529">
      <c r="A529" s="5" t="inlineStr">
        <is>
          <t>Custo 19 — Valor (R$ ou R$/m²)</t>
        </is>
      </c>
      <c r="B529" s="17" t="n"/>
      <c r="C529" s="7">
        <f>IF($B$528="","escolha a Unidade acima",IF($B$528="rs","R$ (valor cheio)",IF($B$528="rs_m2_priv","R$/m² privativo (fechada+aberta)",IF($B$528="rs_m2_terreno","R$/m² de terreno",IF(LEFT($B$528,3)="pct","— (use a linha de %)","unidade inválida")))))</f>
        <v/>
      </c>
      <c r="D529" s="8" t="inlineStr">
        <is>
          <t>custos[19].valor_rs</t>
        </is>
      </c>
    </row>
    <row r="530">
      <c r="A530" s="5" t="inlineStr">
        <is>
          <t>Custo 19 — Valor (%)</t>
        </is>
      </c>
      <c r="B530" s="12" t="n"/>
      <c r="C530" s="7">
        <f>IF($B$528="","escolha a Unidade acima",IF($B$528="pct_vgv","% do VGV",IF($B$528="pct_receita","% da receita líquida (RET, sem juros)",IF($B$528="pct_obra","% da obra (grupo Obras inteiro)",IF($B$528="pct_recebido","% do recebido (com juros de tabela)",IF($B$528="pct_constr","% da construção (constr.+decor.+gestão da obra)",IF(LEFT($B$528,2)="rs","— (use a linha de R$)","unidade inválida"))))))</f>
        <v/>
      </c>
      <c r="D530" s="8" t="inlineStr">
        <is>
          <t>custos[19].valor_pct</t>
        </is>
      </c>
    </row>
    <row r="531">
      <c r="A531" s="5" t="inlineStr">
        <is>
          <t>Custo 19 — Distribuição</t>
        </is>
      </c>
      <c r="B531" s="6" t="n"/>
      <c r="C531" s="7" t="inlineStr">
        <is>
          <t>Linear | nome de uma curva do catálogo (ex.: Curva S) | unit_delivery | sales_revenue</t>
        </is>
      </c>
      <c r="D531" s="8" t="inlineStr">
        <is>
          <t>custos[19].distribuicao</t>
        </is>
      </c>
    </row>
    <row r="532">
      <c r="A532" s="5" t="inlineStr">
        <is>
          <t>Custo 19 — Cronograma</t>
        </is>
      </c>
      <c r="B532" s="6" t="n"/>
      <c r="C532" s="7" t="inlineStr">
        <is>
          <t>evento, customizado ou "fase: &lt;nome&gt;"</t>
        </is>
      </c>
      <c r="D532" s="8" t="inlineStr">
        <is>
          <t>custos[19].cronograma</t>
        </is>
      </c>
    </row>
    <row r="533">
      <c r="A533" s="5" t="inlineStr">
        <is>
          <t>Custo 19 — Início (só customizado)</t>
        </is>
      </c>
      <c r="B533" s="15" t="n"/>
      <c r="C533" s="7" t="inlineStr">
        <is>
          <t>mês (inteiro ≥ 0)</t>
        </is>
      </c>
      <c r="D533" s="8" t="inlineStr">
        <is>
          <t>custos[19].inicio_mes</t>
        </is>
      </c>
    </row>
    <row r="534">
      <c r="A534" s="5" t="inlineStr">
        <is>
          <t>Custo 19 — Duração (só customizado)</t>
        </is>
      </c>
      <c r="B534" s="15" t="n"/>
      <c r="C534" s="7" t="inlineStr">
        <is>
          <t>meses (inteiro ≥ 1)</t>
        </is>
      </c>
      <c r="D534" s="8" t="inlineStr">
        <is>
          <t>custos[19].duracao_meses</t>
        </is>
      </c>
    </row>
    <row r="535">
      <c r="A535" s="16" t="inlineStr">
        <is>
          <t>Custo 20</t>
        </is>
      </c>
    </row>
    <row r="536">
      <c r="A536" s="5" t="inlineStr">
        <is>
          <t>Custo 20 — Grupo</t>
        </is>
      </c>
      <c r="B536" s="6" t="n"/>
      <c r="C536" s="7" t="inlineStr">
        <is>
          <t>lista: terreno | obra | diretos | indireto | financeiro</t>
        </is>
      </c>
      <c r="D536" s="8" t="inlineStr">
        <is>
          <t>custos[20].grupo</t>
        </is>
      </c>
    </row>
    <row r="537">
      <c r="A537" s="5" t="inlineStr">
        <is>
          <t>Custo 20 — Categoria</t>
        </is>
      </c>
      <c r="B537" s="6" t="n"/>
      <c r="C537" s="7" t="inlineStr">
        <is>
          <t>ver tabela acima</t>
        </is>
      </c>
      <c r="D537" s="8" t="inlineStr">
        <is>
          <t>custos[20].categoria</t>
        </is>
      </c>
    </row>
    <row r="538">
      <c r="A538" s="5" t="inlineStr">
        <is>
          <t>Custo 20 — Subcategoria / descrição</t>
        </is>
      </c>
      <c r="B538" s="6" t="n"/>
      <c r="C538" s="7" t="inlineStr">
        <is>
          <t>Preço: Valor à vista | Parcelado; Outro: texto</t>
        </is>
      </c>
      <c r="D538" s="8" t="inlineStr">
        <is>
          <t>custos[20].subcategoria</t>
        </is>
      </c>
    </row>
    <row r="539">
      <c r="A539" s="5" t="inlineStr">
        <is>
          <t>Custo 20 — Unidade</t>
        </is>
      </c>
      <c r="B539" s="6" t="n"/>
      <c r="C539" s="7" t="inlineStr">
        <is>
          <t>lista: rs | rs_m2_priv | rs_m2_terreno | pct_vgv | pct_obra | pct_recebido | pct_constr</t>
        </is>
      </c>
      <c r="D539" s="8" t="inlineStr">
        <is>
          <t>custos[20].unidade</t>
        </is>
      </c>
    </row>
    <row r="540">
      <c r="A540" s="5" t="inlineStr">
        <is>
          <t>Custo 20 — Valor (R$ ou R$/m²)</t>
        </is>
      </c>
      <c r="B540" s="17" t="n"/>
      <c r="C540" s="7">
        <f>IF($B$539="","escolha a Unidade acima",IF($B$539="rs","R$ (valor cheio)",IF($B$539="rs_m2_priv","R$/m² privativo (fechada+aberta)",IF($B$539="rs_m2_terreno","R$/m² de terreno",IF(LEFT($B$539,3)="pct","— (use a linha de %)","unidade inválida")))))</f>
        <v/>
      </c>
      <c r="D540" s="8" t="inlineStr">
        <is>
          <t>custos[20].valor_rs</t>
        </is>
      </c>
    </row>
    <row r="541">
      <c r="A541" s="5" t="inlineStr">
        <is>
          <t>Custo 20 — Valor (%)</t>
        </is>
      </c>
      <c r="B541" s="12" t="n"/>
      <c r="C541" s="7">
        <f>IF($B$539="","escolha a Unidade acima",IF($B$539="pct_vgv","% do VGV",IF($B$539="pct_receita","% da receita líquida (RET, sem juros)",IF($B$539="pct_obra","% da obra (grupo Obras inteiro)",IF($B$539="pct_recebido","% do recebido (com juros de tabela)",IF($B$539="pct_constr","% da construção (constr.+decor.+gestão da obra)",IF(LEFT($B$539,2)="rs","— (use a linha de R$)","unidade inválida"))))))</f>
        <v/>
      </c>
      <c r="D541" s="8" t="inlineStr">
        <is>
          <t>custos[20].valor_pct</t>
        </is>
      </c>
    </row>
    <row r="542">
      <c r="A542" s="5" t="inlineStr">
        <is>
          <t>Custo 20 — Distribuição</t>
        </is>
      </c>
      <c r="B542" s="6" t="n"/>
      <c r="C542" s="7" t="inlineStr">
        <is>
          <t>Linear | nome de uma curva do catálogo (ex.: Curva S) | unit_delivery | sales_revenue</t>
        </is>
      </c>
      <c r="D542" s="8" t="inlineStr">
        <is>
          <t>custos[20].distribuicao</t>
        </is>
      </c>
    </row>
    <row r="543">
      <c r="A543" s="5" t="inlineStr">
        <is>
          <t>Custo 20 — Cronograma</t>
        </is>
      </c>
      <c r="B543" s="6" t="n"/>
      <c r="C543" s="7" t="inlineStr">
        <is>
          <t>evento, customizado ou "fase: &lt;nome&gt;"</t>
        </is>
      </c>
      <c r="D543" s="8" t="inlineStr">
        <is>
          <t>custos[20].cronograma</t>
        </is>
      </c>
    </row>
    <row r="544">
      <c r="A544" s="5" t="inlineStr">
        <is>
          <t>Custo 20 — Início (só customizado)</t>
        </is>
      </c>
      <c r="B544" s="15" t="n"/>
      <c r="C544" s="7" t="inlineStr">
        <is>
          <t>mês (inteiro ≥ 0)</t>
        </is>
      </c>
      <c r="D544" s="8" t="inlineStr">
        <is>
          <t>custos[20].inicio_mes</t>
        </is>
      </c>
    </row>
    <row r="545">
      <c r="A545" s="5" t="inlineStr">
        <is>
          <t>Custo 20 — Duração (só customizado)</t>
        </is>
      </c>
      <c r="B545" s="15" t="n"/>
      <c r="C545" s="7" t="inlineStr">
        <is>
          <t>meses (inteiro ≥ 1)</t>
        </is>
      </c>
      <c r="D545" s="8" t="inlineStr">
        <is>
          <t>custos[20].duracao_meses</t>
        </is>
      </c>
    </row>
    <row r="546">
      <c r="A546" s="16" t="inlineStr">
        <is>
          <t>Custo 21</t>
        </is>
      </c>
    </row>
    <row r="547">
      <c r="A547" s="5" t="inlineStr">
        <is>
          <t>Custo 21 — Grupo</t>
        </is>
      </c>
      <c r="B547" s="6" t="n"/>
      <c r="C547" s="7" t="inlineStr">
        <is>
          <t>lista: terreno | obra | diretos | indireto | financeiro</t>
        </is>
      </c>
      <c r="D547" s="8" t="inlineStr">
        <is>
          <t>custos[21].grupo</t>
        </is>
      </c>
    </row>
    <row r="548">
      <c r="A548" s="5" t="inlineStr">
        <is>
          <t>Custo 21 — Categoria</t>
        </is>
      </c>
      <c r="B548" s="6" t="n"/>
      <c r="C548" s="7" t="inlineStr">
        <is>
          <t>ver tabela acima</t>
        </is>
      </c>
      <c r="D548" s="8" t="inlineStr">
        <is>
          <t>custos[21].categoria</t>
        </is>
      </c>
    </row>
    <row r="549">
      <c r="A549" s="5" t="inlineStr">
        <is>
          <t>Custo 21 — Subcategoria / descrição</t>
        </is>
      </c>
      <c r="B549" s="6" t="n"/>
      <c r="C549" s="7" t="inlineStr">
        <is>
          <t>Preço: Valor à vista | Parcelado; Outro: texto</t>
        </is>
      </c>
      <c r="D549" s="8" t="inlineStr">
        <is>
          <t>custos[21].subcategoria</t>
        </is>
      </c>
    </row>
    <row r="550">
      <c r="A550" s="5" t="inlineStr">
        <is>
          <t>Custo 21 — Unidade</t>
        </is>
      </c>
      <c r="B550" s="6" t="n"/>
      <c r="C550" s="7" t="inlineStr">
        <is>
          <t>lista: rs | rs_m2_priv | rs_m2_terreno | pct_vgv | pct_obra | pct_recebido | pct_constr</t>
        </is>
      </c>
      <c r="D550" s="8" t="inlineStr">
        <is>
          <t>custos[21].unidade</t>
        </is>
      </c>
    </row>
    <row r="551">
      <c r="A551" s="5" t="inlineStr">
        <is>
          <t>Custo 21 — Valor (R$ ou R$/m²)</t>
        </is>
      </c>
      <c r="B551" s="17" t="n"/>
      <c r="C551" s="7">
        <f>IF($B$550="","escolha a Unidade acima",IF($B$550="rs","R$ (valor cheio)",IF($B$550="rs_m2_priv","R$/m² privativo (fechada+aberta)",IF($B$550="rs_m2_terreno","R$/m² de terreno",IF(LEFT($B$550,3)="pct","— (use a linha de %)","unidade inválida")))))</f>
        <v/>
      </c>
      <c r="D551" s="8" t="inlineStr">
        <is>
          <t>custos[21].valor_rs</t>
        </is>
      </c>
    </row>
    <row r="552">
      <c r="A552" s="5" t="inlineStr">
        <is>
          <t>Custo 21 — Valor (%)</t>
        </is>
      </c>
      <c r="B552" s="12" t="n"/>
      <c r="C552" s="7">
        <f>IF($B$550="","escolha a Unidade acima",IF($B$550="pct_vgv","% do VGV",IF($B$550="pct_receita","% da receita líquida (RET, sem juros)",IF($B$550="pct_obra","% da obra (grupo Obras inteiro)",IF($B$550="pct_recebido","% do recebido (com juros de tabela)",IF($B$550="pct_constr","% da construção (constr.+decor.+gestão da obra)",IF(LEFT($B$550,2)="rs","— (use a linha de R$)","unidade inválida"))))))</f>
        <v/>
      </c>
      <c r="D552" s="8" t="inlineStr">
        <is>
          <t>custos[21].valor_pct</t>
        </is>
      </c>
    </row>
    <row r="553">
      <c r="A553" s="5" t="inlineStr">
        <is>
          <t>Custo 21 — Distribuição</t>
        </is>
      </c>
      <c r="B553" s="6" t="n"/>
      <c r="C553" s="7" t="inlineStr">
        <is>
          <t>Linear | nome de uma curva do catálogo (ex.: Curva S) | unit_delivery | sales_revenue</t>
        </is>
      </c>
      <c r="D553" s="8" t="inlineStr">
        <is>
          <t>custos[21].distribuicao</t>
        </is>
      </c>
    </row>
    <row r="554">
      <c r="A554" s="5" t="inlineStr">
        <is>
          <t>Custo 21 — Cronograma</t>
        </is>
      </c>
      <c r="B554" s="6" t="n"/>
      <c r="C554" s="7" t="inlineStr">
        <is>
          <t>evento, customizado ou "fase: &lt;nome&gt;"</t>
        </is>
      </c>
      <c r="D554" s="8" t="inlineStr">
        <is>
          <t>custos[21].cronograma</t>
        </is>
      </c>
    </row>
    <row r="555">
      <c r="A555" s="5" t="inlineStr">
        <is>
          <t>Custo 21 — Início (só customizado)</t>
        </is>
      </c>
      <c r="B555" s="15" t="n"/>
      <c r="C555" s="7" t="inlineStr">
        <is>
          <t>mês (inteiro ≥ 0)</t>
        </is>
      </c>
      <c r="D555" s="8" t="inlineStr">
        <is>
          <t>custos[21].inicio_mes</t>
        </is>
      </c>
    </row>
    <row r="556">
      <c r="A556" s="5" t="inlineStr">
        <is>
          <t>Custo 21 — Duração (só customizado)</t>
        </is>
      </c>
      <c r="B556" s="15" t="n"/>
      <c r="C556" s="7" t="inlineStr">
        <is>
          <t>meses (inteiro ≥ 1)</t>
        </is>
      </c>
      <c r="D556" s="8" t="inlineStr">
        <is>
          <t>custos[21].duracao_meses</t>
        </is>
      </c>
    </row>
    <row r="557">
      <c r="A557" s="16" t="inlineStr">
        <is>
          <t>Custo 22</t>
        </is>
      </c>
    </row>
    <row r="558">
      <c r="A558" s="5" t="inlineStr">
        <is>
          <t>Custo 22 — Grupo</t>
        </is>
      </c>
      <c r="B558" s="6" t="n"/>
      <c r="C558" s="7" t="inlineStr">
        <is>
          <t>lista: terreno | obra | diretos | indireto | financeiro</t>
        </is>
      </c>
      <c r="D558" s="8" t="inlineStr">
        <is>
          <t>custos[22].grupo</t>
        </is>
      </c>
    </row>
    <row r="559">
      <c r="A559" s="5" t="inlineStr">
        <is>
          <t>Custo 22 — Categoria</t>
        </is>
      </c>
      <c r="B559" s="6" t="n"/>
      <c r="C559" s="7" t="inlineStr">
        <is>
          <t>ver tabela acima</t>
        </is>
      </c>
      <c r="D559" s="8" t="inlineStr">
        <is>
          <t>custos[22].categoria</t>
        </is>
      </c>
    </row>
    <row r="560">
      <c r="A560" s="5" t="inlineStr">
        <is>
          <t>Custo 22 — Subcategoria / descrição</t>
        </is>
      </c>
      <c r="B560" s="6" t="n"/>
      <c r="C560" s="7" t="inlineStr">
        <is>
          <t>Preço: Valor à vista | Parcelado; Outro: texto</t>
        </is>
      </c>
      <c r="D560" s="8" t="inlineStr">
        <is>
          <t>custos[22].subcategoria</t>
        </is>
      </c>
    </row>
    <row r="561">
      <c r="A561" s="5" t="inlineStr">
        <is>
          <t>Custo 22 — Unidade</t>
        </is>
      </c>
      <c r="B561" s="6" t="n"/>
      <c r="C561" s="7" t="inlineStr">
        <is>
          <t>lista: rs | rs_m2_priv | rs_m2_terreno | pct_vgv | pct_obra | pct_recebido | pct_constr</t>
        </is>
      </c>
      <c r="D561" s="8" t="inlineStr">
        <is>
          <t>custos[22].unidade</t>
        </is>
      </c>
    </row>
    <row r="562">
      <c r="A562" s="5" t="inlineStr">
        <is>
          <t>Custo 22 — Valor (R$ ou R$/m²)</t>
        </is>
      </c>
      <c r="B562" s="17" t="n"/>
      <c r="C562" s="7">
        <f>IF($B$561="","escolha a Unidade acima",IF($B$561="rs","R$ (valor cheio)",IF($B$561="rs_m2_priv","R$/m² privativo (fechada+aberta)",IF($B$561="rs_m2_terreno","R$/m² de terreno",IF(LEFT($B$561,3)="pct","— (use a linha de %)","unidade inválida")))))</f>
        <v/>
      </c>
      <c r="D562" s="8" t="inlineStr">
        <is>
          <t>custos[22].valor_rs</t>
        </is>
      </c>
    </row>
    <row r="563">
      <c r="A563" s="5" t="inlineStr">
        <is>
          <t>Custo 22 — Valor (%)</t>
        </is>
      </c>
      <c r="B563" s="12" t="n"/>
      <c r="C563" s="7">
        <f>IF($B$561="","escolha a Unidade acima",IF($B$561="pct_vgv","% do VGV",IF($B$561="pct_receita","% da receita líquida (RET, sem juros)",IF($B$561="pct_obra","% da obra (grupo Obras inteiro)",IF($B$561="pct_recebido","% do recebido (com juros de tabela)",IF($B$561="pct_constr","% da construção (constr.+decor.+gestão da obra)",IF(LEFT($B$561,2)="rs","— (use a linha de R$)","unidade inválida"))))))</f>
        <v/>
      </c>
      <c r="D563" s="8" t="inlineStr">
        <is>
          <t>custos[22].valor_pct</t>
        </is>
      </c>
    </row>
    <row r="564">
      <c r="A564" s="5" t="inlineStr">
        <is>
          <t>Custo 22 — Distribuição</t>
        </is>
      </c>
      <c r="B564" s="6" t="n"/>
      <c r="C564" s="7" t="inlineStr">
        <is>
          <t>Linear | nome de uma curva do catálogo (ex.: Curva S) | unit_delivery | sales_revenue</t>
        </is>
      </c>
      <c r="D564" s="8" t="inlineStr">
        <is>
          <t>custos[22].distribuicao</t>
        </is>
      </c>
    </row>
    <row r="565">
      <c r="A565" s="5" t="inlineStr">
        <is>
          <t>Custo 22 — Cronograma</t>
        </is>
      </c>
      <c r="B565" s="6" t="n"/>
      <c r="C565" s="7" t="inlineStr">
        <is>
          <t>evento, customizado ou "fase: &lt;nome&gt;"</t>
        </is>
      </c>
      <c r="D565" s="8" t="inlineStr">
        <is>
          <t>custos[22].cronograma</t>
        </is>
      </c>
    </row>
    <row r="566">
      <c r="A566" s="5" t="inlineStr">
        <is>
          <t>Custo 22 — Início (só customizado)</t>
        </is>
      </c>
      <c r="B566" s="15" t="n"/>
      <c r="C566" s="7" t="inlineStr">
        <is>
          <t>mês (inteiro ≥ 0)</t>
        </is>
      </c>
      <c r="D566" s="8" t="inlineStr">
        <is>
          <t>custos[22].inicio_mes</t>
        </is>
      </c>
    </row>
    <row r="567">
      <c r="A567" s="5" t="inlineStr">
        <is>
          <t>Custo 22 — Duração (só customizado)</t>
        </is>
      </c>
      <c r="B567" s="15" t="n"/>
      <c r="C567" s="7" t="inlineStr">
        <is>
          <t>meses (inteiro ≥ 1)</t>
        </is>
      </c>
      <c r="D567" s="8" t="inlineStr">
        <is>
          <t>custos[22].duracao_meses</t>
        </is>
      </c>
    </row>
    <row r="568">
      <c r="A568" s="16" t="inlineStr">
        <is>
          <t>Custo 23</t>
        </is>
      </c>
    </row>
    <row r="569">
      <c r="A569" s="5" t="inlineStr">
        <is>
          <t>Custo 23 — Grupo</t>
        </is>
      </c>
      <c r="B569" s="6" t="n"/>
      <c r="C569" s="7" t="inlineStr">
        <is>
          <t>lista: terreno | obra | diretos | indireto | financeiro</t>
        </is>
      </c>
      <c r="D569" s="8" t="inlineStr">
        <is>
          <t>custos[23].grupo</t>
        </is>
      </c>
    </row>
    <row r="570">
      <c r="A570" s="5" t="inlineStr">
        <is>
          <t>Custo 23 — Categoria</t>
        </is>
      </c>
      <c r="B570" s="6" t="n"/>
      <c r="C570" s="7" t="inlineStr">
        <is>
          <t>ver tabela acima</t>
        </is>
      </c>
      <c r="D570" s="8" t="inlineStr">
        <is>
          <t>custos[23].categoria</t>
        </is>
      </c>
    </row>
    <row r="571">
      <c r="A571" s="5" t="inlineStr">
        <is>
          <t>Custo 23 — Subcategoria / descrição</t>
        </is>
      </c>
      <c r="B571" s="6" t="n"/>
      <c r="C571" s="7" t="inlineStr">
        <is>
          <t>Preço: Valor à vista | Parcelado; Outro: texto</t>
        </is>
      </c>
      <c r="D571" s="8" t="inlineStr">
        <is>
          <t>custos[23].subcategoria</t>
        </is>
      </c>
    </row>
    <row r="572">
      <c r="A572" s="5" t="inlineStr">
        <is>
          <t>Custo 23 — Unidade</t>
        </is>
      </c>
      <c r="B572" s="6" t="n"/>
      <c r="C572" s="7" t="inlineStr">
        <is>
          <t>lista: rs | rs_m2_priv | rs_m2_terreno | pct_vgv | pct_obra | pct_recebido | pct_constr</t>
        </is>
      </c>
      <c r="D572" s="8" t="inlineStr">
        <is>
          <t>custos[23].unidade</t>
        </is>
      </c>
    </row>
    <row r="573">
      <c r="A573" s="5" t="inlineStr">
        <is>
          <t>Custo 23 — Valor (R$ ou R$/m²)</t>
        </is>
      </c>
      <c r="B573" s="17" t="n"/>
      <c r="C573" s="7">
        <f>IF($B$572="","escolha a Unidade acima",IF($B$572="rs","R$ (valor cheio)",IF($B$572="rs_m2_priv","R$/m² privativo (fechada+aberta)",IF($B$572="rs_m2_terreno","R$/m² de terreno",IF(LEFT($B$572,3)="pct","— (use a linha de %)","unidade inválida")))))</f>
        <v/>
      </c>
      <c r="D573" s="8" t="inlineStr">
        <is>
          <t>custos[23].valor_rs</t>
        </is>
      </c>
    </row>
    <row r="574">
      <c r="A574" s="5" t="inlineStr">
        <is>
          <t>Custo 23 — Valor (%)</t>
        </is>
      </c>
      <c r="B574" s="12" t="n"/>
      <c r="C574" s="7">
        <f>IF($B$572="","escolha a Unidade acima",IF($B$572="pct_vgv","% do VGV",IF($B$572="pct_receita","% da receita líquida (RET, sem juros)",IF($B$572="pct_obra","% da obra (grupo Obras inteiro)",IF($B$572="pct_recebido","% do recebido (com juros de tabela)",IF($B$572="pct_constr","% da construção (constr.+decor.+gestão da obra)",IF(LEFT($B$572,2)="rs","— (use a linha de R$)","unidade inválida"))))))</f>
        <v/>
      </c>
      <c r="D574" s="8" t="inlineStr">
        <is>
          <t>custos[23].valor_pct</t>
        </is>
      </c>
    </row>
    <row r="575">
      <c r="A575" s="5" t="inlineStr">
        <is>
          <t>Custo 23 — Distribuição</t>
        </is>
      </c>
      <c r="B575" s="6" t="n"/>
      <c r="C575" s="7" t="inlineStr">
        <is>
          <t>Linear | nome de uma curva do catálogo (ex.: Curva S) | unit_delivery | sales_revenue</t>
        </is>
      </c>
      <c r="D575" s="8" t="inlineStr">
        <is>
          <t>custos[23].distribuicao</t>
        </is>
      </c>
    </row>
    <row r="576">
      <c r="A576" s="5" t="inlineStr">
        <is>
          <t>Custo 23 — Cronograma</t>
        </is>
      </c>
      <c r="B576" s="6" t="n"/>
      <c r="C576" s="7" t="inlineStr">
        <is>
          <t>evento, customizado ou "fase: &lt;nome&gt;"</t>
        </is>
      </c>
      <c r="D576" s="8" t="inlineStr">
        <is>
          <t>custos[23].cronograma</t>
        </is>
      </c>
    </row>
    <row r="577">
      <c r="A577" s="5" t="inlineStr">
        <is>
          <t>Custo 23 — Início (só customizado)</t>
        </is>
      </c>
      <c r="B577" s="15" t="n"/>
      <c r="C577" s="7" t="inlineStr">
        <is>
          <t>mês (inteiro ≥ 0)</t>
        </is>
      </c>
      <c r="D577" s="8" t="inlineStr">
        <is>
          <t>custos[23].inicio_mes</t>
        </is>
      </c>
    </row>
    <row r="578">
      <c r="A578" s="5" t="inlineStr">
        <is>
          <t>Custo 23 — Duração (só customizado)</t>
        </is>
      </c>
      <c r="B578" s="15" t="n"/>
      <c r="C578" s="7" t="inlineStr">
        <is>
          <t>meses (inteiro ≥ 1)</t>
        </is>
      </c>
      <c r="D578" s="8" t="inlineStr">
        <is>
          <t>custos[23].duracao_meses</t>
        </is>
      </c>
    </row>
    <row r="579">
      <c r="A579" s="16" t="inlineStr">
        <is>
          <t>Custo 24</t>
        </is>
      </c>
    </row>
    <row r="580">
      <c r="A580" s="5" t="inlineStr">
        <is>
          <t>Custo 24 — Grupo</t>
        </is>
      </c>
      <c r="B580" s="6" t="n"/>
      <c r="C580" s="7" t="inlineStr">
        <is>
          <t>lista: terreno | obra | diretos | indireto | financeiro</t>
        </is>
      </c>
      <c r="D580" s="8" t="inlineStr">
        <is>
          <t>custos[24].grupo</t>
        </is>
      </c>
    </row>
    <row r="581">
      <c r="A581" s="5" t="inlineStr">
        <is>
          <t>Custo 24 — Categoria</t>
        </is>
      </c>
      <c r="B581" s="6" t="n"/>
      <c r="C581" s="7" t="inlineStr">
        <is>
          <t>ver tabela acima</t>
        </is>
      </c>
      <c r="D581" s="8" t="inlineStr">
        <is>
          <t>custos[24].categoria</t>
        </is>
      </c>
    </row>
    <row r="582">
      <c r="A582" s="5" t="inlineStr">
        <is>
          <t>Custo 24 — Subcategoria / descrição</t>
        </is>
      </c>
      <c r="B582" s="6" t="n"/>
      <c r="C582" s="7" t="inlineStr">
        <is>
          <t>Preço: Valor à vista | Parcelado; Outro: texto</t>
        </is>
      </c>
      <c r="D582" s="8" t="inlineStr">
        <is>
          <t>custos[24].subcategoria</t>
        </is>
      </c>
    </row>
    <row r="583">
      <c r="A583" s="5" t="inlineStr">
        <is>
          <t>Custo 24 — Unidade</t>
        </is>
      </c>
      <c r="B583" s="6" t="n"/>
      <c r="C583" s="7" t="inlineStr">
        <is>
          <t>lista: rs | rs_m2_priv | rs_m2_terreno | pct_vgv | pct_obra | pct_recebido | pct_constr</t>
        </is>
      </c>
      <c r="D583" s="8" t="inlineStr">
        <is>
          <t>custos[24].unidade</t>
        </is>
      </c>
    </row>
    <row r="584">
      <c r="A584" s="5" t="inlineStr">
        <is>
          <t>Custo 24 — Valor (R$ ou R$/m²)</t>
        </is>
      </c>
      <c r="B584" s="17" t="n"/>
      <c r="C584" s="7">
        <f>IF($B$583="","escolha a Unidade acima",IF($B$583="rs","R$ (valor cheio)",IF($B$583="rs_m2_priv","R$/m² privativo (fechada+aberta)",IF($B$583="rs_m2_terreno","R$/m² de terreno",IF(LEFT($B$583,3)="pct","— (use a linha de %)","unidade inválida")))))</f>
        <v/>
      </c>
      <c r="D584" s="8" t="inlineStr">
        <is>
          <t>custos[24].valor_rs</t>
        </is>
      </c>
    </row>
    <row r="585">
      <c r="A585" s="5" t="inlineStr">
        <is>
          <t>Custo 24 — Valor (%)</t>
        </is>
      </c>
      <c r="B585" s="12" t="n"/>
      <c r="C585" s="7">
        <f>IF($B$583="","escolha a Unidade acima",IF($B$583="pct_vgv","% do VGV",IF($B$583="pct_receita","% da receita líquida (RET, sem juros)",IF($B$583="pct_obra","% da obra (grupo Obras inteiro)",IF($B$583="pct_recebido","% do recebido (com juros de tabela)",IF($B$583="pct_constr","% da construção (constr.+decor.+gestão da obra)",IF(LEFT($B$583,2)="rs","— (use a linha de R$)","unidade inválida"))))))</f>
        <v/>
      </c>
      <c r="D585" s="8" t="inlineStr">
        <is>
          <t>custos[24].valor_pct</t>
        </is>
      </c>
    </row>
    <row r="586">
      <c r="A586" s="5" t="inlineStr">
        <is>
          <t>Custo 24 — Distribuição</t>
        </is>
      </c>
      <c r="B586" s="6" t="n"/>
      <c r="C586" s="7" t="inlineStr">
        <is>
          <t>Linear | nome de uma curva do catálogo (ex.: Curva S) | unit_delivery | sales_revenue</t>
        </is>
      </c>
      <c r="D586" s="8" t="inlineStr">
        <is>
          <t>custos[24].distribuicao</t>
        </is>
      </c>
    </row>
    <row r="587">
      <c r="A587" s="5" t="inlineStr">
        <is>
          <t>Custo 24 — Cronograma</t>
        </is>
      </c>
      <c r="B587" s="6" t="n"/>
      <c r="C587" s="7" t="inlineStr">
        <is>
          <t>evento, customizado ou "fase: &lt;nome&gt;"</t>
        </is>
      </c>
      <c r="D587" s="8" t="inlineStr">
        <is>
          <t>custos[24].cronograma</t>
        </is>
      </c>
    </row>
    <row r="588">
      <c r="A588" s="5" t="inlineStr">
        <is>
          <t>Custo 24 — Início (só customizado)</t>
        </is>
      </c>
      <c r="B588" s="15" t="n"/>
      <c r="C588" s="7" t="inlineStr">
        <is>
          <t>mês (inteiro ≥ 0)</t>
        </is>
      </c>
      <c r="D588" s="8" t="inlineStr">
        <is>
          <t>custos[24].inicio_mes</t>
        </is>
      </c>
    </row>
    <row r="589">
      <c r="A589" s="5" t="inlineStr">
        <is>
          <t>Custo 24 — Duração (só customizado)</t>
        </is>
      </c>
      <c r="B589" s="15" t="n"/>
      <c r="C589" s="7" t="inlineStr">
        <is>
          <t>meses (inteiro ≥ 1)</t>
        </is>
      </c>
      <c r="D589" s="8" t="inlineStr">
        <is>
          <t>custos[24].duracao_meses</t>
        </is>
      </c>
    </row>
    <row r="590">
      <c r="A590" s="16" t="inlineStr">
        <is>
          <t>Custo 25</t>
        </is>
      </c>
    </row>
    <row r="591">
      <c r="A591" s="5" t="inlineStr">
        <is>
          <t>Custo 25 — Grupo</t>
        </is>
      </c>
      <c r="B591" s="6" t="n"/>
      <c r="C591" s="7" t="inlineStr">
        <is>
          <t>lista: terreno | obra | diretos | indireto | financeiro</t>
        </is>
      </c>
      <c r="D591" s="8" t="inlineStr">
        <is>
          <t>custos[25].grupo</t>
        </is>
      </c>
    </row>
    <row r="592">
      <c r="A592" s="5" t="inlineStr">
        <is>
          <t>Custo 25 — Categoria</t>
        </is>
      </c>
      <c r="B592" s="6" t="n"/>
      <c r="C592" s="7" t="inlineStr">
        <is>
          <t>ver tabela acima</t>
        </is>
      </c>
      <c r="D592" s="8" t="inlineStr">
        <is>
          <t>custos[25].categoria</t>
        </is>
      </c>
    </row>
    <row r="593">
      <c r="A593" s="5" t="inlineStr">
        <is>
          <t>Custo 25 — Subcategoria / descrição</t>
        </is>
      </c>
      <c r="B593" s="6" t="n"/>
      <c r="C593" s="7" t="inlineStr">
        <is>
          <t>Preço: Valor à vista | Parcelado; Outro: texto</t>
        </is>
      </c>
      <c r="D593" s="8" t="inlineStr">
        <is>
          <t>custos[25].subcategoria</t>
        </is>
      </c>
    </row>
    <row r="594">
      <c r="A594" s="5" t="inlineStr">
        <is>
          <t>Custo 25 — Unidade</t>
        </is>
      </c>
      <c r="B594" s="6" t="n"/>
      <c r="C594" s="7" t="inlineStr">
        <is>
          <t>lista: rs | rs_m2_priv | rs_m2_terreno | pct_vgv | pct_obra | pct_recebido | pct_constr</t>
        </is>
      </c>
      <c r="D594" s="8" t="inlineStr">
        <is>
          <t>custos[25].unidade</t>
        </is>
      </c>
    </row>
    <row r="595">
      <c r="A595" s="5" t="inlineStr">
        <is>
          <t>Custo 25 — Valor (R$ ou R$/m²)</t>
        </is>
      </c>
      <c r="B595" s="17" t="n"/>
      <c r="C595" s="7">
        <f>IF($B$594="","escolha a Unidade acima",IF($B$594="rs","R$ (valor cheio)",IF($B$594="rs_m2_priv","R$/m² privativo (fechada+aberta)",IF($B$594="rs_m2_terreno","R$/m² de terreno",IF(LEFT($B$594,3)="pct","— (use a linha de %)","unidade inválida")))))</f>
        <v/>
      </c>
      <c r="D595" s="8" t="inlineStr">
        <is>
          <t>custos[25].valor_rs</t>
        </is>
      </c>
    </row>
    <row r="596">
      <c r="A596" s="5" t="inlineStr">
        <is>
          <t>Custo 25 — Valor (%)</t>
        </is>
      </c>
      <c r="B596" s="12" t="n"/>
      <c r="C596" s="7">
        <f>IF($B$594="","escolha a Unidade acima",IF($B$594="pct_vgv","% do VGV",IF($B$594="pct_receita","% da receita líquida (RET, sem juros)",IF($B$594="pct_obra","% da obra (grupo Obras inteiro)",IF($B$594="pct_recebido","% do recebido (com juros de tabela)",IF($B$594="pct_constr","% da construção (constr.+decor.+gestão da obra)",IF(LEFT($B$594,2)="rs","— (use a linha de R$)","unidade inválida"))))))</f>
        <v/>
      </c>
      <c r="D596" s="8" t="inlineStr">
        <is>
          <t>custos[25].valor_pct</t>
        </is>
      </c>
    </row>
    <row r="597">
      <c r="A597" s="5" t="inlineStr">
        <is>
          <t>Custo 25 — Distribuição</t>
        </is>
      </c>
      <c r="B597" s="6" t="n"/>
      <c r="C597" s="7" t="inlineStr">
        <is>
          <t>Linear | nome de uma curva do catálogo (ex.: Curva S) | unit_delivery | sales_revenue</t>
        </is>
      </c>
      <c r="D597" s="8" t="inlineStr">
        <is>
          <t>custos[25].distribuicao</t>
        </is>
      </c>
    </row>
    <row r="598">
      <c r="A598" s="5" t="inlineStr">
        <is>
          <t>Custo 25 — Cronograma</t>
        </is>
      </c>
      <c r="B598" s="6" t="n"/>
      <c r="C598" s="7" t="inlineStr">
        <is>
          <t>evento, customizado ou "fase: &lt;nome&gt;"</t>
        </is>
      </c>
      <c r="D598" s="8" t="inlineStr">
        <is>
          <t>custos[25].cronograma</t>
        </is>
      </c>
    </row>
    <row r="599">
      <c r="A599" s="5" t="inlineStr">
        <is>
          <t>Custo 25 — Início (só customizado)</t>
        </is>
      </c>
      <c r="B599" s="15" t="n"/>
      <c r="C599" s="7" t="inlineStr">
        <is>
          <t>mês (inteiro ≥ 0)</t>
        </is>
      </c>
      <c r="D599" s="8" t="inlineStr">
        <is>
          <t>custos[25].inicio_mes</t>
        </is>
      </c>
    </row>
    <row r="600">
      <c r="A600" s="5" t="inlineStr">
        <is>
          <t>Custo 25 — Duração (só customizado)</t>
        </is>
      </c>
      <c r="B600" s="15" t="n"/>
      <c r="C600" s="7" t="inlineStr">
        <is>
          <t>meses (inteiro ≥ 1)</t>
        </is>
      </c>
      <c r="D600" s="8" t="inlineStr">
        <is>
          <t>custos[25].duracao_meses</t>
        </is>
      </c>
    </row>
    <row r="601">
      <c r="A601" s="16" t="inlineStr">
        <is>
          <t>Custo 26</t>
        </is>
      </c>
    </row>
    <row r="602">
      <c r="A602" s="5" t="inlineStr">
        <is>
          <t>Custo 26 — Grupo</t>
        </is>
      </c>
      <c r="B602" s="6" t="n"/>
      <c r="C602" s="7" t="inlineStr">
        <is>
          <t>lista: terreno | obra | diretos | indireto | financeiro</t>
        </is>
      </c>
      <c r="D602" s="8" t="inlineStr">
        <is>
          <t>custos[26].grupo</t>
        </is>
      </c>
    </row>
    <row r="603">
      <c r="A603" s="5" t="inlineStr">
        <is>
          <t>Custo 26 — Categoria</t>
        </is>
      </c>
      <c r="B603" s="6" t="n"/>
      <c r="C603" s="7" t="inlineStr">
        <is>
          <t>ver tabela acima</t>
        </is>
      </c>
      <c r="D603" s="8" t="inlineStr">
        <is>
          <t>custos[26].categoria</t>
        </is>
      </c>
    </row>
    <row r="604">
      <c r="A604" s="5" t="inlineStr">
        <is>
          <t>Custo 26 — Subcategoria / descrição</t>
        </is>
      </c>
      <c r="B604" s="6" t="n"/>
      <c r="C604" s="7" t="inlineStr">
        <is>
          <t>Preço: Valor à vista | Parcelado; Outro: texto</t>
        </is>
      </c>
      <c r="D604" s="8" t="inlineStr">
        <is>
          <t>custos[26].subcategoria</t>
        </is>
      </c>
    </row>
    <row r="605">
      <c r="A605" s="5" t="inlineStr">
        <is>
          <t>Custo 26 — Unidade</t>
        </is>
      </c>
      <c r="B605" s="6" t="n"/>
      <c r="C605" s="7" t="inlineStr">
        <is>
          <t>lista: rs | rs_m2_priv | rs_m2_terreno | pct_vgv | pct_obra | pct_recebido | pct_constr</t>
        </is>
      </c>
      <c r="D605" s="8" t="inlineStr">
        <is>
          <t>custos[26].unidade</t>
        </is>
      </c>
    </row>
    <row r="606">
      <c r="A606" s="5" t="inlineStr">
        <is>
          <t>Custo 26 — Valor (R$ ou R$/m²)</t>
        </is>
      </c>
      <c r="B606" s="17" t="n"/>
      <c r="C606" s="7">
        <f>IF($B$605="","escolha a Unidade acima",IF($B$605="rs","R$ (valor cheio)",IF($B$605="rs_m2_priv","R$/m² privativo (fechada+aberta)",IF($B$605="rs_m2_terreno","R$/m² de terreno",IF(LEFT($B$605,3)="pct","— (use a linha de %)","unidade inválida")))))</f>
        <v/>
      </c>
      <c r="D606" s="8" t="inlineStr">
        <is>
          <t>custos[26].valor_rs</t>
        </is>
      </c>
    </row>
    <row r="607">
      <c r="A607" s="5" t="inlineStr">
        <is>
          <t>Custo 26 — Valor (%)</t>
        </is>
      </c>
      <c r="B607" s="12" t="n"/>
      <c r="C607" s="7">
        <f>IF($B$605="","escolha a Unidade acima",IF($B$605="pct_vgv","% do VGV",IF($B$605="pct_receita","% da receita líquida (RET, sem juros)",IF($B$605="pct_obra","% da obra (grupo Obras inteiro)",IF($B$605="pct_recebido","% do recebido (com juros de tabela)",IF($B$605="pct_constr","% da construção (constr.+decor.+gestão da obra)",IF(LEFT($B$605,2)="rs","— (use a linha de R$)","unidade inválida"))))))</f>
        <v/>
      </c>
      <c r="D607" s="8" t="inlineStr">
        <is>
          <t>custos[26].valor_pct</t>
        </is>
      </c>
    </row>
    <row r="608">
      <c r="A608" s="5" t="inlineStr">
        <is>
          <t>Custo 26 — Distribuição</t>
        </is>
      </c>
      <c r="B608" s="6" t="n"/>
      <c r="C608" s="7" t="inlineStr">
        <is>
          <t>Linear | nome de uma curva do catálogo (ex.: Curva S) | unit_delivery | sales_revenue</t>
        </is>
      </c>
      <c r="D608" s="8" t="inlineStr">
        <is>
          <t>custos[26].distribuicao</t>
        </is>
      </c>
    </row>
    <row r="609">
      <c r="A609" s="5" t="inlineStr">
        <is>
          <t>Custo 26 — Cronograma</t>
        </is>
      </c>
      <c r="B609" s="6" t="n"/>
      <c r="C609" s="7" t="inlineStr">
        <is>
          <t>evento, customizado ou "fase: &lt;nome&gt;"</t>
        </is>
      </c>
      <c r="D609" s="8" t="inlineStr">
        <is>
          <t>custos[26].cronograma</t>
        </is>
      </c>
    </row>
    <row r="610">
      <c r="A610" s="5" t="inlineStr">
        <is>
          <t>Custo 26 — Início (só customizado)</t>
        </is>
      </c>
      <c r="B610" s="15" t="n"/>
      <c r="C610" s="7" t="inlineStr">
        <is>
          <t>mês (inteiro ≥ 0)</t>
        </is>
      </c>
      <c r="D610" s="8" t="inlineStr">
        <is>
          <t>custos[26].inicio_mes</t>
        </is>
      </c>
    </row>
    <row r="611">
      <c r="A611" s="5" t="inlineStr">
        <is>
          <t>Custo 26 — Duração (só customizado)</t>
        </is>
      </c>
      <c r="B611" s="15" t="n"/>
      <c r="C611" s="7" t="inlineStr">
        <is>
          <t>meses (inteiro ≥ 1)</t>
        </is>
      </c>
      <c r="D611" s="8" t="inlineStr">
        <is>
          <t>custos[26].duracao_meses</t>
        </is>
      </c>
    </row>
    <row r="612">
      <c r="A612" s="16" t="inlineStr">
        <is>
          <t>Custo 27</t>
        </is>
      </c>
    </row>
    <row r="613">
      <c r="A613" s="5" t="inlineStr">
        <is>
          <t>Custo 27 — Grupo</t>
        </is>
      </c>
      <c r="B613" s="6" t="n"/>
      <c r="C613" s="7" t="inlineStr">
        <is>
          <t>lista: terreno | obra | diretos | indireto | financeiro</t>
        </is>
      </c>
      <c r="D613" s="8" t="inlineStr">
        <is>
          <t>custos[27].grupo</t>
        </is>
      </c>
    </row>
    <row r="614">
      <c r="A614" s="5" t="inlineStr">
        <is>
          <t>Custo 27 — Categoria</t>
        </is>
      </c>
      <c r="B614" s="6" t="n"/>
      <c r="C614" s="7" t="inlineStr">
        <is>
          <t>ver tabela acima</t>
        </is>
      </c>
      <c r="D614" s="8" t="inlineStr">
        <is>
          <t>custos[27].categoria</t>
        </is>
      </c>
    </row>
    <row r="615">
      <c r="A615" s="5" t="inlineStr">
        <is>
          <t>Custo 27 — Subcategoria / descrição</t>
        </is>
      </c>
      <c r="B615" s="6" t="n"/>
      <c r="C615" s="7" t="inlineStr">
        <is>
          <t>Preço: Valor à vista | Parcelado; Outro: texto</t>
        </is>
      </c>
      <c r="D615" s="8" t="inlineStr">
        <is>
          <t>custos[27].subcategoria</t>
        </is>
      </c>
    </row>
    <row r="616">
      <c r="A616" s="5" t="inlineStr">
        <is>
          <t>Custo 27 — Unidade</t>
        </is>
      </c>
      <c r="B616" s="6" t="n"/>
      <c r="C616" s="7" t="inlineStr">
        <is>
          <t>lista: rs | rs_m2_priv | rs_m2_terreno | pct_vgv | pct_obra | pct_recebido | pct_constr</t>
        </is>
      </c>
      <c r="D616" s="8" t="inlineStr">
        <is>
          <t>custos[27].unidade</t>
        </is>
      </c>
    </row>
    <row r="617">
      <c r="A617" s="5" t="inlineStr">
        <is>
          <t>Custo 27 — Valor (R$ ou R$/m²)</t>
        </is>
      </c>
      <c r="B617" s="17" t="n"/>
      <c r="C617" s="7">
        <f>IF($B$616="","escolha a Unidade acima",IF($B$616="rs","R$ (valor cheio)",IF($B$616="rs_m2_priv","R$/m² privativo (fechada+aberta)",IF($B$616="rs_m2_terreno","R$/m² de terreno",IF(LEFT($B$616,3)="pct","— (use a linha de %)","unidade inválida")))))</f>
        <v/>
      </c>
      <c r="D617" s="8" t="inlineStr">
        <is>
          <t>custos[27].valor_rs</t>
        </is>
      </c>
    </row>
    <row r="618">
      <c r="A618" s="5" t="inlineStr">
        <is>
          <t>Custo 27 — Valor (%)</t>
        </is>
      </c>
      <c r="B618" s="12" t="n"/>
      <c r="C618" s="7">
        <f>IF($B$616="","escolha a Unidade acima",IF($B$616="pct_vgv","% do VGV",IF($B$616="pct_receita","% da receita líquida (RET, sem juros)",IF($B$616="pct_obra","% da obra (grupo Obras inteiro)",IF($B$616="pct_recebido","% do recebido (com juros de tabela)",IF($B$616="pct_constr","% da construção (constr.+decor.+gestão da obra)",IF(LEFT($B$616,2)="rs","— (use a linha de R$)","unidade inválida"))))))</f>
        <v/>
      </c>
      <c r="D618" s="8" t="inlineStr">
        <is>
          <t>custos[27].valor_pct</t>
        </is>
      </c>
    </row>
    <row r="619">
      <c r="A619" s="5" t="inlineStr">
        <is>
          <t>Custo 27 — Distribuição</t>
        </is>
      </c>
      <c r="B619" s="6" t="n"/>
      <c r="C619" s="7" t="inlineStr">
        <is>
          <t>Linear | nome de uma curva do catálogo (ex.: Curva S) | unit_delivery | sales_revenue</t>
        </is>
      </c>
      <c r="D619" s="8" t="inlineStr">
        <is>
          <t>custos[27].distribuicao</t>
        </is>
      </c>
    </row>
    <row r="620">
      <c r="A620" s="5" t="inlineStr">
        <is>
          <t>Custo 27 — Cronograma</t>
        </is>
      </c>
      <c r="B620" s="6" t="n"/>
      <c r="C620" s="7" t="inlineStr">
        <is>
          <t>evento, customizado ou "fase: &lt;nome&gt;"</t>
        </is>
      </c>
      <c r="D620" s="8" t="inlineStr">
        <is>
          <t>custos[27].cronograma</t>
        </is>
      </c>
    </row>
    <row r="621">
      <c r="A621" s="5" t="inlineStr">
        <is>
          <t>Custo 27 — Início (só customizado)</t>
        </is>
      </c>
      <c r="B621" s="15" t="n"/>
      <c r="C621" s="7" t="inlineStr">
        <is>
          <t>mês (inteiro ≥ 0)</t>
        </is>
      </c>
      <c r="D621" s="8" t="inlineStr">
        <is>
          <t>custos[27].inicio_mes</t>
        </is>
      </c>
    </row>
    <row r="622">
      <c r="A622" s="5" t="inlineStr">
        <is>
          <t>Custo 27 — Duração (só customizado)</t>
        </is>
      </c>
      <c r="B622" s="15" t="n"/>
      <c r="C622" s="7" t="inlineStr">
        <is>
          <t>meses (inteiro ≥ 1)</t>
        </is>
      </c>
      <c r="D622" s="8" t="inlineStr">
        <is>
          <t>custos[27].duracao_meses</t>
        </is>
      </c>
    </row>
    <row r="623">
      <c r="A623" s="16" t="inlineStr">
        <is>
          <t>Custo 28</t>
        </is>
      </c>
    </row>
    <row r="624">
      <c r="A624" s="5" t="inlineStr">
        <is>
          <t>Custo 28 — Grupo</t>
        </is>
      </c>
      <c r="B624" s="6" t="n"/>
      <c r="C624" s="7" t="inlineStr">
        <is>
          <t>lista: terreno | obra | diretos | indireto | financeiro</t>
        </is>
      </c>
      <c r="D624" s="8" t="inlineStr">
        <is>
          <t>custos[28].grupo</t>
        </is>
      </c>
    </row>
    <row r="625">
      <c r="A625" s="5" t="inlineStr">
        <is>
          <t>Custo 28 — Categoria</t>
        </is>
      </c>
      <c r="B625" s="6" t="n"/>
      <c r="C625" s="7" t="inlineStr">
        <is>
          <t>ver tabela acima</t>
        </is>
      </c>
      <c r="D625" s="8" t="inlineStr">
        <is>
          <t>custos[28].categoria</t>
        </is>
      </c>
    </row>
    <row r="626">
      <c r="A626" s="5" t="inlineStr">
        <is>
          <t>Custo 28 — Subcategoria / descrição</t>
        </is>
      </c>
      <c r="B626" s="6" t="n"/>
      <c r="C626" s="7" t="inlineStr">
        <is>
          <t>Preço: Valor à vista | Parcelado; Outro: texto</t>
        </is>
      </c>
      <c r="D626" s="8" t="inlineStr">
        <is>
          <t>custos[28].subcategoria</t>
        </is>
      </c>
    </row>
    <row r="627">
      <c r="A627" s="5" t="inlineStr">
        <is>
          <t>Custo 28 — Unidade</t>
        </is>
      </c>
      <c r="B627" s="6" t="n"/>
      <c r="C627" s="7" t="inlineStr">
        <is>
          <t>lista: rs | rs_m2_priv | rs_m2_terreno | pct_vgv | pct_obra | pct_recebido | pct_constr</t>
        </is>
      </c>
      <c r="D627" s="8" t="inlineStr">
        <is>
          <t>custos[28].unidade</t>
        </is>
      </c>
    </row>
    <row r="628">
      <c r="A628" s="5" t="inlineStr">
        <is>
          <t>Custo 28 — Valor (R$ ou R$/m²)</t>
        </is>
      </c>
      <c r="B628" s="17" t="n"/>
      <c r="C628" s="7">
        <f>IF($B$627="","escolha a Unidade acima",IF($B$627="rs","R$ (valor cheio)",IF($B$627="rs_m2_priv","R$/m² privativo (fechada+aberta)",IF($B$627="rs_m2_terreno","R$/m² de terreno",IF(LEFT($B$627,3)="pct","— (use a linha de %)","unidade inválida")))))</f>
        <v/>
      </c>
      <c r="D628" s="8" t="inlineStr">
        <is>
          <t>custos[28].valor_rs</t>
        </is>
      </c>
    </row>
    <row r="629">
      <c r="A629" s="5" t="inlineStr">
        <is>
          <t>Custo 28 — Valor (%)</t>
        </is>
      </c>
      <c r="B629" s="12" t="n"/>
      <c r="C629" s="7">
        <f>IF($B$627="","escolha a Unidade acima",IF($B$627="pct_vgv","% do VGV",IF($B$627="pct_receita","% da receita líquida (RET, sem juros)",IF($B$627="pct_obra","% da obra (grupo Obras inteiro)",IF($B$627="pct_recebido","% do recebido (com juros de tabela)",IF($B$627="pct_constr","% da construção (constr.+decor.+gestão da obra)",IF(LEFT($B$627,2)="rs","— (use a linha de R$)","unidade inválida"))))))</f>
        <v/>
      </c>
      <c r="D629" s="8" t="inlineStr">
        <is>
          <t>custos[28].valor_pct</t>
        </is>
      </c>
    </row>
    <row r="630">
      <c r="A630" s="5" t="inlineStr">
        <is>
          <t>Custo 28 — Distribuição</t>
        </is>
      </c>
      <c r="B630" s="6" t="n"/>
      <c r="C630" s="7" t="inlineStr">
        <is>
          <t>Linear | nome de uma curva do catálogo (ex.: Curva S) | unit_delivery | sales_revenue</t>
        </is>
      </c>
      <c r="D630" s="8" t="inlineStr">
        <is>
          <t>custos[28].distribuicao</t>
        </is>
      </c>
    </row>
    <row r="631">
      <c r="A631" s="5" t="inlineStr">
        <is>
          <t>Custo 28 — Cronograma</t>
        </is>
      </c>
      <c r="B631" s="6" t="n"/>
      <c r="C631" s="7" t="inlineStr">
        <is>
          <t>evento, customizado ou "fase: &lt;nome&gt;"</t>
        </is>
      </c>
      <c r="D631" s="8" t="inlineStr">
        <is>
          <t>custos[28].cronograma</t>
        </is>
      </c>
    </row>
    <row r="632">
      <c r="A632" s="5" t="inlineStr">
        <is>
          <t>Custo 28 — Início (só customizado)</t>
        </is>
      </c>
      <c r="B632" s="15" t="n"/>
      <c r="C632" s="7" t="inlineStr">
        <is>
          <t>mês (inteiro ≥ 0)</t>
        </is>
      </c>
      <c r="D632" s="8" t="inlineStr">
        <is>
          <t>custos[28].inicio_mes</t>
        </is>
      </c>
    </row>
    <row r="633">
      <c r="A633" s="5" t="inlineStr">
        <is>
          <t>Custo 28 — Duração (só customizado)</t>
        </is>
      </c>
      <c r="B633" s="15" t="n"/>
      <c r="C633" s="7" t="inlineStr">
        <is>
          <t>meses (inteiro ≥ 1)</t>
        </is>
      </c>
      <c r="D633" s="8" t="inlineStr">
        <is>
          <t>custos[28].duracao_meses</t>
        </is>
      </c>
    </row>
    <row r="634">
      <c r="A634" s="16" t="inlineStr">
        <is>
          <t>Permuta física do terreno (terreno / Preço / Permuta física) — até 2</t>
        </is>
      </c>
    </row>
    <row r="635">
      <c r="A635" s="5" t="inlineStr">
        <is>
          <t>Permuta física 1 — Tipologia entregue</t>
        </is>
      </c>
      <c r="B635" s="6" t="n"/>
      <c r="C635" s="7" t="inlineStr">
        <is>
          <t>nome do tipologia</t>
        </is>
      </c>
      <c r="D635" s="8" t="inlineStr">
        <is>
          <t>permuta_fisica[1].tipologia</t>
        </is>
      </c>
    </row>
    <row r="636">
      <c r="A636" s="5" t="inlineStr">
        <is>
          <t>Permuta física 1 — Unidades entregues</t>
        </is>
      </c>
      <c r="B636" s="15" t="n"/>
      <c r="C636" s="7" t="inlineStr">
        <is>
          <t>unidades (≤ alocado)</t>
        </is>
      </c>
      <c r="D636" s="8" t="inlineStr">
        <is>
          <t>permuta_fisica[1].unidades</t>
        </is>
      </c>
    </row>
    <row r="637">
      <c r="A637" s="5" t="inlineStr">
        <is>
          <t>Permuta física 2 — Tipologia entregue</t>
        </is>
      </c>
      <c r="B637" s="6" t="n"/>
      <c r="C637" s="7" t="inlineStr">
        <is>
          <t>nome do tipologia</t>
        </is>
      </c>
      <c r="D637" s="8" t="inlineStr">
        <is>
          <t>permuta_fisica[2].tipologia</t>
        </is>
      </c>
    </row>
    <row r="638">
      <c r="A638" s="5" t="inlineStr">
        <is>
          <t>Permuta física 2 — Unidades entregues</t>
        </is>
      </c>
      <c r="B638" s="15" t="n"/>
      <c r="C638" s="7" t="inlineStr">
        <is>
          <t>unidades (≤ alocado)</t>
        </is>
      </c>
      <c r="D638" s="8" t="inlineStr">
        <is>
          <t>permuta_fisica[2].unidades</t>
        </is>
      </c>
    </row>
    <row r="639">
      <c r="A639" s="16" t="inlineStr">
        <is>
          <t>Permuta financeira do terreno (terreno / Preço / Permuta financeira) — até 2</t>
        </is>
      </c>
    </row>
    <row r="640">
      <c r="A640" s="5" t="inlineStr">
        <is>
          <t>Permuta financeira 1 — Unidade</t>
        </is>
      </c>
      <c r="B640" s="6" t="n"/>
      <c r="C640" s="7" t="inlineStr">
        <is>
          <t>lista: rs | pct_vgv</t>
        </is>
      </c>
      <c r="D640" s="8" t="inlineStr">
        <is>
          <t>permuta_financeira[1].unidade</t>
        </is>
      </c>
    </row>
    <row r="641">
      <c r="A641" s="5" t="inlineStr">
        <is>
          <t>Permuta financeira 1 — Valor em R$</t>
        </is>
      </c>
      <c r="B641" s="17" t="n"/>
      <c r="C641" s="7" t="inlineStr">
        <is>
          <t>R$ (valor cheio; se unidade = rs)</t>
        </is>
      </c>
      <c r="D641" s="8" t="inlineStr">
        <is>
          <t>permuta_financeira[1].valor_rs</t>
        </is>
      </c>
    </row>
    <row r="642">
      <c r="A642" s="5" t="inlineStr">
        <is>
          <t>Permuta financeira 1 — Valor em % do VGV</t>
        </is>
      </c>
      <c r="B642" s="12" t="n"/>
      <c r="C642" s="7" t="inlineStr">
        <is>
          <t>% do VGV (se unidade = pct_vgv)</t>
        </is>
      </c>
      <c r="D642" s="8" t="inlineStr">
        <is>
          <t>permuta_financeira[1].valor_pct</t>
        </is>
      </c>
    </row>
    <row r="643">
      <c r="A643" s="5" t="inlineStr">
        <is>
          <t>Permuta financeira 1 — Deduzir impostos</t>
        </is>
      </c>
      <c r="B643" s="6" t="n"/>
      <c r="C643" s="7" t="inlineStr">
        <is>
          <t>Sim/Não</t>
        </is>
      </c>
      <c r="D643" s="8" t="inlineStr">
        <is>
          <t>permuta_financeira[1].deduzir_imposto</t>
        </is>
      </c>
    </row>
    <row r="644">
      <c r="A644" s="5" t="inlineStr">
        <is>
          <t>Permuta financeira 1 — Deduzir corretagem</t>
        </is>
      </c>
      <c r="B644" s="6" t="n"/>
      <c r="C644" s="7" t="inlineStr">
        <is>
          <t>Sim/Não</t>
        </is>
      </c>
      <c r="D644" s="8" t="inlineStr">
        <is>
          <t>permuta_financeira[1].deduzir_corretagem</t>
        </is>
      </c>
    </row>
    <row r="645">
      <c r="A645" s="5" t="inlineStr">
        <is>
          <t>Permuta financeira 2 — Unidade</t>
        </is>
      </c>
      <c r="B645" s="6" t="n"/>
      <c r="C645" s="7" t="inlineStr">
        <is>
          <t>lista: rs | pct_vgv</t>
        </is>
      </c>
      <c r="D645" s="8" t="inlineStr">
        <is>
          <t>permuta_financeira[2].unidade</t>
        </is>
      </c>
    </row>
    <row r="646">
      <c r="A646" s="5" t="inlineStr">
        <is>
          <t>Permuta financeira 2 — Valor em R$</t>
        </is>
      </c>
      <c r="B646" s="17" t="n"/>
      <c r="C646" s="7" t="inlineStr">
        <is>
          <t>R$ (valor cheio; se unidade = rs)</t>
        </is>
      </c>
      <c r="D646" s="8" t="inlineStr">
        <is>
          <t>permuta_financeira[2].valor_rs</t>
        </is>
      </c>
    </row>
    <row r="647">
      <c r="A647" s="5" t="inlineStr">
        <is>
          <t>Permuta financeira 2 — Valor em % do VGV</t>
        </is>
      </c>
      <c r="B647" s="12" t="n"/>
      <c r="C647" s="7" t="inlineStr">
        <is>
          <t>% do VGV (se unidade = pct_vgv)</t>
        </is>
      </c>
      <c r="D647" s="8" t="inlineStr">
        <is>
          <t>permuta_financeira[2].valor_pct</t>
        </is>
      </c>
    </row>
    <row r="648">
      <c r="A648" s="5" t="inlineStr">
        <is>
          <t>Permuta financeira 2 — Deduzir impostos</t>
        </is>
      </c>
      <c r="B648" s="6" t="n"/>
      <c r="C648" s="7" t="inlineStr">
        <is>
          <t>Sim/Não</t>
        </is>
      </c>
      <c r="D648" s="8" t="inlineStr">
        <is>
          <t>permuta_financeira[2].deduzir_imposto</t>
        </is>
      </c>
    </row>
    <row r="649">
      <c r="A649" s="5" t="inlineStr">
        <is>
          <t>Permuta financeira 2 — Deduzir corretagem</t>
        </is>
      </c>
      <c r="B649" s="6" t="n"/>
      <c r="C649" s="7" t="inlineStr">
        <is>
          <t>Sim/Não</t>
        </is>
      </c>
      <c r="D649" s="8" t="inlineStr">
        <is>
          <t>permuta_financeira[2].deduzir_corretagem</t>
        </is>
      </c>
    </row>
    <row r="650" ht="20" customHeight="1">
      <c r="A650" s="4" t="inlineStr">
        <is>
          <t>10 · Funding (operações) — 1 financiamento à produção + 3 dívidas + 3 equities; deixe em branco o que não existir</t>
        </is>
      </c>
    </row>
    <row r="651">
      <c r="A651" s="16" t="inlineStr">
        <is>
          <t>Financiamento à produção (no máximo um por estudo)</t>
        </is>
      </c>
    </row>
    <row r="652">
      <c r="A652" s="5" t="inlineStr">
        <is>
          <t>Financiamento à produção — Nome</t>
        </is>
      </c>
      <c r="B652" s="6" t="n"/>
      <c r="C652" s="7" t="inlineStr">
        <is>
          <t>texto</t>
        </is>
      </c>
      <c r="D652" s="8" t="inlineStr">
        <is>
          <t>funding.financiamento_producao.nome</t>
        </is>
      </c>
    </row>
    <row r="653">
      <c r="A653" s="5" t="inlineStr">
        <is>
          <t>Financiamento à produção — Ativo</t>
        </is>
      </c>
      <c r="B653" s="6" t="n"/>
      <c r="C653" s="7" t="inlineStr">
        <is>
          <t>Sim/Não</t>
        </is>
      </c>
      <c r="D653" s="8" t="inlineStr">
        <is>
          <t>funding.financiamento_producao.ativo</t>
        </is>
      </c>
    </row>
    <row r="654">
      <c r="A654" s="5" t="inlineStr">
        <is>
          <t>Financiamento à produção — Teto</t>
        </is>
      </c>
      <c r="B654" s="17" t="n"/>
      <c r="C654" s="7" t="inlineStr">
        <is>
          <t>R$ (0 = sem teto)</t>
        </is>
      </c>
      <c r="D654" s="8" t="inlineStr">
        <is>
          <t>funding.financiamento_producao.valor</t>
        </is>
      </c>
    </row>
    <row r="655">
      <c r="A655" s="5" t="inlineStr">
        <is>
          <t>Financiamento à produção — Taxa</t>
        </is>
      </c>
      <c r="B655" s="12" t="n"/>
      <c r="C655" s="7" t="inlineStr">
        <is>
          <t>% a.a.</t>
        </is>
      </c>
      <c r="D655" s="8" t="inlineStr">
        <is>
          <t>funding.financiamento_producao.taxa_anual</t>
        </is>
      </c>
    </row>
    <row r="656">
      <c r="A656" s="5" t="inlineStr">
        <is>
          <t>Financiamento à produção — Exposição mínima</t>
        </is>
      </c>
      <c r="B656" s="12" t="n"/>
      <c r="C656" s="7" t="inlineStr">
        <is>
          <t>% (do custo)</t>
        </is>
      </c>
      <c r="D656" s="8" t="inlineStr">
        <is>
          <t>funding.financiamento_producao.exposicao_minima</t>
        </is>
      </c>
    </row>
    <row r="657">
      <c r="A657" s="5" t="inlineStr">
        <is>
          <t>Financiamento à produção — % do custo financiado</t>
        </is>
      </c>
      <c r="B657" s="12" t="n"/>
      <c r="C657" s="7" t="inlineStr">
        <is>
          <t>%</t>
        </is>
      </c>
      <c r="D657" s="8" t="inlineStr">
        <is>
          <t>funding.financiamento_producao.percentual_financiavel</t>
        </is>
      </c>
    </row>
    <row r="658">
      <c r="A658" s="5" t="inlineStr">
        <is>
          <t>Financiamento à produção — Caixa amortiza antes das chaves</t>
        </is>
      </c>
      <c r="B658" s="6" t="n"/>
      <c r="C658" s="7" t="inlineStr">
        <is>
          <t>Sim/Não</t>
        </is>
      </c>
      <c r="D658" s="8" t="inlineStr">
        <is>
          <t>funding.financiamento_producao.amortizar_com_caixa_disponivel</t>
        </is>
      </c>
    </row>
    <row r="659">
      <c r="A659" s="5" t="inlineStr">
        <is>
          <t>Financiamento à produção — Base financiável</t>
        </is>
      </c>
      <c r="B659" s="6" t="n"/>
      <c r="C659" s="7" t="inlineStr">
        <is>
          <t>linhas de custo separadas por ";" — Categoria ou Categoria / Subcategoria; vazio = padrão</t>
        </is>
      </c>
      <c r="D659" s="8" t="inlineStr">
        <is>
          <t>funding.financiamento_producao.base_financiavel</t>
        </is>
      </c>
    </row>
    <row r="660">
      <c r="A660" s="16" t="inlineStr">
        <is>
          <t>Dívida 1</t>
        </is>
      </c>
    </row>
    <row r="661">
      <c r="A661" s="5" t="inlineStr">
        <is>
          <t>Dívida 1 — Nome</t>
        </is>
      </c>
      <c r="B661" s="6" t="n"/>
      <c r="C661" s="7" t="inlineStr">
        <is>
          <t>texto</t>
        </is>
      </c>
      <c r="D661" s="8" t="inlineStr">
        <is>
          <t>funding.divida[1].nome</t>
        </is>
      </c>
    </row>
    <row r="662">
      <c r="A662" s="5" t="inlineStr">
        <is>
          <t>Dívida 1 — Valor</t>
        </is>
      </c>
      <c r="B662" s="17" t="n"/>
      <c r="C662" s="7" t="inlineStr">
        <is>
          <t>R$ (valor cheio)</t>
        </is>
      </c>
      <c r="D662" s="8" t="inlineStr">
        <is>
          <t>funding.divida[1].valor</t>
        </is>
      </c>
    </row>
    <row r="663">
      <c r="A663" s="5" t="inlineStr">
        <is>
          <t>Dívida 1 — Mês do aporte</t>
        </is>
      </c>
      <c r="B663" s="6" t="n"/>
      <c r="C663" s="7" t="inlineStr">
        <is>
          <t>evento, fase ("fase: &lt;nome&gt;") ou customizado</t>
        </is>
      </c>
      <c r="D663" s="8" t="inlineStr">
        <is>
          <t>funding.divida[1].aporte</t>
        </is>
      </c>
    </row>
    <row r="664">
      <c r="A664" s="5" t="inlineStr">
        <is>
          <t>Dívida 1 — Mês (só customizado)</t>
        </is>
      </c>
      <c r="B664" s="15" t="n"/>
      <c r="C664" s="7" t="inlineStr">
        <is>
          <t>mês (inteiro ≥ 0)</t>
        </is>
      </c>
      <c r="D664" s="8" t="inlineStr">
        <is>
          <t>funding.divida[1].mes</t>
        </is>
      </c>
    </row>
    <row r="665">
      <c r="A665" s="5" t="inlineStr">
        <is>
          <t>Dívida 1 — Distribuir aporte</t>
        </is>
      </c>
      <c r="B665" s="6" t="n"/>
      <c r="C665" s="7" t="inlineStr">
        <is>
          <t>Sim/Não</t>
        </is>
      </c>
      <c r="D665" s="8" t="inlineStr">
        <is>
          <t>funding.divida[1].distribuir_aporte</t>
        </is>
      </c>
    </row>
    <row r="666">
      <c r="A666" s="5" t="inlineStr">
        <is>
          <t>Dívida 1 — Aporte em</t>
        </is>
      </c>
      <c r="B666" s="15" t="n"/>
      <c r="C666" s="7" t="inlineStr">
        <is>
          <t>meses (≥ 1)</t>
        </is>
      </c>
      <c r="D666" s="8" t="inlineStr">
        <is>
          <t>funding.divida[1].aporte_meses</t>
        </is>
      </c>
    </row>
    <row r="667">
      <c r="A667" s="5" t="inlineStr">
        <is>
          <t>Dívida 1 — Taxa</t>
        </is>
      </c>
      <c r="B667" s="12" t="n"/>
      <c r="C667" s="7" t="inlineStr">
        <is>
          <t>% a.a.</t>
        </is>
      </c>
      <c r="D667" s="8" t="inlineStr">
        <is>
          <t>funding.divida[1].taxa_anual</t>
        </is>
      </c>
    </row>
    <row r="668">
      <c r="A668" s="5" t="inlineStr">
        <is>
          <t>Dívida 1 — Amortização</t>
        </is>
      </c>
      <c r="B668" s="15" t="n"/>
      <c r="C668" s="7" t="inlineStr">
        <is>
          <t>meses</t>
        </is>
      </c>
      <c r="D668" s="8" t="inlineStr">
        <is>
          <t>funding.divida[1].amortizacao_meses</t>
        </is>
      </c>
    </row>
    <row r="669">
      <c r="A669" s="5" t="inlineStr">
        <is>
          <t>Dívida 1 — Carência</t>
        </is>
      </c>
      <c r="B669" s="15" t="n"/>
      <c r="C669" s="7" t="inlineStr">
        <is>
          <t>meses (&lt; amortização)</t>
        </is>
      </c>
      <c r="D669" s="8" t="inlineStr">
        <is>
          <t>funding.divida[1].carencia_meses</t>
        </is>
      </c>
    </row>
    <row r="670">
      <c r="A670" s="5" t="inlineStr">
        <is>
          <t>Dívida 1 — Estruturação</t>
        </is>
      </c>
      <c r="B670" s="12" t="n"/>
      <c r="C670" s="7" t="inlineStr">
        <is>
          <t>% do valor</t>
        </is>
      </c>
      <c r="D670" s="8" t="inlineStr">
        <is>
          <t>funding.divida[1].estruturacao_pct</t>
        </is>
      </c>
    </row>
    <row r="671">
      <c r="A671" s="5" t="inlineStr">
        <is>
          <t>Dívida 1 — Administração</t>
        </is>
      </c>
      <c r="B671" s="17" t="n"/>
      <c r="C671" s="7" t="inlineStr">
        <is>
          <t>R$/mês</t>
        </is>
      </c>
      <c r="D671" s="8" t="inlineStr">
        <is>
          <t>funding.divida[1].administracao_mensal</t>
        </is>
      </c>
    </row>
    <row r="672">
      <c r="A672" s="5" t="inlineStr">
        <is>
          <t>Dívida 1 — Outros encargos</t>
        </is>
      </c>
      <c r="B672" s="17" t="n"/>
      <c r="C672" s="7" t="inlineStr">
        <is>
          <t>R$ (iniciais)</t>
        </is>
      </c>
      <c r="D672" s="8" t="inlineStr">
        <is>
          <t>funding.divida[1].outros_encargos</t>
        </is>
      </c>
    </row>
    <row r="673">
      <c r="A673" s="16" t="inlineStr">
        <is>
          <t>Dívida 2</t>
        </is>
      </c>
    </row>
    <row r="674">
      <c r="A674" s="5" t="inlineStr">
        <is>
          <t>Dívida 2 — Nome</t>
        </is>
      </c>
      <c r="B674" s="6" t="n"/>
      <c r="C674" s="7" t="inlineStr">
        <is>
          <t>texto</t>
        </is>
      </c>
      <c r="D674" s="8" t="inlineStr">
        <is>
          <t>funding.divida[2].nome</t>
        </is>
      </c>
    </row>
    <row r="675">
      <c r="A675" s="5" t="inlineStr">
        <is>
          <t>Dívida 2 — Valor</t>
        </is>
      </c>
      <c r="B675" s="17" t="n"/>
      <c r="C675" s="7" t="inlineStr">
        <is>
          <t>R$ (valor cheio)</t>
        </is>
      </c>
      <c r="D675" s="8" t="inlineStr">
        <is>
          <t>funding.divida[2].valor</t>
        </is>
      </c>
    </row>
    <row r="676">
      <c r="A676" s="5" t="inlineStr">
        <is>
          <t>Dívida 2 — Mês do aporte</t>
        </is>
      </c>
      <c r="B676" s="6" t="n"/>
      <c r="C676" s="7" t="inlineStr">
        <is>
          <t>evento, fase ("fase: &lt;nome&gt;") ou customizado</t>
        </is>
      </c>
      <c r="D676" s="8" t="inlineStr">
        <is>
          <t>funding.divida[2].aporte</t>
        </is>
      </c>
    </row>
    <row r="677">
      <c r="A677" s="5" t="inlineStr">
        <is>
          <t>Dívida 2 — Mês (só customizado)</t>
        </is>
      </c>
      <c r="B677" s="15" t="n"/>
      <c r="C677" s="7" t="inlineStr">
        <is>
          <t>mês (inteiro ≥ 0)</t>
        </is>
      </c>
      <c r="D677" s="8" t="inlineStr">
        <is>
          <t>funding.divida[2].mes</t>
        </is>
      </c>
    </row>
    <row r="678">
      <c r="A678" s="5" t="inlineStr">
        <is>
          <t>Dívida 2 — Distribuir aporte</t>
        </is>
      </c>
      <c r="B678" s="6" t="n"/>
      <c r="C678" s="7" t="inlineStr">
        <is>
          <t>Sim/Não</t>
        </is>
      </c>
      <c r="D678" s="8" t="inlineStr">
        <is>
          <t>funding.divida[2].distribuir_aporte</t>
        </is>
      </c>
    </row>
    <row r="679">
      <c r="A679" s="5" t="inlineStr">
        <is>
          <t>Dívida 2 — Aporte em</t>
        </is>
      </c>
      <c r="B679" s="15" t="n"/>
      <c r="C679" s="7" t="inlineStr">
        <is>
          <t>meses (≥ 1)</t>
        </is>
      </c>
      <c r="D679" s="8" t="inlineStr">
        <is>
          <t>funding.divida[2].aporte_meses</t>
        </is>
      </c>
    </row>
    <row r="680">
      <c r="A680" s="5" t="inlineStr">
        <is>
          <t>Dívida 2 — Taxa</t>
        </is>
      </c>
      <c r="B680" s="12" t="n"/>
      <c r="C680" s="7" t="inlineStr">
        <is>
          <t>% a.a.</t>
        </is>
      </c>
      <c r="D680" s="8" t="inlineStr">
        <is>
          <t>funding.divida[2].taxa_anual</t>
        </is>
      </c>
    </row>
    <row r="681">
      <c r="A681" s="5" t="inlineStr">
        <is>
          <t>Dívida 2 — Amortização</t>
        </is>
      </c>
      <c r="B681" s="15" t="n"/>
      <c r="C681" s="7" t="inlineStr">
        <is>
          <t>meses</t>
        </is>
      </c>
      <c r="D681" s="8" t="inlineStr">
        <is>
          <t>funding.divida[2].amortizacao_meses</t>
        </is>
      </c>
    </row>
    <row r="682">
      <c r="A682" s="5" t="inlineStr">
        <is>
          <t>Dívida 2 — Carência</t>
        </is>
      </c>
      <c r="B682" s="15" t="n"/>
      <c r="C682" s="7" t="inlineStr">
        <is>
          <t>meses (&lt; amortização)</t>
        </is>
      </c>
      <c r="D682" s="8" t="inlineStr">
        <is>
          <t>funding.divida[2].carencia_meses</t>
        </is>
      </c>
    </row>
    <row r="683">
      <c r="A683" s="5" t="inlineStr">
        <is>
          <t>Dívida 2 — Estruturação</t>
        </is>
      </c>
      <c r="B683" s="12" t="n"/>
      <c r="C683" s="7" t="inlineStr">
        <is>
          <t>% do valor</t>
        </is>
      </c>
      <c r="D683" s="8" t="inlineStr">
        <is>
          <t>funding.divida[2].estruturacao_pct</t>
        </is>
      </c>
    </row>
    <row r="684">
      <c r="A684" s="5" t="inlineStr">
        <is>
          <t>Dívida 2 — Administração</t>
        </is>
      </c>
      <c r="B684" s="17" t="n"/>
      <c r="C684" s="7" t="inlineStr">
        <is>
          <t>R$/mês</t>
        </is>
      </c>
      <c r="D684" s="8" t="inlineStr">
        <is>
          <t>funding.divida[2].administracao_mensal</t>
        </is>
      </c>
    </row>
    <row r="685">
      <c r="A685" s="5" t="inlineStr">
        <is>
          <t>Dívida 2 — Outros encargos</t>
        </is>
      </c>
      <c r="B685" s="17" t="n"/>
      <c r="C685" s="7" t="inlineStr">
        <is>
          <t>R$ (iniciais)</t>
        </is>
      </c>
      <c r="D685" s="8" t="inlineStr">
        <is>
          <t>funding.divida[2].outros_encargos</t>
        </is>
      </c>
    </row>
    <row r="686">
      <c r="A686" s="16" t="inlineStr">
        <is>
          <t>Dívida 3</t>
        </is>
      </c>
    </row>
    <row r="687">
      <c r="A687" s="5" t="inlineStr">
        <is>
          <t>Dívida 3 — Nome</t>
        </is>
      </c>
      <c r="B687" s="6" t="n"/>
      <c r="C687" s="7" t="inlineStr">
        <is>
          <t>texto</t>
        </is>
      </c>
      <c r="D687" s="8" t="inlineStr">
        <is>
          <t>funding.divida[3].nome</t>
        </is>
      </c>
    </row>
    <row r="688">
      <c r="A688" s="5" t="inlineStr">
        <is>
          <t>Dívida 3 — Valor</t>
        </is>
      </c>
      <c r="B688" s="17" t="n"/>
      <c r="C688" s="7" t="inlineStr">
        <is>
          <t>R$ (valor cheio)</t>
        </is>
      </c>
      <c r="D688" s="8" t="inlineStr">
        <is>
          <t>funding.divida[3].valor</t>
        </is>
      </c>
    </row>
    <row r="689">
      <c r="A689" s="5" t="inlineStr">
        <is>
          <t>Dívida 3 — Mês do aporte</t>
        </is>
      </c>
      <c r="B689" s="6" t="n"/>
      <c r="C689" s="7" t="inlineStr">
        <is>
          <t>evento, fase ("fase: &lt;nome&gt;") ou customizado</t>
        </is>
      </c>
      <c r="D689" s="8" t="inlineStr">
        <is>
          <t>funding.divida[3].aporte</t>
        </is>
      </c>
    </row>
    <row r="690">
      <c r="A690" s="5" t="inlineStr">
        <is>
          <t>Dívida 3 — Mês (só customizado)</t>
        </is>
      </c>
      <c r="B690" s="15" t="n"/>
      <c r="C690" s="7" t="inlineStr">
        <is>
          <t>mês (inteiro ≥ 0)</t>
        </is>
      </c>
      <c r="D690" s="8" t="inlineStr">
        <is>
          <t>funding.divida[3].mes</t>
        </is>
      </c>
    </row>
    <row r="691">
      <c r="A691" s="5" t="inlineStr">
        <is>
          <t>Dívida 3 — Distribuir aporte</t>
        </is>
      </c>
      <c r="B691" s="6" t="n"/>
      <c r="C691" s="7" t="inlineStr">
        <is>
          <t>Sim/Não</t>
        </is>
      </c>
      <c r="D691" s="8" t="inlineStr">
        <is>
          <t>funding.divida[3].distribuir_aporte</t>
        </is>
      </c>
    </row>
    <row r="692">
      <c r="A692" s="5" t="inlineStr">
        <is>
          <t>Dívida 3 — Aporte em</t>
        </is>
      </c>
      <c r="B692" s="15" t="n"/>
      <c r="C692" s="7" t="inlineStr">
        <is>
          <t>meses (≥ 1)</t>
        </is>
      </c>
      <c r="D692" s="8" t="inlineStr">
        <is>
          <t>funding.divida[3].aporte_meses</t>
        </is>
      </c>
    </row>
    <row r="693">
      <c r="A693" s="5" t="inlineStr">
        <is>
          <t>Dívida 3 — Taxa</t>
        </is>
      </c>
      <c r="B693" s="12" t="n"/>
      <c r="C693" s="7" t="inlineStr">
        <is>
          <t>% a.a.</t>
        </is>
      </c>
      <c r="D693" s="8" t="inlineStr">
        <is>
          <t>funding.divida[3].taxa_anual</t>
        </is>
      </c>
    </row>
    <row r="694">
      <c r="A694" s="5" t="inlineStr">
        <is>
          <t>Dívida 3 — Amortização</t>
        </is>
      </c>
      <c r="B694" s="15" t="n"/>
      <c r="C694" s="7" t="inlineStr">
        <is>
          <t>meses</t>
        </is>
      </c>
      <c r="D694" s="8" t="inlineStr">
        <is>
          <t>funding.divida[3].amortizacao_meses</t>
        </is>
      </c>
    </row>
    <row r="695">
      <c r="A695" s="5" t="inlineStr">
        <is>
          <t>Dívida 3 — Carência</t>
        </is>
      </c>
      <c r="B695" s="15" t="n"/>
      <c r="C695" s="7" t="inlineStr">
        <is>
          <t>meses (&lt; amortização)</t>
        </is>
      </c>
      <c r="D695" s="8" t="inlineStr">
        <is>
          <t>funding.divida[3].carencia_meses</t>
        </is>
      </c>
    </row>
    <row r="696">
      <c r="A696" s="5" t="inlineStr">
        <is>
          <t>Dívida 3 — Estruturação</t>
        </is>
      </c>
      <c r="B696" s="12" t="n"/>
      <c r="C696" s="7" t="inlineStr">
        <is>
          <t>% do valor</t>
        </is>
      </c>
      <c r="D696" s="8" t="inlineStr">
        <is>
          <t>funding.divida[3].estruturacao_pct</t>
        </is>
      </c>
    </row>
    <row r="697">
      <c r="A697" s="5" t="inlineStr">
        <is>
          <t>Dívida 3 — Administração</t>
        </is>
      </c>
      <c r="B697" s="17" t="n"/>
      <c r="C697" s="7" t="inlineStr">
        <is>
          <t>R$/mês</t>
        </is>
      </c>
      <c r="D697" s="8" t="inlineStr">
        <is>
          <t>funding.divida[3].administracao_mensal</t>
        </is>
      </c>
    </row>
    <row r="698">
      <c r="A698" s="5" t="inlineStr">
        <is>
          <t>Dívida 3 — Outros encargos</t>
        </is>
      </c>
      <c r="B698" s="17" t="n"/>
      <c r="C698" s="7" t="inlineStr">
        <is>
          <t>R$ (iniciais)</t>
        </is>
      </c>
      <c r="D698" s="8" t="inlineStr">
        <is>
          <t>funding.divida[3].outros_encargos</t>
        </is>
      </c>
    </row>
    <row r="699">
      <c r="A699" s="16" t="inlineStr">
        <is>
          <t>Equity 1</t>
        </is>
      </c>
    </row>
    <row r="700">
      <c r="A700" s="5" t="inlineStr">
        <is>
          <t>Equity 1 — Nome</t>
        </is>
      </c>
      <c r="B700" s="6" t="n"/>
      <c r="C700" s="7" t="inlineStr">
        <is>
          <t>texto</t>
        </is>
      </c>
      <c r="D700" s="8" t="inlineStr">
        <is>
          <t>funding.equity[1].nome</t>
        </is>
      </c>
    </row>
    <row r="701">
      <c r="A701" s="5" t="inlineStr">
        <is>
          <t>Equity 1 — Valor</t>
        </is>
      </c>
      <c r="B701" s="17" t="n"/>
      <c r="C701" s="7" t="inlineStr">
        <is>
          <t>R$ (valor cheio)</t>
        </is>
      </c>
      <c r="D701" s="8" t="inlineStr">
        <is>
          <t>funding.equity[1].valor</t>
        </is>
      </c>
    </row>
    <row r="702">
      <c r="A702" s="5" t="inlineStr">
        <is>
          <t>Equity 1 — Mês do aporte</t>
        </is>
      </c>
      <c r="B702" s="6" t="n"/>
      <c r="C702" s="7" t="inlineStr">
        <is>
          <t>evento, fase ("fase: &lt;nome&gt;") ou customizado</t>
        </is>
      </c>
      <c r="D702" s="8" t="inlineStr">
        <is>
          <t>funding.equity[1].aporte</t>
        </is>
      </c>
    </row>
    <row r="703">
      <c r="A703" s="5" t="inlineStr">
        <is>
          <t>Equity 1 — Mês (só customizado)</t>
        </is>
      </c>
      <c r="B703" s="15" t="n"/>
      <c r="C703" s="7" t="inlineStr">
        <is>
          <t>mês (inteiro ≥ 0)</t>
        </is>
      </c>
      <c r="D703" s="8" t="inlineStr">
        <is>
          <t>funding.equity[1].mes</t>
        </is>
      </c>
    </row>
    <row r="704">
      <c r="A704" s="5" t="inlineStr">
        <is>
          <t>Equity 1 — Modo de retorno</t>
        </is>
      </c>
      <c r="B704" s="6" t="n"/>
      <c r="C704" s="7" t="inlineStr">
        <is>
          <t>lista: permuta_financeira | resultado_final</t>
        </is>
      </c>
      <c r="D704" s="8" t="inlineStr">
        <is>
          <t>funding.equity[1].modo_retorno</t>
        </is>
      </c>
    </row>
    <row r="705">
      <c r="A705" s="5" t="inlineStr">
        <is>
          <t>Equity 1 — % de retorno</t>
        </is>
      </c>
      <c r="B705" s="12" t="n"/>
      <c r="C705" s="7" t="inlineStr">
        <is>
          <t>% (do resultado final ou da receita líquida)</t>
        </is>
      </c>
      <c r="D705" s="8" t="inlineStr">
        <is>
          <t>funding.equity[1].pct_retorno</t>
        </is>
      </c>
    </row>
    <row r="706">
      <c r="A706" s="16" t="inlineStr">
        <is>
          <t>Equity 2</t>
        </is>
      </c>
    </row>
    <row r="707">
      <c r="A707" s="5" t="inlineStr">
        <is>
          <t>Equity 2 — Nome</t>
        </is>
      </c>
      <c r="B707" s="6" t="n"/>
      <c r="C707" s="7" t="inlineStr">
        <is>
          <t>texto</t>
        </is>
      </c>
      <c r="D707" s="8" t="inlineStr">
        <is>
          <t>funding.equity[2].nome</t>
        </is>
      </c>
    </row>
    <row r="708">
      <c r="A708" s="5" t="inlineStr">
        <is>
          <t>Equity 2 — Valor</t>
        </is>
      </c>
      <c r="B708" s="17" t="n"/>
      <c r="C708" s="7" t="inlineStr">
        <is>
          <t>R$ (valor cheio)</t>
        </is>
      </c>
      <c r="D708" s="8" t="inlineStr">
        <is>
          <t>funding.equity[2].valor</t>
        </is>
      </c>
    </row>
    <row r="709">
      <c r="A709" s="5" t="inlineStr">
        <is>
          <t>Equity 2 — Mês do aporte</t>
        </is>
      </c>
      <c r="B709" s="6" t="n"/>
      <c r="C709" s="7" t="inlineStr">
        <is>
          <t>evento, fase ("fase: &lt;nome&gt;") ou customizado</t>
        </is>
      </c>
      <c r="D709" s="8" t="inlineStr">
        <is>
          <t>funding.equity[2].aporte</t>
        </is>
      </c>
    </row>
    <row r="710">
      <c r="A710" s="5" t="inlineStr">
        <is>
          <t>Equity 2 — Mês (só customizado)</t>
        </is>
      </c>
      <c r="B710" s="15" t="n"/>
      <c r="C710" s="7" t="inlineStr">
        <is>
          <t>mês (inteiro ≥ 0)</t>
        </is>
      </c>
      <c r="D710" s="8" t="inlineStr">
        <is>
          <t>funding.equity[2].mes</t>
        </is>
      </c>
    </row>
    <row r="711">
      <c r="A711" s="5" t="inlineStr">
        <is>
          <t>Equity 2 — Modo de retorno</t>
        </is>
      </c>
      <c r="B711" s="6" t="n"/>
      <c r="C711" s="7" t="inlineStr">
        <is>
          <t>lista: permuta_financeira | resultado_final</t>
        </is>
      </c>
      <c r="D711" s="8" t="inlineStr">
        <is>
          <t>funding.equity[2].modo_retorno</t>
        </is>
      </c>
    </row>
    <row r="712">
      <c r="A712" s="5" t="inlineStr">
        <is>
          <t>Equity 2 — % de retorno</t>
        </is>
      </c>
      <c r="B712" s="12" t="n"/>
      <c r="C712" s="7" t="inlineStr">
        <is>
          <t>% (do resultado final ou da receita líquida)</t>
        </is>
      </c>
      <c r="D712" s="8" t="inlineStr">
        <is>
          <t>funding.equity[2].pct_retorno</t>
        </is>
      </c>
    </row>
    <row r="713">
      <c r="A713" s="16" t="inlineStr">
        <is>
          <t>Equity 3</t>
        </is>
      </c>
    </row>
    <row r="714">
      <c r="A714" s="5" t="inlineStr">
        <is>
          <t>Equity 3 — Nome</t>
        </is>
      </c>
      <c r="B714" s="6" t="n"/>
      <c r="C714" s="7" t="inlineStr">
        <is>
          <t>texto</t>
        </is>
      </c>
      <c r="D714" s="8" t="inlineStr">
        <is>
          <t>funding.equity[3].nome</t>
        </is>
      </c>
    </row>
    <row r="715">
      <c r="A715" s="5" t="inlineStr">
        <is>
          <t>Equity 3 — Valor</t>
        </is>
      </c>
      <c r="B715" s="17" t="n"/>
      <c r="C715" s="7" t="inlineStr">
        <is>
          <t>R$ (valor cheio)</t>
        </is>
      </c>
      <c r="D715" s="8" t="inlineStr">
        <is>
          <t>funding.equity[3].valor</t>
        </is>
      </c>
    </row>
    <row r="716">
      <c r="A716" s="5" t="inlineStr">
        <is>
          <t>Equity 3 — Mês do aporte</t>
        </is>
      </c>
      <c r="B716" s="6" t="n"/>
      <c r="C716" s="7" t="inlineStr">
        <is>
          <t>evento, fase ("fase: &lt;nome&gt;") ou customizado</t>
        </is>
      </c>
      <c r="D716" s="8" t="inlineStr">
        <is>
          <t>funding.equity[3].aporte</t>
        </is>
      </c>
    </row>
    <row r="717">
      <c r="A717" s="5" t="inlineStr">
        <is>
          <t>Equity 3 — Mês (só customizado)</t>
        </is>
      </c>
      <c r="B717" s="15" t="n"/>
      <c r="C717" s="7" t="inlineStr">
        <is>
          <t>mês (inteiro ≥ 0)</t>
        </is>
      </c>
      <c r="D717" s="8" t="inlineStr">
        <is>
          <t>funding.equity[3].mes</t>
        </is>
      </c>
    </row>
    <row r="718">
      <c r="A718" s="5" t="inlineStr">
        <is>
          <t>Equity 3 — Modo de retorno</t>
        </is>
      </c>
      <c r="B718" s="6" t="n"/>
      <c r="C718" s="7" t="inlineStr">
        <is>
          <t>lista: permuta_financeira | resultado_final</t>
        </is>
      </c>
      <c r="D718" s="8" t="inlineStr">
        <is>
          <t>funding.equity[3].modo_retorno</t>
        </is>
      </c>
    </row>
    <row r="719">
      <c r="A719" s="5" t="inlineStr">
        <is>
          <t>Equity 3 — % de retorno</t>
        </is>
      </c>
      <c r="B719" s="12" t="n"/>
      <c r="C719" s="7" t="inlineStr">
        <is>
          <t>% (do resultado final ou da receita líquida)</t>
        </is>
      </c>
      <c r="D719" s="8" t="inlineStr">
        <is>
          <t>funding.equity[3].pct_retorno</t>
        </is>
      </c>
    </row>
    <row r="720" ht="20" customHeight="1">
      <c r="A720" s="4" t="inlineStr">
        <is>
          <t>11 · Cenários (variação sobre o estudo real) — 5 vagas</t>
        </is>
      </c>
    </row>
    <row r="721">
      <c r="A721" s="5" t="inlineStr">
        <is>
          <t>Cenário 1 — Nome</t>
        </is>
      </c>
      <c r="B721" s="6" t="n"/>
      <c r="C721" s="7" t="inlineStr">
        <is>
          <t>texto</t>
        </is>
      </c>
      <c r="D721" s="8" t="inlineStr">
        <is>
          <t>cenarios[1].nome</t>
        </is>
      </c>
    </row>
    <row r="722">
      <c r="A722" s="5" t="inlineStr">
        <is>
          <t>Cenário 1 — Preço de venda</t>
        </is>
      </c>
      <c r="B722" s="12" t="n"/>
      <c r="C722" s="7" t="inlineStr">
        <is>
          <t>variação % (pode ser negativa)</t>
        </is>
      </c>
      <c r="D722" s="8" t="inlineStr">
        <is>
          <t>cenarios[1].preco_venda_pct</t>
        </is>
      </c>
    </row>
    <row r="723">
      <c r="A723" s="5" t="inlineStr">
        <is>
          <t>Cenário 1 — Custo de obra</t>
        </is>
      </c>
      <c r="B723" s="12" t="n"/>
      <c r="C723" s="7" t="inlineStr">
        <is>
          <t>variação % (pode ser negativa)</t>
        </is>
      </c>
      <c r="D723" s="8" t="inlineStr">
        <is>
          <t>cenarios[1].custo_obra_pct</t>
        </is>
      </c>
    </row>
    <row r="724">
      <c r="A724" s="5" t="inlineStr">
        <is>
          <t>Cenário 2 — Nome</t>
        </is>
      </c>
      <c r="B724" s="6" t="n"/>
      <c r="C724" s="7" t="inlineStr">
        <is>
          <t>texto</t>
        </is>
      </c>
      <c r="D724" s="8" t="inlineStr">
        <is>
          <t>cenarios[2].nome</t>
        </is>
      </c>
    </row>
    <row r="725">
      <c r="A725" s="5" t="inlineStr">
        <is>
          <t>Cenário 2 — Preço de venda</t>
        </is>
      </c>
      <c r="B725" s="12" t="n"/>
      <c r="C725" s="7" t="inlineStr">
        <is>
          <t>variação % (pode ser negativa)</t>
        </is>
      </c>
      <c r="D725" s="8" t="inlineStr">
        <is>
          <t>cenarios[2].preco_venda_pct</t>
        </is>
      </c>
    </row>
    <row r="726">
      <c r="A726" s="5" t="inlineStr">
        <is>
          <t>Cenário 2 — Custo de obra</t>
        </is>
      </c>
      <c r="B726" s="12" t="n"/>
      <c r="C726" s="7" t="inlineStr">
        <is>
          <t>variação % (pode ser negativa)</t>
        </is>
      </c>
      <c r="D726" s="8" t="inlineStr">
        <is>
          <t>cenarios[2].custo_obra_pct</t>
        </is>
      </c>
    </row>
    <row r="727">
      <c r="A727" s="5" t="inlineStr">
        <is>
          <t>Cenário 3 — Nome</t>
        </is>
      </c>
      <c r="B727" s="6" t="n"/>
      <c r="C727" s="7" t="inlineStr">
        <is>
          <t>texto</t>
        </is>
      </c>
      <c r="D727" s="8" t="inlineStr">
        <is>
          <t>cenarios[3].nome</t>
        </is>
      </c>
    </row>
    <row r="728">
      <c r="A728" s="5" t="inlineStr">
        <is>
          <t>Cenário 3 — Preço de venda</t>
        </is>
      </c>
      <c r="B728" s="12" t="n"/>
      <c r="C728" s="7" t="inlineStr">
        <is>
          <t>variação % (pode ser negativa)</t>
        </is>
      </c>
      <c r="D728" s="8" t="inlineStr">
        <is>
          <t>cenarios[3].preco_venda_pct</t>
        </is>
      </c>
    </row>
    <row r="729">
      <c r="A729" s="5" t="inlineStr">
        <is>
          <t>Cenário 3 — Custo de obra</t>
        </is>
      </c>
      <c r="B729" s="12" t="n"/>
      <c r="C729" s="7" t="inlineStr">
        <is>
          <t>variação % (pode ser negativa)</t>
        </is>
      </c>
      <c r="D729" s="8" t="inlineStr">
        <is>
          <t>cenarios[3].custo_obra_pct</t>
        </is>
      </c>
    </row>
    <row r="730">
      <c r="A730" s="5" t="inlineStr">
        <is>
          <t>Cenário 4 — Nome</t>
        </is>
      </c>
      <c r="B730" s="6" t="n"/>
      <c r="C730" s="7" t="inlineStr">
        <is>
          <t>texto</t>
        </is>
      </c>
      <c r="D730" s="8" t="inlineStr">
        <is>
          <t>cenarios[4].nome</t>
        </is>
      </c>
    </row>
    <row r="731">
      <c r="A731" s="5" t="inlineStr">
        <is>
          <t>Cenário 4 — Preço de venda</t>
        </is>
      </c>
      <c r="B731" s="12" t="n"/>
      <c r="C731" s="7" t="inlineStr">
        <is>
          <t>variação % (pode ser negativa)</t>
        </is>
      </c>
      <c r="D731" s="8" t="inlineStr">
        <is>
          <t>cenarios[4].preco_venda_pct</t>
        </is>
      </c>
    </row>
    <row r="732">
      <c r="A732" s="5" t="inlineStr">
        <is>
          <t>Cenário 4 — Custo de obra</t>
        </is>
      </c>
      <c r="B732" s="12" t="n"/>
      <c r="C732" s="7" t="inlineStr">
        <is>
          <t>variação % (pode ser negativa)</t>
        </is>
      </c>
      <c r="D732" s="8" t="inlineStr">
        <is>
          <t>cenarios[4].custo_obra_pct</t>
        </is>
      </c>
    </row>
    <row r="733">
      <c r="A733" s="5" t="inlineStr">
        <is>
          <t>Cenário 5 — Nome</t>
        </is>
      </c>
      <c r="B733" s="6" t="n"/>
      <c r="C733" s="7" t="inlineStr">
        <is>
          <t>texto</t>
        </is>
      </c>
      <c r="D733" s="8" t="inlineStr">
        <is>
          <t>cenarios[5].nome</t>
        </is>
      </c>
    </row>
    <row r="734">
      <c r="A734" s="5" t="inlineStr">
        <is>
          <t>Cenário 5 — Preço de venda</t>
        </is>
      </c>
      <c r="B734" s="12" t="n"/>
      <c r="C734" s="7" t="inlineStr">
        <is>
          <t>variação % (pode ser negativa)</t>
        </is>
      </c>
      <c r="D734" s="8" t="inlineStr">
        <is>
          <t>cenarios[5].preco_venda_pct</t>
        </is>
      </c>
    </row>
    <row r="735">
      <c r="A735" s="5" t="inlineStr">
        <is>
          <t>Cenário 5 — Custo de obra</t>
        </is>
      </c>
      <c r="B735" s="12" t="n"/>
      <c r="C735" s="7" t="inlineStr">
        <is>
          <t>variação % (pode ser negativa)</t>
        </is>
      </c>
      <c r="D735" s="8" t="inlineStr">
        <is>
          <t>cenarios[5].custo_obra_pct</t>
        </is>
      </c>
    </row>
    <row r="736" ht="20" customHeight="1">
      <c r="A736" s="18" t="inlineStr">
        <is>
          <t>REFERÊNCIA CALCULADA — não preencher (conferência do que foi preenchido)</t>
        </is>
      </c>
    </row>
    <row r="737" ht="26" customHeight="1">
      <c r="A737" s="13" t="inlineStr">
        <is>
          <t>TIR, VPL, payback, Proforma e Fluxo de Caixa NÃO são calculados aqui: dependem do motor mensal do app. Abaixo, só o que se deduz das entradas: cronograma, áreas, VGV de tabela, absorção, repasse e custos convertidos em R$.</t>
        </is>
      </c>
    </row>
    <row r="738">
      <c r="A738" s="16" t="inlineStr">
        <is>
          <t>Cronograma — inícios travados e datas</t>
        </is>
      </c>
    </row>
    <row r="739">
      <c r="A739" s="19" t="inlineStr">
        <is>
          <t>Planejamento — fim</t>
        </is>
      </c>
      <c r="B739" s="20">
        <f>N($B$30)+N($B$31)</f>
        <v/>
      </c>
      <c r="C739" s="21" t="inlineStr">
        <is>
          <t>mês</t>
        </is>
      </c>
      <c r="D739" s="22" t="inlineStr">
        <is>
          <t>calculado</t>
        </is>
      </c>
    </row>
    <row r="740">
      <c r="A740" s="19" t="inlineStr">
        <is>
          <t>Pré-lançamento — Início (travado = fim do planejamento)</t>
        </is>
      </c>
      <c r="B740" s="20">
        <f>IF($B$29="Sim",$B$739,"—")</f>
        <v/>
      </c>
      <c r="C740" s="21" t="inlineStr">
        <is>
          <t>mês</t>
        </is>
      </c>
      <c r="D740" s="22" t="inlineStr">
        <is>
          <t>cronograma.pre_lancamento.inicio_mes</t>
        </is>
      </c>
    </row>
    <row r="741">
      <c r="A741" s="19" t="inlineStr">
        <is>
          <t>Pré-lançamento — fim</t>
        </is>
      </c>
      <c r="B741" s="20">
        <f>IF($B$29="Sim",$B$740+N($B$32),"—")</f>
        <v/>
      </c>
      <c r="C741" s="21" t="inlineStr">
        <is>
          <t>mês</t>
        </is>
      </c>
      <c r="D741" s="22" t="inlineStr">
        <is>
          <t>calculado</t>
        </is>
      </c>
    </row>
    <row r="742">
      <c r="A742" s="19" t="inlineStr">
        <is>
          <t>Lançamento — Início (travado = fim do evento anterior)</t>
        </is>
      </c>
      <c r="B742" s="20">
        <f>IF($B$29="Sim",$B$741,$B$739)</f>
        <v/>
      </c>
      <c r="C742" s="21" t="inlineStr">
        <is>
          <t>mês</t>
        </is>
      </c>
      <c r="D742" s="22" t="inlineStr">
        <is>
          <t>cronograma.lancamento.inicio_mes</t>
        </is>
      </c>
    </row>
    <row r="743">
      <c r="A743" s="19" t="inlineStr">
        <is>
          <t>Lançamento — fim</t>
        </is>
      </c>
      <c r="B743" s="20">
        <f>$B$742+N($B$33)</f>
        <v/>
      </c>
      <c r="C743" s="21" t="inlineStr">
        <is>
          <t>mês</t>
        </is>
      </c>
      <c r="D743" s="22" t="inlineStr">
        <is>
          <t>calculado</t>
        </is>
      </c>
    </row>
    <row r="744">
      <c r="A744" s="19" t="inlineStr">
        <is>
          <t>Obra — fim</t>
        </is>
      </c>
      <c r="B744" s="20">
        <f>N($B$34)+N($B$35)</f>
        <v/>
      </c>
      <c r="C744" s="21" t="inlineStr">
        <is>
          <t>mês</t>
        </is>
      </c>
      <c r="D744" s="22" t="inlineStr">
        <is>
          <t>calculado</t>
        </is>
      </c>
    </row>
    <row r="745">
      <c r="A745" s="19" t="inlineStr">
        <is>
          <t>Pós-obras — Início (travado = fim da obra)</t>
        </is>
      </c>
      <c r="B745" s="20">
        <f>$B$744</f>
        <v/>
      </c>
      <c r="C745" s="21" t="inlineStr">
        <is>
          <t>mês</t>
        </is>
      </c>
      <c r="D745" s="22" t="inlineStr">
        <is>
          <t>cronograma.pos_obra.inicio_mes</t>
        </is>
      </c>
    </row>
    <row r="746">
      <c r="A746" s="19" t="inlineStr">
        <is>
          <t>Pós-obras — fim = fim do projeto</t>
        </is>
      </c>
      <c r="B746" s="20">
        <f>$B$745+N($B$36)</f>
        <v/>
      </c>
      <c r="C746" s="21" t="inlineStr">
        <is>
          <t>mês</t>
        </is>
      </c>
      <c r="D746" s="22" t="inlineStr">
        <is>
          <t>calculado</t>
        </is>
      </c>
    </row>
    <row r="747">
      <c r="A747" s="19" t="inlineStr">
        <is>
          <t>Data do Lançamento</t>
        </is>
      </c>
      <c r="B747" s="23">
        <f>IF(ISNUMBER($B$28),EDATE($B$28,$B$742),"")</f>
        <v/>
      </c>
      <c r="C747" s="21" t="inlineStr">
        <is>
          <t>mês/ano</t>
        </is>
      </c>
      <c r="D747" s="22" t="inlineStr">
        <is>
          <t>calculado</t>
        </is>
      </c>
    </row>
    <row r="748">
      <c r="A748" s="19" t="inlineStr">
        <is>
          <t>Data de início da Obra</t>
        </is>
      </c>
      <c r="B748" s="23">
        <f>IF(ISNUMBER($B$28),EDATE($B$28,$B$34),"")</f>
        <v/>
      </c>
      <c r="C748" s="21" t="inlineStr">
        <is>
          <t>mês/ano</t>
        </is>
      </c>
      <c r="D748" s="22" t="inlineStr">
        <is>
          <t>calculado</t>
        </is>
      </c>
    </row>
    <row r="749">
      <c r="A749" s="19" t="inlineStr">
        <is>
          <t>Data das chaves (fim da Obra)</t>
        </is>
      </c>
      <c r="B749" s="23">
        <f>IF(ISNUMBER($B$28),EDATE($B$28,$B$744),"")</f>
        <v/>
      </c>
      <c r="C749" s="21" t="inlineStr">
        <is>
          <t>mês/ano</t>
        </is>
      </c>
      <c r="D749" s="22" t="inlineStr">
        <is>
          <t>calculado</t>
        </is>
      </c>
    </row>
    <row r="750">
      <c r="A750" s="19" t="inlineStr">
        <is>
          <t>Data de fim do projeto</t>
        </is>
      </c>
      <c r="B750" s="23">
        <f>IF(ISNUMBER($B$28),EDATE($B$28,$B$746),"")</f>
        <v/>
      </c>
      <c r="C750" s="21" t="inlineStr">
        <is>
          <t>mês/ano</t>
        </is>
      </c>
      <c r="D750" s="22" t="inlineStr">
        <is>
          <t>calculado</t>
        </is>
      </c>
    </row>
    <row r="751">
      <c r="A751" s="19" t="inlineStr">
        <is>
          <t>Obra começa antes do fim do Lançamento?</t>
        </is>
      </c>
      <c r="B751" s="24">
        <f>IF(N($B$34)&lt;$B$743,"⚠ obra inicia antes do fim do lançamento","OK")</f>
        <v/>
      </c>
      <c r="C751" s="21" t="inlineStr">
        <is>
          <t>alerta</t>
        </is>
      </c>
      <c r="D751" s="22" t="inlineStr">
        <is>
          <t>calculado</t>
        </is>
      </c>
    </row>
    <row r="752">
      <c r="A752" s="16" t="inlineStr">
        <is>
          <t>Tipologias — catálogo</t>
        </is>
      </c>
    </row>
    <row r="753">
      <c r="A753" s="19" t="inlineStr">
        <is>
          <t>Tipologia 1 — VGV de catálogo (preço sugerido)</t>
        </is>
      </c>
      <c r="B753" s="25">
        <f>(N($B$61)+N($B$62))*N($B$65)*N($B$66)</f>
        <v/>
      </c>
      <c r="C753" s="21" t="inlineStr">
        <is>
          <t>R$</t>
        </is>
      </c>
      <c r="D753" s="22" t="inlineStr">
        <is>
          <t>calculado</t>
        </is>
      </c>
    </row>
    <row r="754">
      <c r="A754" s="19" t="inlineStr">
        <is>
          <t>Tipologia 2 — VGV de catálogo (preço sugerido)</t>
        </is>
      </c>
      <c r="B754" s="25">
        <f>(N($B$70)+N($B$71))*N($B$74)*N($B$75)</f>
        <v/>
      </c>
      <c r="C754" s="21" t="inlineStr">
        <is>
          <t>R$</t>
        </is>
      </c>
      <c r="D754" s="22" t="inlineStr">
        <is>
          <t>calculado</t>
        </is>
      </c>
    </row>
    <row r="755">
      <c r="A755" s="19" t="inlineStr">
        <is>
          <t>Tipologia 3 — VGV de catálogo (preço sugerido)</t>
        </is>
      </c>
      <c r="B755" s="25">
        <f>(N($B$79)+N($B$80))*N($B$83)*N($B$84)</f>
        <v/>
      </c>
      <c r="C755" s="21" t="inlineStr">
        <is>
          <t>R$</t>
        </is>
      </c>
      <c r="D755" s="22" t="inlineStr">
        <is>
          <t>calculado</t>
        </is>
      </c>
    </row>
    <row r="756">
      <c r="A756" s="19" t="inlineStr">
        <is>
          <t>Tipologia 4 — VGV de catálogo (preço sugerido)</t>
        </is>
      </c>
      <c r="B756" s="25">
        <f>(N($B$88)+N($B$89))*N($B$92)*N($B$93)</f>
        <v/>
      </c>
      <c r="C756" s="21" t="inlineStr">
        <is>
          <t>R$</t>
        </is>
      </c>
      <c r="D756" s="22" t="inlineStr">
        <is>
          <t>calculado</t>
        </is>
      </c>
    </row>
    <row r="757">
      <c r="A757" s="19" t="inlineStr">
        <is>
          <t>Tipologia 5 — VGV de catálogo (preço sugerido)</t>
        </is>
      </c>
      <c r="B757" s="25">
        <f>(N($B$97)+N($B$98))*N($B$101)*N($B$102)</f>
        <v/>
      </c>
      <c r="C757" s="21" t="inlineStr">
        <is>
          <t>R$</t>
        </is>
      </c>
      <c r="D757" s="22" t="inlineStr">
        <is>
          <t>calculado</t>
        </is>
      </c>
    </row>
    <row r="758">
      <c r="A758" s="19" t="inlineStr">
        <is>
          <t>Tipologia 6 — VGV de catálogo (preço sugerido)</t>
        </is>
      </c>
      <c r="B758" s="25">
        <f>(N($B$106)+N($B$107))*N($B$110)*N($B$111)</f>
        <v/>
      </c>
      <c r="C758" s="21" t="inlineStr">
        <is>
          <t>R$</t>
        </is>
      </c>
      <c r="D758" s="22" t="inlineStr">
        <is>
          <t>calculado</t>
        </is>
      </c>
    </row>
    <row r="759">
      <c r="A759" s="19" t="inlineStr">
        <is>
          <t>Tipologia 7 — VGV de catálogo (preço sugerido)</t>
        </is>
      </c>
      <c r="B759" s="25">
        <f>(N($B$115)+N($B$116))*N($B$119)*N($B$120)</f>
        <v/>
      </c>
      <c r="C759" s="21" t="inlineStr">
        <is>
          <t>R$</t>
        </is>
      </c>
      <c r="D759" s="22" t="inlineStr">
        <is>
          <t>calculado</t>
        </is>
      </c>
    </row>
    <row r="760">
      <c r="A760" s="19" t="inlineStr">
        <is>
          <t>Tipologia 8 — VGV de catálogo (preço sugerido)</t>
        </is>
      </c>
      <c r="B760" s="25">
        <f>(N($B$124)+N($B$125))*N($B$128)*N($B$129)</f>
        <v/>
      </c>
      <c r="C760" s="21" t="inlineStr">
        <is>
          <t>R$</t>
        </is>
      </c>
      <c r="D760" s="22" t="inlineStr">
        <is>
          <t>calculado</t>
        </is>
      </c>
    </row>
    <row r="761">
      <c r="A761" s="19" t="inlineStr">
        <is>
          <t>Tipologia 9 — VGV de catálogo (preço sugerido)</t>
        </is>
      </c>
      <c r="B761" s="25">
        <f>(N($B$133)+N($B$134))*N($B$137)*N($B$138)</f>
        <v/>
      </c>
      <c r="C761" s="21" t="inlineStr">
        <is>
          <t>R$</t>
        </is>
      </c>
      <c r="D761" s="22" t="inlineStr">
        <is>
          <t>calculado</t>
        </is>
      </c>
    </row>
    <row r="762">
      <c r="A762" s="19" t="inlineStr">
        <is>
          <t>Tipologia 10 — VGV de catálogo (preço sugerido)</t>
        </is>
      </c>
      <c r="B762" s="25">
        <f>(N($B$142)+N($B$143))*N($B$146)*N($B$147)</f>
        <v/>
      </c>
      <c r="C762" s="21" t="inlineStr">
        <is>
          <t>R$</t>
        </is>
      </c>
      <c r="D762" s="22" t="inlineStr">
        <is>
          <t>calculado</t>
        </is>
      </c>
    </row>
    <row r="763">
      <c r="A763" s="19" t="inlineStr">
        <is>
          <t>Unidades no catálogo</t>
        </is>
      </c>
      <c r="B763" s="20">
        <f>N($B$65)+N($B$74)+N($B$83)+N($B$92)+N($B$101)+N($B$110)+N($B$119)+N($B$128)+N($B$137)+N($B$146)</f>
        <v/>
      </c>
      <c r="C763" s="21" t="inlineStr">
        <is>
          <t>unidades</t>
        </is>
      </c>
      <c r="D763" s="22" t="inlineStr">
        <is>
          <t>calculado</t>
        </is>
      </c>
    </row>
    <row r="764">
      <c r="A764" s="19" t="inlineStr">
        <is>
          <t>VGV de catálogo (preço sugerido)</t>
        </is>
      </c>
      <c r="B764" s="25">
        <f>$B$753+$B$754+$B$755+$B$756+$B$757+$B$758+$B$759+$B$760+$B$761+$B$762</f>
        <v/>
      </c>
      <c r="C764" s="21" t="inlineStr">
        <is>
          <t>R$</t>
        </is>
      </c>
      <c r="D764" s="22" t="inlineStr">
        <is>
          <t>calculado</t>
        </is>
      </c>
    </row>
    <row r="765">
      <c r="A765" s="16" t="inlineStr">
        <is>
          <t>Alocações — VGV de tabela por alocação (unidades × (privativa+aberta) × preço)</t>
        </is>
      </c>
    </row>
    <row r="766">
      <c r="A766" s="19" t="inlineStr">
        <is>
          <t>Alocação 1 — área (privativa+aberta) × unidades</t>
        </is>
      </c>
      <c r="B766" s="26">
        <f>IF($B$275="",0,(($B$59=$B$275)*(N($B$61)+N($B$62))+($B$68=$B$275)*(N($B$70)+N($B$71))+($B$77=$B$275)*(N($B$79)+N($B$80))+($B$86=$B$275)*(N($B$88)+N($B$89))+($B$95=$B$275)*(N($B$97)+N($B$98))+($B$104=$B$275)*(N($B$106)+N($B$107))+($B$113=$B$275)*(N($B$115)+N($B$116))+($B$122=$B$275)*(N($B$124)+N($B$125))+($B$131=$B$275)*(N($B$133)+N($B$134))+($B$140=$B$275)*(N($B$142)+N($B$143)))*N($B$276))</f>
        <v/>
      </c>
      <c r="C766" s="21" t="inlineStr">
        <is>
          <t>m²</t>
        </is>
      </c>
      <c r="D766" s="22" t="inlineStr">
        <is>
          <t>calculado</t>
        </is>
      </c>
    </row>
    <row r="767">
      <c r="A767" s="19" t="inlineStr">
        <is>
          <t>Alocação 1 — VGV de tabela</t>
        </is>
      </c>
      <c r="B767" s="25">
        <f>$B$766*N($B$277)</f>
        <v/>
      </c>
      <c r="C767" s="21" t="inlineStr">
        <is>
          <t>R$</t>
        </is>
      </c>
      <c r="D767" s="22" t="inlineStr">
        <is>
          <t>calculado</t>
        </is>
      </c>
    </row>
    <row r="768">
      <c r="A768" s="19" t="inlineStr">
        <is>
          <t>Alocação 2 — área (privativa+aberta) × unidades</t>
        </is>
      </c>
      <c r="B768" s="26">
        <f>IF($B$280="",0,(($B$59=$B$280)*(N($B$61)+N($B$62))+($B$68=$B$280)*(N($B$70)+N($B$71))+($B$77=$B$280)*(N($B$79)+N($B$80))+($B$86=$B$280)*(N($B$88)+N($B$89))+($B$95=$B$280)*(N($B$97)+N($B$98))+($B$104=$B$280)*(N($B$106)+N($B$107))+($B$113=$B$280)*(N($B$115)+N($B$116))+($B$122=$B$280)*(N($B$124)+N($B$125))+($B$131=$B$280)*(N($B$133)+N($B$134))+($B$140=$B$280)*(N($B$142)+N($B$143)))*N($B$281))</f>
        <v/>
      </c>
      <c r="C768" s="21" t="inlineStr">
        <is>
          <t>m²</t>
        </is>
      </c>
      <c r="D768" s="22" t="inlineStr">
        <is>
          <t>calculado</t>
        </is>
      </c>
    </row>
    <row r="769">
      <c r="A769" s="19" t="inlineStr">
        <is>
          <t>Alocação 2 — VGV de tabela</t>
        </is>
      </c>
      <c r="B769" s="25">
        <f>$B$768*N($B$282)</f>
        <v/>
      </c>
      <c r="C769" s="21" t="inlineStr">
        <is>
          <t>R$</t>
        </is>
      </c>
      <c r="D769" s="22" t="inlineStr">
        <is>
          <t>calculado</t>
        </is>
      </c>
    </row>
    <row r="770">
      <c r="A770" s="19" t="inlineStr">
        <is>
          <t>Alocação 3 — área (privativa+aberta) × unidades</t>
        </is>
      </c>
      <c r="B770" s="26">
        <f>IF($B$285="",0,(($B$59=$B$285)*(N($B$61)+N($B$62))+($B$68=$B$285)*(N($B$70)+N($B$71))+($B$77=$B$285)*(N($B$79)+N($B$80))+($B$86=$B$285)*(N($B$88)+N($B$89))+($B$95=$B$285)*(N($B$97)+N($B$98))+($B$104=$B$285)*(N($B$106)+N($B$107))+($B$113=$B$285)*(N($B$115)+N($B$116))+($B$122=$B$285)*(N($B$124)+N($B$125))+($B$131=$B$285)*(N($B$133)+N($B$134))+($B$140=$B$285)*(N($B$142)+N($B$143)))*N($B$286))</f>
        <v/>
      </c>
      <c r="C770" s="21" t="inlineStr">
        <is>
          <t>m²</t>
        </is>
      </c>
      <c r="D770" s="22" t="inlineStr">
        <is>
          <t>calculado</t>
        </is>
      </c>
    </row>
    <row r="771">
      <c r="A771" s="19" t="inlineStr">
        <is>
          <t>Alocação 3 — VGV de tabela</t>
        </is>
      </c>
      <c r="B771" s="25">
        <f>$B$770*N($B$287)</f>
        <v/>
      </c>
      <c r="C771" s="21" t="inlineStr">
        <is>
          <t>R$</t>
        </is>
      </c>
      <c r="D771" s="22" t="inlineStr">
        <is>
          <t>calculado</t>
        </is>
      </c>
    </row>
    <row r="772">
      <c r="A772" s="19" t="inlineStr">
        <is>
          <t>Alocação 4 — área (privativa+aberta) × unidades</t>
        </is>
      </c>
      <c r="B772" s="26">
        <f>IF($B$290="",0,(($B$59=$B$290)*(N($B$61)+N($B$62))+($B$68=$B$290)*(N($B$70)+N($B$71))+($B$77=$B$290)*(N($B$79)+N($B$80))+($B$86=$B$290)*(N($B$88)+N($B$89))+($B$95=$B$290)*(N($B$97)+N($B$98))+($B$104=$B$290)*(N($B$106)+N($B$107))+($B$113=$B$290)*(N($B$115)+N($B$116))+($B$122=$B$290)*(N($B$124)+N($B$125))+($B$131=$B$290)*(N($B$133)+N($B$134))+($B$140=$B$290)*(N($B$142)+N($B$143)))*N($B$291))</f>
        <v/>
      </c>
      <c r="C772" s="21" t="inlineStr">
        <is>
          <t>m²</t>
        </is>
      </c>
      <c r="D772" s="22" t="inlineStr">
        <is>
          <t>calculado</t>
        </is>
      </c>
    </row>
    <row r="773">
      <c r="A773" s="19" t="inlineStr">
        <is>
          <t>Alocação 4 — VGV de tabela</t>
        </is>
      </c>
      <c r="B773" s="25">
        <f>$B$772*N($B$292)</f>
        <v/>
      </c>
      <c r="C773" s="21" t="inlineStr">
        <is>
          <t>R$</t>
        </is>
      </c>
      <c r="D773" s="22" t="inlineStr">
        <is>
          <t>calculado</t>
        </is>
      </c>
    </row>
    <row r="774">
      <c r="A774" s="19" t="inlineStr">
        <is>
          <t>Alocação 5 — área (privativa+aberta) × unidades</t>
        </is>
      </c>
      <c r="B774" s="26">
        <f>IF($B$295="",0,(($B$59=$B$295)*(N($B$61)+N($B$62))+($B$68=$B$295)*(N($B$70)+N($B$71))+($B$77=$B$295)*(N($B$79)+N($B$80))+($B$86=$B$295)*(N($B$88)+N($B$89))+($B$95=$B$295)*(N($B$97)+N($B$98))+($B$104=$B$295)*(N($B$106)+N($B$107))+($B$113=$B$295)*(N($B$115)+N($B$116))+($B$122=$B$295)*(N($B$124)+N($B$125))+($B$131=$B$295)*(N($B$133)+N($B$134))+($B$140=$B$295)*(N($B$142)+N($B$143)))*N($B$296))</f>
        <v/>
      </c>
      <c r="C774" s="21" t="inlineStr">
        <is>
          <t>m²</t>
        </is>
      </c>
      <c r="D774" s="22" t="inlineStr">
        <is>
          <t>calculado</t>
        </is>
      </c>
    </row>
    <row r="775">
      <c r="A775" s="19" t="inlineStr">
        <is>
          <t>Alocação 5 — VGV de tabela</t>
        </is>
      </c>
      <c r="B775" s="25">
        <f>$B$774*N($B$297)</f>
        <v/>
      </c>
      <c r="C775" s="21" t="inlineStr">
        <is>
          <t>R$</t>
        </is>
      </c>
      <c r="D775" s="22" t="inlineStr">
        <is>
          <t>calculado</t>
        </is>
      </c>
    </row>
    <row r="776">
      <c r="A776" s="19" t="inlineStr">
        <is>
          <t>Alocação 6 — área (privativa+aberta) × unidades</t>
        </is>
      </c>
      <c r="B776" s="26">
        <f>IF($B$300="",0,(($B$59=$B$300)*(N($B$61)+N($B$62))+($B$68=$B$300)*(N($B$70)+N($B$71))+($B$77=$B$300)*(N($B$79)+N($B$80))+($B$86=$B$300)*(N($B$88)+N($B$89))+($B$95=$B$300)*(N($B$97)+N($B$98))+($B$104=$B$300)*(N($B$106)+N($B$107))+($B$113=$B$300)*(N($B$115)+N($B$116))+($B$122=$B$300)*(N($B$124)+N($B$125))+($B$131=$B$300)*(N($B$133)+N($B$134))+($B$140=$B$300)*(N($B$142)+N($B$143)))*N($B$301))</f>
        <v/>
      </c>
      <c r="C776" s="21" t="inlineStr">
        <is>
          <t>m²</t>
        </is>
      </c>
      <c r="D776" s="22" t="inlineStr">
        <is>
          <t>calculado</t>
        </is>
      </c>
    </row>
    <row r="777">
      <c r="A777" s="19" t="inlineStr">
        <is>
          <t>Alocação 6 — VGV de tabela</t>
        </is>
      </c>
      <c r="B777" s="25">
        <f>$B$776*N($B$302)</f>
        <v/>
      </c>
      <c r="C777" s="21" t="inlineStr">
        <is>
          <t>R$</t>
        </is>
      </c>
      <c r="D777" s="22" t="inlineStr">
        <is>
          <t>calculado</t>
        </is>
      </c>
    </row>
    <row r="778">
      <c r="A778" s="19" t="inlineStr">
        <is>
          <t>Alocação 7 — área (privativa+aberta) × unidades</t>
        </is>
      </c>
      <c r="B778" s="26">
        <f>IF($B$305="",0,(($B$59=$B$305)*(N($B$61)+N($B$62))+($B$68=$B$305)*(N($B$70)+N($B$71))+($B$77=$B$305)*(N($B$79)+N($B$80))+($B$86=$B$305)*(N($B$88)+N($B$89))+($B$95=$B$305)*(N($B$97)+N($B$98))+($B$104=$B$305)*(N($B$106)+N($B$107))+($B$113=$B$305)*(N($B$115)+N($B$116))+($B$122=$B$305)*(N($B$124)+N($B$125))+($B$131=$B$305)*(N($B$133)+N($B$134))+($B$140=$B$305)*(N($B$142)+N($B$143)))*N($B$306))</f>
        <v/>
      </c>
      <c r="C778" s="21" t="inlineStr">
        <is>
          <t>m²</t>
        </is>
      </c>
      <c r="D778" s="22" t="inlineStr">
        <is>
          <t>calculado</t>
        </is>
      </c>
    </row>
    <row r="779">
      <c r="A779" s="19" t="inlineStr">
        <is>
          <t>Alocação 7 — VGV de tabela</t>
        </is>
      </c>
      <c r="B779" s="25">
        <f>$B$778*N($B$307)</f>
        <v/>
      </c>
      <c r="C779" s="21" t="inlineStr">
        <is>
          <t>R$</t>
        </is>
      </c>
      <c r="D779" s="22" t="inlineStr">
        <is>
          <t>calculado</t>
        </is>
      </c>
    </row>
    <row r="780">
      <c r="A780" s="19" t="inlineStr">
        <is>
          <t>Alocação 8 — área (privativa+aberta) × unidades</t>
        </is>
      </c>
      <c r="B780" s="26">
        <f>IF($B$310="",0,(($B$59=$B$310)*(N($B$61)+N($B$62))+($B$68=$B$310)*(N($B$70)+N($B$71))+($B$77=$B$310)*(N($B$79)+N($B$80))+($B$86=$B$310)*(N($B$88)+N($B$89))+($B$95=$B$310)*(N($B$97)+N($B$98))+($B$104=$B$310)*(N($B$106)+N($B$107))+($B$113=$B$310)*(N($B$115)+N($B$116))+($B$122=$B$310)*(N($B$124)+N($B$125))+($B$131=$B$310)*(N($B$133)+N($B$134))+($B$140=$B$310)*(N($B$142)+N($B$143)))*N($B$311))</f>
        <v/>
      </c>
      <c r="C780" s="21" t="inlineStr">
        <is>
          <t>m²</t>
        </is>
      </c>
      <c r="D780" s="22" t="inlineStr">
        <is>
          <t>calculado</t>
        </is>
      </c>
    </row>
    <row r="781">
      <c r="A781" s="19" t="inlineStr">
        <is>
          <t>Alocação 8 — VGV de tabela</t>
        </is>
      </c>
      <c r="B781" s="25">
        <f>$B$780*N($B$312)</f>
        <v/>
      </c>
      <c r="C781" s="21" t="inlineStr">
        <is>
          <t>R$</t>
        </is>
      </c>
      <c r="D781" s="22" t="inlineStr">
        <is>
          <t>calculado</t>
        </is>
      </c>
    </row>
    <row r="782">
      <c r="A782" s="19" t="inlineStr">
        <is>
          <t>Alocação 9 — área (privativa+aberta) × unidades</t>
        </is>
      </c>
      <c r="B782" s="26">
        <f>IF($B$315="",0,(($B$59=$B$315)*(N($B$61)+N($B$62))+($B$68=$B$315)*(N($B$70)+N($B$71))+($B$77=$B$315)*(N($B$79)+N($B$80))+($B$86=$B$315)*(N($B$88)+N($B$89))+($B$95=$B$315)*(N($B$97)+N($B$98))+($B$104=$B$315)*(N($B$106)+N($B$107))+($B$113=$B$315)*(N($B$115)+N($B$116))+($B$122=$B$315)*(N($B$124)+N($B$125))+($B$131=$B$315)*(N($B$133)+N($B$134))+($B$140=$B$315)*(N($B$142)+N($B$143)))*N($B$316))</f>
        <v/>
      </c>
      <c r="C782" s="21" t="inlineStr">
        <is>
          <t>m²</t>
        </is>
      </c>
      <c r="D782" s="22" t="inlineStr">
        <is>
          <t>calculado</t>
        </is>
      </c>
    </row>
    <row r="783">
      <c r="A783" s="19" t="inlineStr">
        <is>
          <t>Alocação 9 — VGV de tabela</t>
        </is>
      </c>
      <c r="B783" s="25">
        <f>$B$782*N($B$317)</f>
        <v/>
      </c>
      <c r="C783" s="21" t="inlineStr">
        <is>
          <t>R$</t>
        </is>
      </c>
      <c r="D783" s="22" t="inlineStr">
        <is>
          <t>calculado</t>
        </is>
      </c>
    </row>
    <row r="784">
      <c r="A784" s="19" t="inlineStr">
        <is>
          <t>Alocação 10 — área (privativa+aberta) × unidades</t>
        </is>
      </c>
      <c r="B784" s="26">
        <f>IF($B$320="",0,(($B$59=$B$320)*(N($B$61)+N($B$62))+($B$68=$B$320)*(N($B$70)+N($B$71))+($B$77=$B$320)*(N($B$79)+N($B$80))+($B$86=$B$320)*(N($B$88)+N($B$89))+($B$95=$B$320)*(N($B$97)+N($B$98))+($B$104=$B$320)*(N($B$106)+N($B$107))+($B$113=$B$320)*(N($B$115)+N($B$116))+($B$122=$B$320)*(N($B$124)+N($B$125))+($B$131=$B$320)*(N($B$133)+N($B$134))+($B$140=$B$320)*(N($B$142)+N($B$143)))*N($B$321))</f>
        <v/>
      </c>
      <c r="C784" s="21" t="inlineStr">
        <is>
          <t>m²</t>
        </is>
      </c>
      <c r="D784" s="22" t="inlineStr">
        <is>
          <t>calculado</t>
        </is>
      </c>
    </row>
    <row r="785">
      <c r="A785" s="19" t="inlineStr">
        <is>
          <t>Alocação 10 — VGV de tabela</t>
        </is>
      </c>
      <c r="B785" s="25">
        <f>$B$784*N($B$322)</f>
        <v/>
      </c>
      <c r="C785" s="21" t="inlineStr">
        <is>
          <t>R$</t>
        </is>
      </c>
      <c r="D785" s="22" t="inlineStr">
        <is>
          <t>calculado</t>
        </is>
      </c>
    </row>
    <row r="786">
      <c r="A786" s="19" t="inlineStr">
        <is>
          <t>Área privativa total alocada (base de R$/m² priv.)</t>
        </is>
      </c>
      <c r="B786" s="26">
        <f>$B$766+$B$768+$B$770+$B$772+$B$774+$B$776+$B$778+$B$780+$B$782+$B$784</f>
        <v/>
      </c>
      <c r="C786" s="21" t="inlineStr">
        <is>
          <t>m²</t>
        </is>
      </c>
      <c r="D786" s="22" t="inlineStr">
        <is>
          <t>calculado</t>
        </is>
      </c>
    </row>
    <row r="787">
      <c r="A787" s="19" t="inlineStr">
        <is>
          <t>Unidades alocadas</t>
        </is>
      </c>
      <c r="B787" s="20">
        <f>N($B$276)+N($B$281)+N($B$286)+N($B$291)+N($B$296)+N($B$301)+N($B$306)+N($B$311)+N($B$316)+N($B$321)</f>
        <v/>
      </c>
      <c r="C787" s="21" t="inlineStr">
        <is>
          <t>unidades</t>
        </is>
      </c>
      <c r="D787" s="22" t="inlineStr">
        <is>
          <t>calculado</t>
        </is>
      </c>
    </row>
    <row r="788">
      <c r="A788" s="19" t="inlineStr">
        <is>
          <t>VGV de tabela (Σ alocações)</t>
        </is>
      </c>
      <c r="B788" s="25">
        <f>$B$767+$B$769+$B$771+$B$773+$B$775+$B$777+$B$779+$B$781+$B$783+$B$785</f>
        <v/>
      </c>
      <c r="C788" s="21" t="inlineStr">
        <is>
          <t>R$</t>
        </is>
      </c>
      <c r="D788" s="22" t="inlineStr">
        <is>
          <t>calculado</t>
        </is>
      </c>
    </row>
    <row r="789">
      <c r="A789" s="19" t="inlineStr">
        <is>
          <t>Preço médio de tabela</t>
        </is>
      </c>
      <c r="B789" s="25">
        <f>IF($B$786&gt;0,$B$788/$B$786,"")</f>
        <v/>
      </c>
      <c r="C789" s="21" t="inlineStr">
        <is>
          <t>R$/m² priv.</t>
        </is>
      </c>
      <c r="D789" s="22" t="inlineStr">
        <is>
          <t>calculado</t>
        </is>
      </c>
    </row>
    <row r="790">
      <c r="A790" s="19" t="inlineStr">
        <is>
          <t>Tipologia 1 — unidades alocadas</t>
        </is>
      </c>
      <c r="B790" s="20">
        <f>($B$275=$B$59)*N($B$276)+($B$280=$B$59)*N($B$281)+($B$285=$B$59)*N($B$286)+($B$290=$B$59)*N($B$291)+($B$295=$B$59)*N($B$296)+($B$300=$B$59)*N($B$301)+($B$305=$B$59)*N($B$306)+($B$310=$B$59)*N($B$311)+($B$315=$B$59)*N($B$316)+($B$320=$B$59)*N($B$321)</f>
        <v/>
      </c>
      <c r="C790" s="21" t="inlineStr">
        <is>
          <t>unidades</t>
        </is>
      </c>
      <c r="D790" s="22" t="inlineStr">
        <is>
          <t>calculado</t>
        </is>
      </c>
    </row>
    <row r="791">
      <c r="A791" s="19" t="inlineStr">
        <is>
          <t>Tipologia 1 — alocado × catálogo</t>
        </is>
      </c>
      <c r="B791" s="24">
        <f>IF($B$59="","",IF($B$790&gt;N($B$65),"⚠ alocado &gt; catálogo",IF($B$790&lt;N($B$65),"há unidades sem alocar","OK")))</f>
        <v/>
      </c>
      <c r="C791" s="21" t="inlineStr">
        <is>
          <t>alerta</t>
        </is>
      </c>
      <c r="D791" s="22" t="inlineStr">
        <is>
          <t>calculado</t>
        </is>
      </c>
    </row>
    <row r="792">
      <c r="A792" s="19" t="inlineStr">
        <is>
          <t>Tipologia 2 — unidades alocadas</t>
        </is>
      </c>
      <c r="B792" s="20">
        <f>($B$275=$B$68)*N($B$276)+($B$280=$B$68)*N($B$281)+($B$285=$B$68)*N($B$286)+($B$290=$B$68)*N($B$291)+($B$295=$B$68)*N($B$296)+($B$300=$B$68)*N($B$301)+($B$305=$B$68)*N($B$306)+($B$310=$B$68)*N($B$311)+($B$315=$B$68)*N($B$316)+($B$320=$B$68)*N($B$321)</f>
        <v/>
      </c>
      <c r="C792" s="21" t="inlineStr">
        <is>
          <t>unidades</t>
        </is>
      </c>
      <c r="D792" s="22" t="inlineStr">
        <is>
          <t>calculado</t>
        </is>
      </c>
    </row>
    <row r="793">
      <c r="A793" s="19" t="inlineStr">
        <is>
          <t>Tipologia 2 — alocado × catálogo</t>
        </is>
      </c>
      <c r="B793" s="24">
        <f>IF($B$68="","",IF($B$792&gt;N($B$74),"⚠ alocado &gt; catálogo",IF($B$792&lt;N($B$74),"há unidades sem alocar","OK")))</f>
        <v/>
      </c>
      <c r="C793" s="21" t="inlineStr">
        <is>
          <t>alerta</t>
        </is>
      </c>
      <c r="D793" s="22" t="inlineStr">
        <is>
          <t>calculado</t>
        </is>
      </c>
    </row>
    <row r="794">
      <c r="A794" s="19" t="inlineStr">
        <is>
          <t>Tipologia 3 — unidades alocadas</t>
        </is>
      </c>
      <c r="B794" s="20">
        <f>($B$275=$B$77)*N($B$276)+($B$280=$B$77)*N($B$281)+($B$285=$B$77)*N($B$286)+($B$290=$B$77)*N($B$291)+($B$295=$B$77)*N($B$296)+($B$300=$B$77)*N($B$301)+($B$305=$B$77)*N($B$306)+($B$310=$B$77)*N($B$311)+($B$315=$B$77)*N($B$316)+($B$320=$B$77)*N($B$321)</f>
        <v/>
      </c>
      <c r="C794" s="21" t="inlineStr">
        <is>
          <t>unidades</t>
        </is>
      </c>
      <c r="D794" s="22" t="inlineStr">
        <is>
          <t>calculado</t>
        </is>
      </c>
    </row>
    <row r="795">
      <c r="A795" s="19" t="inlineStr">
        <is>
          <t>Tipologia 3 — alocado × catálogo</t>
        </is>
      </c>
      <c r="B795" s="24">
        <f>IF($B$77="","",IF($B$794&gt;N($B$83),"⚠ alocado &gt; catálogo",IF($B$794&lt;N($B$83),"há unidades sem alocar","OK")))</f>
        <v/>
      </c>
      <c r="C795" s="21" t="inlineStr">
        <is>
          <t>alerta</t>
        </is>
      </c>
      <c r="D795" s="22" t="inlineStr">
        <is>
          <t>calculado</t>
        </is>
      </c>
    </row>
    <row r="796">
      <c r="A796" s="19" t="inlineStr">
        <is>
          <t>Tipologia 4 — unidades alocadas</t>
        </is>
      </c>
      <c r="B796" s="20">
        <f>($B$275=$B$86)*N($B$276)+($B$280=$B$86)*N($B$281)+($B$285=$B$86)*N($B$286)+($B$290=$B$86)*N($B$291)+($B$295=$B$86)*N($B$296)+($B$300=$B$86)*N($B$301)+($B$305=$B$86)*N($B$306)+($B$310=$B$86)*N($B$311)+($B$315=$B$86)*N($B$316)+($B$320=$B$86)*N($B$321)</f>
        <v/>
      </c>
      <c r="C796" s="21" t="inlineStr">
        <is>
          <t>unidades</t>
        </is>
      </c>
      <c r="D796" s="22" t="inlineStr">
        <is>
          <t>calculado</t>
        </is>
      </c>
    </row>
    <row r="797">
      <c r="A797" s="19" t="inlineStr">
        <is>
          <t>Tipologia 4 — alocado × catálogo</t>
        </is>
      </c>
      <c r="B797" s="24">
        <f>IF($B$86="","",IF($B$796&gt;N($B$92),"⚠ alocado &gt; catálogo",IF($B$796&lt;N($B$92),"há unidades sem alocar","OK")))</f>
        <v/>
      </c>
      <c r="C797" s="21" t="inlineStr">
        <is>
          <t>alerta</t>
        </is>
      </c>
      <c r="D797" s="22" t="inlineStr">
        <is>
          <t>calculado</t>
        </is>
      </c>
    </row>
    <row r="798">
      <c r="A798" s="19" t="inlineStr">
        <is>
          <t>Tipologia 5 — unidades alocadas</t>
        </is>
      </c>
      <c r="B798" s="20">
        <f>($B$275=$B$95)*N($B$276)+($B$280=$B$95)*N($B$281)+($B$285=$B$95)*N($B$286)+($B$290=$B$95)*N($B$291)+($B$295=$B$95)*N($B$296)+($B$300=$B$95)*N($B$301)+($B$305=$B$95)*N($B$306)+($B$310=$B$95)*N($B$311)+($B$315=$B$95)*N($B$316)+($B$320=$B$95)*N($B$321)</f>
        <v/>
      </c>
      <c r="C798" s="21" t="inlineStr">
        <is>
          <t>unidades</t>
        </is>
      </c>
      <c r="D798" s="22" t="inlineStr">
        <is>
          <t>calculado</t>
        </is>
      </c>
    </row>
    <row r="799">
      <c r="A799" s="19" t="inlineStr">
        <is>
          <t>Tipologia 5 — alocado × catálogo</t>
        </is>
      </c>
      <c r="B799" s="24">
        <f>IF($B$95="","",IF($B$798&gt;N($B$101),"⚠ alocado &gt; catálogo",IF($B$798&lt;N($B$101),"há unidades sem alocar","OK")))</f>
        <v/>
      </c>
      <c r="C799" s="21" t="inlineStr">
        <is>
          <t>alerta</t>
        </is>
      </c>
      <c r="D799" s="22" t="inlineStr">
        <is>
          <t>calculado</t>
        </is>
      </c>
    </row>
    <row r="800">
      <c r="A800" s="19" t="inlineStr">
        <is>
          <t>Tipologia 6 — unidades alocadas</t>
        </is>
      </c>
      <c r="B800" s="20">
        <f>($B$275=$B$104)*N($B$276)+($B$280=$B$104)*N($B$281)+($B$285=$B$104)*N($B$286)+($B$290=$B$104)*N($B$291)+($B$295=$B$104)*N($B$296)+($B$300=$B$104)*N($B$301)+($B$305=$B$104)*N($B$306)+($B$310=$B$104)*N($B$311)+($B$315=$B$104)*N($B$316)+($B$320=$B$104)*N($B$321)</f>
        <v/>
      </c>
      <c r="C800" s="21" t="inlineStr">
        <is>
          <t>unidades</t>
        </is>
      </c>
      <c r="D800" s="22" t="inlineStr">
        <is>
          <t>calculado</t>
        </is>
      </c>
    </row>
    <row r="801">
      <c r="A801" s="19" t="inlineStr">
        <is>
          <t>Tipologia 6 — alocado × catálogo</t>
        </is>
      </c>
      <c r="B801" s="24">
        <f>IF($B$104="","",IF($B$800&gt;N($B$110),"⚠ alocado &gt; catálogo",IF($B$800&lt;N($B$110),"há unidades sem alocar","OK")))</f>
        <v/>
      </c>
      <c r="C801" s="21" t="inlineStr">
        <is>
          <t>alerta</t>
        </is>
      </c>
      <c r="D801" s="22" t="inlineStr">
        <is>
          <t>calculado</t>
        </is>
      </c>
    </row>
    <row r="802">
      <c r="A802" s="19" t="inlineStr">
        <is>
          <t>Tipologia 7 — unidades alocadas</t>
        </is>
      </c>
      <c r="B802" s="20">
        <f>($B$275=$B$113)*N($B$276)+($B$280=$B$113)*N($B$281)+($B$285=$B$113)*N($B$286)+($B$290=$B$113)*N($B$291)+($B$295=$B$113)*N($B$296)+($B$300=$B$113)*N($B$301)+($B$305=$B$113)*N($B$306)+($B$310=$B$113)*N($B$311)+($B$315=$B$113)*N($B$316)+($B$320=$B$113)*N($B$321)</f>
        <v/>
      </c>
      <c r="C802" s="21" t="inlineStr">
        <is>
          <t>unidades</t>
        </is>
      </c>
      <c r="D802" s="22" t="inlineStr">
        <is>
          <t>calculado</t>
        </is>
      </c>
    </row>
    <row r="803">
      <c r="A803" s="19" t="inlineStr">
        <is>
          <t>Tipologia 7 — alocado × catálogo</t>
        </is>
      </c>
      <c r="B803" s="24">
        <f>IF($B$113="","",IF($B$802&gt;N($B$119),"⚠ alocado &gt; catálogo",IF($B$802&lt;N($B$119),"há unidades sem alocar","OK")))</f>
        <v/>
      </c>
      <c r="C803" s="21" t="inlineStr">
        <is>
          <t>alerta</t>
        </is>
      </c>
      <c r="D803" s="22" t="inlineStr">
        <is>
          <t>calculado</t>
        </is>
      </c>
    </row>
    <row r="804">
      <c r="A804" s="19" t="inlineStr">
        <is>
          <t>Tipologia 8 — unidades alocadas</t>
        </is>
      </c>
      <c r="B804" s="20">
        <f>($B$275=$B$122)*N($B$276)+($B$280=$B$122)*N($B$281)+($B$285=$B$122)*N($B$286)+($B$290=$B$122)*N($B$291)+($B$295=$B$122)*N($B$296)+($B$300=$B$122)*N($B$301)+($B$305=$B$122)*N($B$306)+($B$310=$B$122)*N($B$311)+($B$315=$B$122)*N($B$316)+($B$320=$B$122)*N($B$321)</f>
        <v/>
      </c>
      <c r="C804" s="21" t="inlineStr">
        <is>
          <t>unidades</t>
        </is>
      </c>
      <c r="D804" s="22" t="inlineStr">
        <is>
          <t>calculado</t>
        </is>
      </c>
    </row>
    <row r="805">
      <c r="A805" s="19" t="inlineStr">
        <is>
          <t>Tipologia 8 — alocado × catálogo</t>
        </is>
      </c>
      <c r="B805" s="24">
        <f>IF($B$122="","",IF($B$804&gt;N($B$128),"⚠ alocado &gt; catálogo",IF($B$804&lt;N($B$128),"há unidades sem alocar","OK")))</f>
        <v/>
      </c>
      <c r="C805" s="21" t="inlineStr">
        <is>
          <t>alerta</t>
        </is>
      </c>
      <c r="D805" s="22" t="inlineStr">
        <is>
          <t>calculado</t>
        </is>
      </c>
    </row>
    <row r="806">
      <c r="A806" s="19" t="inlineStr">
        <is>
          <t>Tipologia 9 — unidades alocadas</t>
        </is>
      </c>
      <c r="B806" s="20">
        <f>($B$275=$B$131)*N($B$276)+($B$280=$B$131)*N($B$281)+($B$285=$B$131)*N($B$286)+($B$290=$B$131)*N($B$291)+($B$295=$B$131)*N($B$296)+($B$300=$B$131)*N($B$301)+($B$305=$B$131)*N($B$306)+($B$310=$B$131)*N($B$311)+($B$315=$B$131)*N($B$316)+($B$320=$B$131)*N($B$321)</f>
        <v/>
      </c>
      <c r="C806" s="21" t="inlineStr">
        <is>
          <t>unidades</t>
        </is>
      </c>
      <c r="D806" s="22" t="inlineStr">
        <is>
          <t>calculado</t>
        </is>
      </c>
    </row>
    <row r="807">
      <c r="A807" s="19" t="inlineStr">
        <is>
          <t>Tipologia 9 — alocado × catálogo</t>
        </is>
      </c>
      <c r="B807" s="24">
        <f>IF($B$131="","",IF($B$806&gt;N($B$137),"⚠ alocado &gt; catálogo",IF($B$806&lt;N($B$137),"há unidades sem alocar","OK")))</f>
        <v/>
      </c>
      <c r="C807" s="21" t="inlineStr">
        <is>
          <t>alerta</t>
        </is>
      </c>
      <c r="D807" s="22" t="inlineStr">
        <is>
          <t>calculado</t>
        </is>
      </c>
    </row>
    <row r="808">
      <c r="A808" s="19" t="inlineStr">
        <is>
          <t>Tipologia 10 — unidades alocadas</t>
        </is>
      </c>
      <c r="B808" s="20">
        <f>($B$275=$B$140)*N($B$276)+($B$280=$B$140)*N($B$281)+($B$285=$B$140)*N($B$286)+($B$290=$B$140)*N($B$291)+($B$295=$B$140)*N($B$296)+($B$300=$B$140)*N($B$301)+($B$305=$B$140)*N($B$306)+($B$310=$B$140)*N($B$311)+($B$315=$B$140)*N($B$316)+($B$320=$B$140)*N($B$321)</f>
        <v/>
      </c>
      <c r="C808" s="21" t="inlineStr">
        <is>
          <t>unidades</t>
        </is>
      </c>
      <c r="D808" s="22" t="inlineStr">
        <is>
          <t>calculado</t>
        </is>
      </c>
    </row>
    <row r="809">
      <c r="A809" s="19" t="inlineStr">
        <is>
          <t>Tipologia 10 — alocado × catálogo</t>
        </is>
      </c>
      <c r="B809" s="24">
        <f>IF($B$140="","",IF($B$808&gt;N($B$146),"⚠ alocado &gt; catálogo",IF($B$808&lt;N($B$146),"há unidades sem alocar","OK")))</f>
        <v/>
      </c>
      <c r="C809" s="21" t="inlineStr">
        <is>
          <t>alerta</t>
        </is>
      </c>
      <c r="D809" s="22" t="inlineStr">
        <is>
          <t>calculado</t>
        </is>
      </c>
    </row>
    <row r="810">
      <c r="A810" s="19" t="inlineStr">
        <is>
          <t>Alocação 1 — item encontrado?</t>
        </is>
      </c>
      <c r="B810" s="24">
        <f>IF($B$275="","",IF((($B$59=$B$275)*1+($B$68=$B$275)*1+($B$77=$B$275)*1+($B$86=$B$275)*1+($B$95=$B$275)*1+($B$104=$B$275)*1+($B$113=$B$275)*1+($B$122=$B$275)*1+($B$131=$B$275)*1+($B$140=$B$275)*1)&gt;0,"OK","⚠ nome não bate com a seção 5"))</f>
        <v/>
      </c>
      <c r="C810" s="21" t="inlineStr">
        <is>
          <t>alerta</t>
        </is>
      </c>
      <c r="D810" s="22" t="inlineStr">
        <is>
          <t>calculado</t>
        </is>
      </c>
    </row>
    <row r="811">
      <c r="A811" s="19" t="inlineStr">
        <is>
          <t>Alocação 2 — item encontrado?</t>
        </is>
      </c>
      <c r="B811" s="24">
        <f>IF($B$280="","",IF((($B$59=$B$280)*1+($B$68=$B$280)*1+($B$77=$B$280)*1+($B$86=$B$280)*1+($B$95=$B$280)*1+($B$104=$B$280)*1+($B$113=$B$280)*1+($B$122=$B$280)*1+($B$131=$B$280)*1+($B$140=$B$280)*1)&gt;0,"OK","⚠ nome não bate com a seção 5"))</f>
        <v/>
      </c>
      <c r="C811" s="21" t="inlineStr">
        <is>
          <t>alerta</t>
        </is>
      </c>
      <c r="D811" s="22" t="inlineStr">
        <is>
          <t>calculado</t>
        </is>
      </c>
    </row>
    <row r="812">
      <c r="A812" s="19" t="inlineStr">
        <is>
          <t>Alocação 3 — item encontrado?</t>
        </is>
      </c>
      <c r="B812" s="24">
        <f>IF($B$285="","",IF((($B$59=$B$285)*1+($B$68=$B$285)*1+($B$77=$B$285)*1+($B$86=$B$285)*1+($B$95=$B$285)*1+($B$104=$B$285)*1+($B$113=$B$285)*1+($B$122=$B$285)*1+($B$131=$B$285)*1+($B$140=$B$285)*1)&gt;0,"OK","⚠ nome não bate com a seção 5"))</f>
        <v/>
      </c>
      <c r="C812" s="21" t="inlineStr">
        <is>
          <t>alerta</t>
        </is>
      </c>
      <c r="D812" s="22" t="inlineStr">
        <is>
          <t>calculado</t>
        </is>
      </c>
    </row>
    <row r="813">
      <c r="A813" s="19" t="inlineStr">
        <is>
          <t>Alocação 4 — item encontrado?</t>
        </is>
      </c>
      <c r="B813" s="24">
        <f>IF($B$290="","",IF((($B$59=$B$290)*1+($B$68=$B$290)*1+($B$77=$B$290)*1+($B$86=$B$290)*1+($B$95=$B$290)*1+($B$104=$B$290)*1+($B$113=$B$290)*1+($B$122=$B$290)*1+($B$131=$B$290)*1+($B$140=$B$290)*1)&gt;0,"OK","⚠ nome não bate com a seção 5"))</f>
        <v/>
      </c>
      <c r="C813" s="21" t="inlineStr">
        <is>
          <t>alerta</t>
        </is>
      </c>
      <c r="D813" s="22" t="inlineStr">
        <is>
          <t>calculado</t>
        </is>
      </c>
    </row>
    <row r="814">
      <c r="A814" s="19" t="inlineStr">
        <is>
          <t>Alocação 5 — item encontrado?</t>
        </is>
      </c>
      <c r="B814" s="24">
        <f>IF($B$295="","",IF((($B$59=$B$295)*1+($B$68=$B$295)*1+($B$77=$B$295)*1+($B$86=$B$295)*1+($B$95=$B$295)*1+($B$104=$B$295)*1+($B$113=$B$295)*1+($B$122=$B$295)*1+($B$131=$B$295)*1+($B$140=$B$295)*1)&gt;0,"OK","⚠ nome não bate com a seção 5"))</f>
        <v/>
      </c>
      <c r="C814" s="21" t="inlineStr">
        <is>
          <t>alerta</t>
        </is>
      </c>
      <c r="D814" s="22" t="inlineStr">
        <is>
          <t>calculado</t>
        </is>
      </c>
    </row>
    <row r="815">
      <c r="A815" s="19" t="inlineStr">
        <is>
          <t>Alocação 6 — item encontrado?</t>
        </is>
      </c>
      <c r="B815" s="24">
        <f>IF($B$300="","",IF((($B$59=$B$300)*1+($B$68=$B$300)*1+($B$77=$B$300)*1+($B$86=$B$300)*1+($B$95=$B$300)*1+($B$104=$B$300)*1+($B$113=$B$300)*1+($B$122=$B$300)*1+($B$131=$B$300)*1+($B$140=$B$300)*1)&gt;0,"OK","⚠ nome não bate com a seção 5"))</f>
        <v/>
      </c>
      <c r="C815" s="21" t="inlineStr">
        <is>
          <t>alerta</t>
        </is>
      </c>
      <c r="D815" s="22" t="inlineStr">
        <is>
          <t>calculado</t>
        </is>
      </c>
    </row>
    <row r="816">
      <c r="A816" s="19" t="inlineStr">
        <is>
          <t>Alocação 7 — item encontrado?</t>
        </is>
      </c>
      <c r="B816" s="24">
        <f>IF($B$305="","",IF((($B$59=$B$305)*1+($B$68=$B$305)*1+($B$77=$B$305)*1+($B$86=$B$305)*1+($B$95=$B$305)*1+($B$104=$B$305)*1+($B$113=$B$305)*1+($B$122=$B$305)*1+($B$131=$B$305)*1+($B$140=$B$305)*1)&gt;0,"OK","⚠ nome não bate com a seção 5"))</f>
        <v/>
      </c>
      <c r="C816" s="21" t="inlineStr">
        <is>
          <t>alerta</t>
        </is>
      </c>
      <c r="D816" s="22" t="inlineStr">
        <is>
          <t>calculado</t>
        </is>
      </c>
    </row>
    <row r="817">
      <c r="A817" s="19" t="inlineStr">
        <is>
          <t>Alocação 8 — item encontrado?</t>
        </is>
      </c>
      <c r="B817" s="24">
        <f>IF($B$310="","",IF((($B$59=$B$310)*1+($B$68=$B$310)*1+($B$77=$B$310)*1+($B$86=$B$310)*1+($B$95=$B$310)*1+($B$104=$B$310)*1+($B$113=$B$310)*1+($B$122=$B$310)*1+($B$131=$B$310)*1+($B$140=$B$310)*1)&gt;0,"OK","⚠ nome não bate com a seção 5"))</f>
        <v/>
      </c>
      <c r="C817" s="21" t="inlineStr">
        <is>
          <t>alerta</t>
        </is>
      </c>
      <c r="D817" s="22" t="inlineStr">
        <is>
          <t>calculado</t>
        </is>
      </c>
    </row>
    <row r="818">
      <c r="A818" s="19" t="inlineStr">
        <is>
          <t>Alocação 9 — item encontrado?</t>
        </is>
      </c>
      <c r="B818" s="24">
        <f>IF($B$315="","",IF((($B$59=$B$315)*1+($B$68=$B$315)*1+($B$77=$B$315)*1+($B$86=$B$315)*1+($B$95=$B$315)*1+($B$104=$B$315)*1+($B$113=$B$315)*1+($B$122=$B$315)*1+($B$131=$B$315)*1+($B$140=$B$315)*1)&gt;0,"OK","⚠ nome não bate com a seção 5"))</f>
        <v/>
      </c>
      <c r="C818" s="21" t="inlineStr">
        <is>
          <t>alerta</t>
        </is>
      </c>
      <c r="D818" s="22" t="inlineStr">
        <is>
          <t>calculado</t>
        </is>
      </c>
    </row>
    <row r="819">
      <c r="A819" s="19" t="inlineStr">
        <is>
          <t>Alocação 10 — item encontrado?</t>
        </is>
      </c>
      <c r="B819" s="24">
        <f>IF($B$320="","",IF((($B$59=$B$320)*1+($B$68=$B$320)*1+($B$77=$B$320)*1+($B$86=$B$320)*1+($B$95=$B$320)*1+($B$104=$B$320)*1+($B$113=$B$320)*1+($B$122=$B$320)*1+($B$131=$B$320)*1+($B$140=$B$320)*1)&gt;0,"OK","⚠ nome não bate com a seção 5"))</f>
        <v/>
      </c>
      <c r="C819" s="21" t="inlineStr">
        <is>
          <t>alerta</t>
        </is>
      </c>
      <c r="D819" s="22" t="inlineStr">
        <is>
          <t>calculado</t>
        </is>
      </c>
    </row>
    <row r="820">
      <c r="A820" s="16" t="inlineStr">
        <is>
          <t>Grupos de venda — absorção, repasse e VGV</t>
        </is>
      </c>
    </row>
    <row r="821">
      <c r="A821" s="19" t="inlineStr">
        <is>
          <t>Grupo 1 — Absorção Pós-chaves</t>
        </is>
      </c>
      <c r="B821" s="27">
        <f>IF($B$151="","",1-N($B$152)-N($B$153)-N($B$154))</f>
        <v/>
      </c>
      <c r="C821" s="21" t="inlineStr">
        <is>
          <t>% (= 100% − pré − lançamento − obra)</t>
        </is>
      </c>
      <c r="D821" s="22" t="inlineStr">
        <is>
          <t>calculado (absorcao pós-chaves)</t>
        </is>
      </c>
    </row>
    <row r="822">
      <c r="A822" s="19" t="inlineStr">
        <is>
          <t>Grupo 1 — Σ % do pagamento</t>
        </is>
      </c>
      <c r="B822" s="27">
        <f>IF($B$151="","",IF($B$193=$B$151,N($B$195),0)+IF($B$201=$B$151,N($B$203),0)+IF($B$209=$B$151,N($B$211),0)+IF($B$217=$B$151,N($B$219),0)+IF($B$225=$B$151,N($B$227),0)+IF($B$233=$B$151,N($B$235),0)+IF($B$241=$B$151,N($B$243),0)+IF($B$249=$B$151,N($B$251),0)+IF($B$257=$B$151,N($B$259),0)+IF($B$265=$B$151,N($B$267),0))</f>
        <v/>
      </c>
      <c r="C822" s="21" t="inlineStr">
        <is>
          <t>% do preço</t>
        </is>
      </c>
      <c r="D822" s="22" t="inlineStr">
        <is>
          <t>calculado</t>
        </is>
      </c>
    </row>
    <row r="823">
      <c r="A823" s="19" t="inlineStr">
        <is>
          <t>Grupo 1 — Repasse</t>
        </is>
      </c>
      <c r="B823" s="27">
        <f>IF($B$151="","",1-$B$822)</f>
        <v/>
      </c>
      <c r="C823" s="21" t="inlineStr">
        <is>
          <t>% (= 100% − Σ pagamento)</t>
        </is>
      </c>
      <c r="D823" s="22" t="inlineStr">
        <is>
          <t>calculado (repasse)</t>
        </is>
      </c>
    </row>
    <row r="824">
      <c r="A824" s="19" t="inlineStr">
        <is>
          <t>Grupo 1 — VGV de tabela</t>
        </is>
      </c>
      <c r="B824" s="25">
        <f>IF($B$151="","",IF($B$274=$B$151,$B$767,0)+IF($B$279=$B$151,$B$769,0)+IF($B$284=$B$151,$B$771,0)+IF($B$289=$B$151,$B$773,0)+IF($B$294=$B$151,$B$775,0)+IF($B$299=$B$151,$B$777,0)+IF($B$304=$B$151,$B$779,0)+IF($B$309=$B$151,$B$781,0)+IF($B$314=$B$151,$B$783,0)+IF($B$319=$B$151,$B$785,0))</f>
        <v/>
      </c>
      <c r="C824" s="21" t="inlineStr">
        <is>
          <t>R$</t>
        </is>
      </c>
      <c r="D824" s="22" t="inlineStr">
        <is>
          <t>calculado</t>
        </is>
      </c>
    </row>
    <row r="825">
      <c r="A825" s="19" t="inlineStr">
        <is>
          <t>Grupo 1 — conferência</t>
        </is>
      </c>
      <c r="B825" s="24">
        <f>IF($B$151="","",IF(N($B$152)+N($B$153)+N($B$154)&gt;1.00001,"⚠ absorção &gt; 100%",IF($B$822&gt;1.00001,"⚠ Σ pagamento &gt; 100%",IF(AND($B$29="Não",N($B$152)&gt;0),"⚠ absorção de pré sem pré-lançamento",IF(IF(AND($B$193=$B$151,$B$194="Parcelamento"),1,0)+IF(AND($B$201=$B$151,$B$202="Parcelamento"),1,0)+IF(AND($B$209=$B$151,$B$210="Parcelamento"),1,0)+IF(AND($B$217=$B$151,$B$218="Parcelamento"),1,0)+IF(AND($B$225=$B$151,$B$226="Parcelamento"),1,0)+IF(AND($B$233=$B$151,$B$234="Parcelamento"),1,0)+IF(AND($B$241=$B$151,$B$242="Parcelamento"),1,0)+IF(AND($B$249=$B$151,$B$250="Parcelamento"),1,0)+IF(AND($B$257=$B$151,$B$258="Parcelamento"),1,0)+IF(AND($B$265=$B$151,$B$266="Parcelamento"),1,0)&gt;4,"⚠ mais de 4 parcelamentos","OK"))))) </f>
        <v/>
      </c>
      <c r="C825" s="21" t="inlineStr">
        <is>
          <t>alerta</t>
        </is>
      </c>
      <c r="D825" s="22" t="inlineStr">
        <is>
          <t>calculado</t>
        </is>
      </c>
    </row>
    <row r="826">
      <c r="A826" s="19" t="inlineStr">
        <is>
          <t>Grupo 2 — Absorção Pós-chaves</t>
        </is>
      </c>
      <c r="B826" s="27">
        <f>IF($B$159="","",1-N($B$160)-N($B$161)-N($B$162))</f>
        <v/>
      </c>
      <c r="C826" s="21" t="inlineStr">
        <is>
          <t>% (= 100% − pré − lançamento − obra)</t>
        </is>
      </c>
      <c r="D826" s="22" t="inlineStr">
        <is>
          <t>calculado (absorcao pós-chaves)</t>
        </is>
      </c>
    </row>
    <row r="827">
      <c r="A827" s="19" t="inlineStr">
        <is>
          <t>Grupo 2 — Σ % do pagamento</t>
        </is>
      </c>
      <c r="B827" s="27">
        <f>IF($B$159="","",IF($B$193=$B$159,N($B$195),0)+IF($B$201=$B$159,N($B$203),0)+IF($B$209=$B$159,N($B$211),0)+IF($B$217=$B$159,N($B$219),0)+IF($B$225=$B$159,N($B$227),0)+IF($B$233=$B$159,N($B$235),0)+IF($B$241=$B$159,N($B$243),0)+IF($B$249=$B$159,N($B$251),0)+IF($B$257=$B$159,N($B$259),0)+IF($B$265=$B$159,N($B$267),0))</f>
        <v/>
      </c>
      <c r="C827" s="21" t="inlineStr">
        <is>
          <t>% do preço</t>
        </is>
      </c>
      <c r="D827" s="22" t="inlineStr">
        <is>
          <t>calculado</t>
        </is>
      </c>
    </row>
    <row r="828">
      <c r="A828" s="19" t="inlineStr">
        <is>
          <t>Grupo 2 — Repasse</t>
        </is>
      </c>
      <c r="B828" s="27">
        <f>IF($B$159="","",1-$B$827)</f>
        <v/>
      </c>
      <c r="C828" s="21" t="inlineStr">
        <is>
          <t>% (= 100% − Σ pagamento)</t>
        </is>
      </c>
      <c r="D828" s="22" t="inlineStr">
        <is>
          <t>calculado (repasse)</t>
        </is>
      </c>
    </row>
    <row r="829">
      <c r="A829" s="19" t="inlineStr">
        <is>
          <t>Grupo 2 — VGV de tabela</t>
        </is>
      </c>
      <c r="B829" s="25">
        <f>IF($B$159="","",IF($B$274=$B$159,$B$767,0)+IF($B$279=$B$159,$B$769,0)+IF($B$284=$B$159,$B$771,0)+IF($B$289=$B$159,$B$773,0)+IF($B$294=$B$159,$B$775,0)+IF($B$299=$B$159,$B$777,0)+IF($B$304=$B$159,$B$779,0)+IF($B$309=$B$159,$B$781,0)+IF($B$314=$B$159,$B$783,0)+IF($B$319=$B$159,$B$785,0))</f>
        <v/>
      </c>
      <c r="C829" s="21" t="inlineStr">
        <is>
          <t>R$</t>
        </is>
      </c>
      <c r="D829" s="22" t="inlineStr">
        <is>
          <t>calculado</t>
        </is>
      </c>
    </row>
    <row r="830">
      <c r="A830" s="19" t="inlineStr">
        <is>
          <t>Grupo 2 — conferência</t>
        </is>
      </c>
      <c r="B830" s="24">
        <f>IF($B$159="","",IF(N($B$160)+N($B$161)+N($B$162)&gt;1.00001,"⚠ absorção &gt; 100%",IF($B$827&gt;1.00001,"⚠ Σ pagamento &gt; 100%",IF(AND($B$29="Não",N($B$160)&gt;0),"⚠ absorção de pré sem pré-lançamento",IF(IF(AND($B$193=$B$159,$B$194="Parcelamento"),1,0)+IF(AND($B$201=$B$159,$B$202="Parcelamento"),1,0)+IF(AND($B$209=$B$159,$B$210="Parcelamento"),1,0)+IF(AND($B$217=$B$159,$B$218="Parcelamento"),1,0)+IF(AND($B$225=$B$159,$B$226="Parcelamento"),1,0)+IF(AND($B$233=$B$159,$B$234="Parcelamento"),1,0)+IF(AND($B$241=$B$159,$B$242="Parcelamento"),1,0)+IF(AND($B$249=$B$159,$B$250="Parcelamento"),1,0)+IF(AND($B$257=$B$159,$B$258="Parcelamento"),1,0)+IF(AND($B$265=$B$159,$B$266="Parcelamento"),1,0)&gt;4,"⚠ mais de 4 parcelamentos","OK"))))) </f>
        <v/>
      </c>
      <c r="C830" s="21" t="inlineStr">
        <is>
          <t>alerta</t>
        </is>
      </c>
      <c r="D830" s="22" t="inlineStr">
        <is>
          <t>calculado</t>
        </is>
      </c>
    </row>
    <row r="831">
      <c r="A831" s="19" t="inlineStr">
        <is>
          <t>Grupo 3 — Absorção Pós-chaves</t>
        </is>
      </c>
      <c r="B831" s="27">
        <f>IF($B$167="","",1-N($B$168)-N($B$169)-N($B$170))</f>
        <v/>
      </c>
      <c r="C831" s="21" t="inlineStr">
        <is>
          <t>% (= 100% − pré − lançamento − obra)</t>
        </is>
      </c>
      <c r="D831" s="22" t="inlineStr">
        <is>
          <t>calculado (absorcao pós-chaves)</t>
        </is>
      </c>
    </row>
    <row r="832">
      <c r="A832" s="19" t="inlineStr">
        <is>
          <t>Grupo 3 — Σ % do pagamento</t>
        </is>
      </c>
      <c r="B832" s="27">
        <f>IF($B$167="","",IF($B$193=$B$167,N($B$195),0)+IF($B$201=$B$167,N($B$203),0)+IF($B$209=$B$167,N($B$211),0)+IF($B$217=$B$167,N($B$219),0)+IF($B$225=$B$167,N($B$227),0)+IF($B$233=$B$167,N($B$235),0)+IF($B$241=$B$167,N($B$243),0)+IF($B$249=$B$167,N($B$251),0)+IF($B$257=$B$167,N($B$259),0)+IF($B$265=$B$167,N($B$267),0))</f>
        <v/>
      </c>
      <c r="C832" s="21" t="inlineStr">
        <is>
          <t>% do preço</t>
        </is>
      </c>
      <c r="D832" s="22" t="inlineStr">
        <is>
          <t>calculado</t>
        </is>
      </c>
    </row>
    <row r="833">
      <c r="A833" s="19" t="inlineStr">
        <is>
          <t>Grupo 3 — Repasse</t>
        </is>
      </c>
      <c r="B833" s="27">
        <f>IF($B$167="","",1-$B$832)</f>
        <v/>
      </c>
      <c r="C833" s="21" t="inlineStr">
        <is>
          <t>% (= 100% − Σ pagamento)</t>
        </is>
      </c>
      <c r="D833" s="22" t="inlineStr">
        <is>
          <t>calculado (repasse)</t>
        </is>
      </c>
    </row>
    <row r="834">
      <c r="A834" s="19" t="inlineStr">
        <is>
          <t>Grupo 3 — VGV de tabela</t>
        </is>
      </c>
      <c r="B834" s="25">
        <f>IF($B$167="","",IF($B$274=$B$167,$B$767,0)+IF($B$279=$B$167,$B$769,0)+IF($B$284=$B$167,$B$771,0)+IF($B$289=$B$167,$B$773,0)+IF($B$294=$B$167,$B$775,0)+IF($B$299=$B$167,$B$777,0)+IF($B$304=$B$167,$B$779,0)+IF($B$309=$B$167,$B$781,0)+IF($B$314=$B$167,$B$783,0)+IF($B$319=$B$167,$B$785,0))</f>
        <v/>
      </c>
      <c r="C834" s="21" t="inlineStr">
        <is>
          <t>R$</t>
        </is>
      </c>
      <c r="D834" s="22" t="inlineStr">
        <is>
          <t>calculado</t>
        </is>
      </c>
    </row>
    <row r="835">
      <c r="A835" s="19" t="inlineStr">
        <is>
          <t>Grupo 3 — conferência</t>
        </is>
      </c>
      <c r="B835" s="24">
        <f>IF($B$167="","",IF(N($B$168)+N($B$169)+N($B$170)&gt;1.00001,"⚠ absorção &gt; 100%",IF($B$832&gt;1.00001,"⚠ Σ pagamento &gt; 100%",IF(AND($B$29="Não",N($B$168)&gt;0),"⚠ absorção de pré sem pré-lançamento",IF(IF(AND($B$193=$B$167,$B$194="Parcelamento"),1,0)+IF(AND($B$201=$B$167,$B$202="Parcelamento"),1,0)+IF(AND($B$209=$B$167,$B$210="Parcelamento"),1,0)+IF(AND($B$217=$B$167,$B$218="Parcelamento"),1,0)+IF(AND($B$225=$B$167,$B$226="Parcelamento"),1,0)+IF(AND($B$233=$B$167,$B$234="Parcelamento"),1,0)+IF(AND($B$241=$B$167,$B$242="Parcelamento"),1,0)+IF(AND($B$249=$B$167,$B$250="Parcelamento"),1,0)+IF(AND($B$257=$B$167,$B$258="Parcelamento"),1,0)+IF(AND($B$265=$B$167,$B$266="Parcelamento"),1,0)&gt;4,"⚠ mais de 4 parcelamentos","OK"))))) </f>
        <v/>
      </c>
      <c r="C835" s="21" t="inlineStr">
        <is>
          <t>alerta</t>
        </is>
      </c>
      <c r="D835" s="22" t="inlineStr">
        <is>
          <t>calculado</t>
        </is>
      </c>
    </row>
    <row r="836">
      <c r="A836" s="19" t="inlineStr">
        <is>
          <t>Grupo 4 — Absorção Pós-chaves</t>
        </is>
      </c>
      <c r="B836" s="27">
        <f>IF($B$175="","",1-N($B$176)-N($B$177)-N($B$178))</f>
        <v/>
      </c>
      <c r="C836" s="21" t="inlineStr">
        <is>
          <t>% (= 100% − pré − lançamento − obra)</t>
        </is>
      </c>
      <c r="D836" s="22" t="inlineStr">
        <is>
          <t>calculado (absorcao pós-chaves)</t>
        </is>
      </c>
    </row>
    <row r="837">
      <c r="A837" s="19" t="inlineStr">
        <is>
          <t>Grupo 4 — Σ % do pagamento</t>
        </is>
      </c>
      <c r="B837" s="27">
        <f>IF($B$175="","",IF($B$193=$B$175,N($B$195),0)+IF($B$201=$B$175,N($B$203),0)+IF($B$209=$B$175,N($B$211),0)+IF($B$217=$B$175,N($B$219),0)+IF($B$225=$B$175,N($B$227),0)+IF($B$233=$B$175,N($B$235),0)+IF($B$241=$B$175,N($B$243),0)+IF($B$249=$B$175,N($B$251),0)+IF($B$257=$B$175,N($B$259),0)+IF($B$265=$B$175,N($B$267),0))</f>
        <v/>
      </c>
      <c r="C837" s="21" t="inlineStr">
        <is>
          <t>% do preço</t>
        </is>
      </c>
      <c r="D837" s="22" t="inlineStr">
        <is>
          <t>calculado</t>
        </is>
      </c>
    </row>
    <row r="838">
      <c r="A838" s="19" t="inlineStr">
        <is>
          <t>Grupo 4 — Repasse</t>
        </is>
      </c>
      <c r="B838" s="27">
        <f>IF($B$175="","",1-$B$837)</f>
        <v/>
      </c>
      <c r="C838" s="21" t="inlineStr">
        <is>
          <t>% (= 100% − Σ pagamento)</t>
        </is>
      </c>
      <c r="D838" s="22" t="inlineStr">
        <is>
          <t>calculado (repasse)</t>
        </is>
      </c>
    </row>
    <row r="839">
      <c r="A839" s="19" t="inlineStr">
        <is>
          <t>Grupo 4 — VGV de tabela</t>
        </is>
      </c>
      <c r="B839" s="25">
        <f>IF($B$175="","",IF($B$274=$B$175,$B$767,0)+IF($B$279=$B$175,$B$769,0)+IF($B$284=$B$175,$B$771,0)+IF($B$289=$B$175,$B$773,0)+IF($B$294=$B$175,$B$775,0)+IF($B$299=$B$175,$B$777,0)+IF($B$304=$B$175,$B$779,0)+IF($B$309=$B$175,$B$781,0)+IF($B$314=$B$175,$B$783,0)+IF($B$319=$B$175,$B$785,0))</f>
        <v/>
      </c>
      <c r="C839" s="21" t="inlineStr">
        <is>
          <t>R$</t>
        </is>
      </c>
      <c r="D839" s="22" t="inlineStr">
        <is>
          <t>calculado</t>
        </is>
      </c>
    </row>
    <row r="840">
      <c r="A840" s="19" t="inlineStr">
        <is>
          <t>Grupo 4 — conferência</t>
        </is>
      </c>
      <c r="B840" s="24">
        <f>IF($B$175="","",IF(N($B$176)+N($B$177)+N($B$178)&gt;1.00001,"⚠ absorção &gt; 100%",IF($B$837&gt;1.00001,"⚠ Σ pagamento &gt; 100%",IF(AND($B$29="Não",N($B$176)&gt;0),"⚠ absorção de pré sem pré-lançamento",IF(IF(AND($B$193=$B$175,$B$194="Parcelamento"),1,0)+IF(AND($B$201=$B$175,$B$202="Parcelamento"),1,0)+IF(AND($B$209=$B$175,$B$210="Parcelamento"),1,0)+IF(AND($B$217=$B$175,$B$218="Parcelamento"),1,0)+IF(AND($B$225=$B$175,$B$226="Parcelamento"),1,0)+IF(AND($B$233=$B$175,$B$234="Parcelamento"),1,0)+IF(AND($B$241=$B$175,$B$242="Parcelamento"),1,0)+IF(AND($B$249=$B$175,$B$250="Parcelamento"),1,0)+IF(AND($B$257=$B$175,$B$258="Parcelamento"),1,0)+IF(AND($B$265=$B$175,$B$266="Parcelamento"),1,0)&gt;4,"⚠ mais de 4 parcelamentos","OK"))))) </f>
        <v/>
      </c>
      <c r="C840" s="21" t="inlineStr">
        <is>
          <t>alerta</t>
        </is>
      </c>
      <c r="D840" s="22" t="inlineStr">
        <is>
          <t>calculado</t>
        </is>
      </c>
    </row>
    <row r="841">
      <c r="A841" s="19" t="inlineStr">
        <is>
          <t>Grupo 5 — Absorção Pós-chaves</t>
        </is>
      </c>
      <c r="B841" s="27">
        <f>IF($B$183="","",1-N($B$184)-N($B$185)-N($B$186))</f>
        <v/>
      </c>
      <c r="C841" s="21" t="inlineStr">
        <is>
          <t>% (= 100% − pré − lançamento − obra)</t>
        </is>
      </c>
      <c r="D841" s="22" t="inlineStr">
        <is>
          <t>calculado (absorcao pós-chaves)</t>
        </is>
      </c>
    </row>
    <row r="842">
      <c r="A842" s="19" t="inlineStr">
        <is>
          <t>Grupo 5 — Σ % do pagamento</t>
        </is>
      </c>
      <c r="B842" s="27">
        <f>IF($B$183="","",IF($B$193=$B$183,N($B$195),0)+IF($B$201=$B$183,N($B$203),0)+IF($B$209=$B$183,N($B$211),0)+IF($B$217=$B$183,N($B$219),0)+IF($B$225=$B$183,N($B$227),0)+IF($B$233=$B$183,N($B$235),0)+IF($B$241=$B$183,N($B$243),0)+IF($B$249=$B$183,N($B$251),0)+IF($B$257=$B$183,N($B$259),0)+IF($B$265=$B$183,N($B$267),0))</f>
        <v/>
      </c>
      <c r="C842" s="21" t="inlineStr">
        <is>
          <t>% do preço</t>
        </is>
      </c>
      <c r="D842" s="22" t="inlineStr">
        <is>
          <t>calculado</t>
        </is>
      </c>
    </row>
    <row r="843">
      <c r="A843" s="19" t="inlineStr">
        <is>
          <t>Grupo 5 — Repasse</t>
        </is>
      </c>
      <c r="B843" s="27">
        <f>IF($B$183="","",1-$B$842)</f>
        <v/>
      </c>
      <c r="C843" s="21" t="inlineStr">
        <is>
          <t>% (= 100% − Σ pagamento)</t>
        </is>
      </c>
      <c r="D843" s="22" t="inlineStr">
        <is>
          <t>calculado (repasse)</t>
        </is>
      </c>
    </row>
    <row r="844">
      <c r="A844" s="19" t="inlineStr">
        <is>
          <t>Grupo 5 — VGV de tabela</t>
        </is>
      </c>
      <c r="B844" s="25">
        <f>IF($B$183="","",IF($B$274=$B$183,$B$767,0)+IF($B$279=$B$183,$B$769,0)+IF($B$284=$B$183,$B$771,0)+IF($B$289=$B$183,$B$773,0)+IF($B$294=$B$183,$B$775,0)+IF($B$299=$B$183,$B$777,0)+IF($B$304=$B$183,$B$779,0)+IF($B$309=$B$183,$B$781,0)+IF($B$314=$B$183,$B$783,0)+IF($B$319=$B$183,$B$785,0))</f>
        <v/>
      </c>
      <c r="C844" s="21" t="inlineStr">
        <is>
          <t>R$</t>
        </is>
      </c>
      <c r="D844" s="22" t="inlineStr">
        <is>
          <t>calculado</t>
        </is>
      </c>
    </row>
    <row r="845">
      <c r="A845" s="19" t="inlineStr">
        <is>
          <t>Grupo 5 — conferência</t>
        </is>
      </c>
      <c r="B845" s="24">
        <f>IF($B$183="","",IF(N($B$184)+N($B$185)+N($B$186)&gt;1.00001,"⚠ absorção &gt; 100%",IF($B$842&gt;1.00001,"⚠ Σ pagamento &gt; 100%",IF(AND($B$29="Não",N($B$184)&gt;0),"⚠ absorção de pré sem pré-lançamento",IF(IF(AND($B$193=$B$183,$B$194="Parcelamento"),1,0)+IF(AND($B$201=$B$183,$B$202="Parcelamento"),1,0)+IF(AND($B$209=$B$183,$B$210="Parcelamento"),1,0)+IF(AND($B$217=$B$183,$B$218="Parcelamento"),1,0)+IF(AND($B$225=$B$183,$B$226="Parcelamento"),1,0)+IF(AND($B$233=$B$183,$B$234="Parcelamento"),1,0)+IF(AND($B$241=$B$183,$B$242="Parcelamento"),1,0)+IF(AND($B$249=$B$183,$B$250="Parcelamento"),1,0)+IF(AND($B$257=$B$183,$B$258="Parcelamento"),1,0)+IF(AND($B$265=$B$183,$B$266="Parcelamento"),1,0)&gt;4,"⚠ mais de 4 parcelamentos","OK"))))) </f>
        <v/>
      </c>
      <c r="C845" s="21" t="inlineStr">
        <is>
          <t>alerta</t>
        </is>
      </c>
      <c r="D845" s="22" t="inlineStr">
        <is>
          <t>calculado</t>
        </is>
      </c>
    </row>
    <row r="846">
      <c r="A846" s="16" t="inlineStr">
        <is>
          <t>Custos convertidos em R$ (quando dá para converter sem o fluxo)</t>
        </is>
      </c>
    </row>
    <row r="847">
      <c r="A847" s="19" t="inlineStr">
        <is>
          <t>Custo 1 — equivalente em R$</t>
        </is>
      </c>
      <c r="B847" s="25">
        <f>IF($B$330="","",IF($B$330="rs",N($B$331),IF($B$330="rs_m2_priv",N($B$331)*$B$786,IF($B$330="rs_m2_terreno",N($B$331)*N($B$15),IF($B$330="pct_vgv",N($B$332)*$B$788,"depende do fluxo (app)")))))</f>
        <v/>
      </c>
      <c r="C847" s="21" t="inlineStr">
        <is>
          <t>R$ (ou texto se depender do fluxo)</t>
        </is>
      </c>
      <c r="D847" s="22" t="inlineStr">
        <is>
          <t>calculado</t>
        </is>
      </c>
    </row>
    <row r="848">
      <c r="A848" s="19" t="inlineStr">
        <is>
          <t>Custo 2 — equivalente em R$</t>
        </is>
      </c>
      <c r="B848" s="25">
        <f>IF($B$341="","",IF($B$341="rs",N($B$342),IF($B$341="rs_m2_priv",N($B$342)*$B$786,IF($B$341="rs_m2_terreno",N($B$342)*N($B$15),IF($B$341="pct_vgv",N($B$343)*$B$788,"depende do fluxo (app)")))))</f>
        <v/>
      </c>
      <c r="C848" s="21" t="inlineStr">
        <is>
          <t>R$ (ou texto se depender do fluxo)</t>
        </is>
      </c>
      <c r="D848" s="22" t="inlineStr">
        <is>
          <t>calculado</t>
        </is>
      </c>
    </row>
    <row r="849">
      <c r="A849" s="19" t="inlineStr">
        <is>
          <t>Custo 3 — equivalente em R$</t>
        </is>
      </c>
      <c r="B849" s="25">
        <f>IF($B$352="","",IF($B$352="rs",N($B$353),IF($B$352="rs_m2_priv",N($B$353)*$B$786,IF($B$352="rs_m2_terreno",N($B$353)*N($B$15),IF($B$352="pct_vgv",N($B$354)*$B$788,"depende do fluxo (app)")))))</f>
        <v/>
      </c>
      <c r="C849" s="21" t="inlineStr">
        <is>
          <t>R$ (ou texto se depender do fluxo)</t>
        </is>
      </c>
      <c r="D849" s="22" t="inlineStr">
        <is>
          <t>calculado</t>
        </is>
      </c>
    </row>
    <row r="850">
      <c r="A850" s="19" t="inlineStr">
        <is>
          <t>Custo 4 — equivalente em R$</t>
        </is>
      </c>
      <c r="B850" s="25">
        <f>IF($B$363="","",IF($B$363="rs",N($B$364),IF($B$363="rs_m2_priv",N($B$364)*$B$786,IF($B$363="rs_m2_terreno",N($B$364)*N($B$15),IF($B$363="pct_vgv",N($B$365)*$B$788,"depende do fluxo (app)")))))</f>
        <v/>
      </c>
      <c r="C850" s="21" t="inlineStr">
        <is>
          <t>R$ (ou texto se depender do fluxo)</t>
        </is>
      </c>
      <c r="D850" s="22" t="inlineStr">
        <is>
          <t>calculado</t>
        </is>
      </c>
    </row>
    <row r="851">
      <c r="A851" s="19" t="inlineStr">
        <is>
          <t>Custo 5 — equivalente em R$</t>
        </is>
      </c>
      <c r="B851" s="25">
        <f>IF($B$374="","",IF($B$374="rs",N($B$375),IF($B$374="rs_m2_priv",N($B$375)*$B$786,IF($B$374="rs_m2_terreno",N($B$375)*N($B$15),IF($B$374="pct_vgv",N($B$376)*$B$788,"depende do fluxo (app)")))))</f>
        <v/>
      </c>
      <c r="C851" s="21" t="inlineStr">
        <is>
          <t>R$ (ou texto se depender do fluxo)</t>
        </is>
      </c>
      <c r="D851" s="22" t="inlineStr">
        <is>
          <t>calculado</t>
        </is>
      </c>
    </row>
    <row r="852">
      <c r="A852" s="19" t="inlineStr">
        <is>
          <t>Custo 6 — equivalente em R$</t>
        </is>
      </c>
      <c r="B852" s="25">
        <f>IF($B$385="","",IF($B$385="rs",N($B$386),IF($B$385="rs_m2_priv",N($B$386)*$B$786,IF($B$385="rs_m2_terreno",N($B$386)*N($B$15),IF($B$385="pct_vgv",N($B$387)*$B$788,"depende do fluxo (app)")))))</f>
        <v/>
      </c>
      <c r="C852" s="21" t="inlineStr">
        <is>
          <t>R$ (ou texto se depender do fluxo)</t>
        </is>
      </c>
      <c r="D852" s="22" t="inlineStr">
        <is>
          <t>calculado</t>
        </is>
      </c>
    </row>
    <row r="853">
      <c r="A853" s="19" t="inlineStr">
        <is>
          <t>Custo 7 — equivalente em R$</t>
        </is>
      </c>
      <c r="B853" s="25">
        <f>IF($B$396="","",IF($B$396="rs",N($B$397),IF($B$396="rs_m2_priv",N($B$397)*$B$786,IF($B$396="rs_m2_terreno",N($B$397)*N($B$15),IF($B$396="pct_vgv",N($B$398)*$B$788,"depende do fluxo (app)")))))</f>
        <v/>
      </c>
      <c r="C853" s="21" t="inlineStr">
        <is>
          <t>R$ (ou texto se depender do fluxo)</t>
        </is>
      </c>
      <c r="D853" s="22" t="inlineStr">
        <is>
          <t>calculado</t>
        </is>
      </c>
    </row>
    <row r="854">
      <c r="A854" s="19" t="inlineStr">
        <is>
          <t>Custo 8 — equivalente em R$</t>
        </is>
      </c>
      <c r="B854" s="25">
        <f>IF($B$407="","",IF($B$407="rs",N($B$408),IF($B$407="rs_m2_priv",N($B$408)*$B$786,IF($B$407="rs_m2_terreno",N($B$408)*N($B$15),IF($B$407="pct_vgv",N($B$409)*$B$788,"depende do fluxo (app)")))))</f>
        <v/>
      </c>
      <c r="C854" s="21" t="inlineStr">
        <is>
          <t>R$ (ou texto se depender do fluxo)</t>
        </is>
      </c>
      <c r="D854" s="22" t="inlineStr">
        <is>
          <t>calculado</t>
        </is>
      </c>
    </row>
    <row r="855">
      <c r="A855" s="19" t="inlineStr">
        <is>
          <t>Custo 9 — equivalente em R$</t>
        </is>
      </c>
      <c r="B855" s="25">
        <f>IF($B$418="","",IF($B$418="rs",N($B$419),IF($B$418="rs_m2_priv",N($B$419)*$B$786,IF($B$418="rs_m2_terreno",N($B$419)*N($B$15),IF($B$418="pct_vgv",N($B$420)*$B$788,"depende do fluxo (app)")))))</f>
        <v/>
      </c>
      <c r="C855" s="21" t="inlineStr">
        <is>
          <t>R$ (ou texto se depender do fluxo)</t>
        </is>
      </c>
      <c r="D855" s="22" t="inlineStr">
        <is>
          <t>calculado</t>
        </is>
      </c>
    </row>
    <row r="856">
      <c r="A856" s="19" t="inlineStr">
        <is>
          <t>Custo 10 — equivalente em R$</t>
        </is>
      </c>
      <c r="B856" s="25">
        <f>IF($B$429="","",IF($B$429="rs",N($B$430),IF($B$429="rs_m2_priv",N($B$430)*$B$786,IF($B$429="rs_m2_terreno",N($B$430)*N($B$15),IF($B$429="pct_vgv",N($B$431)*$B$788,"depende do fluxo (app)")))))</f>
        <v/>
      </c>
      <c r="C856" s="21" t="inlineStr">
        <is>
          <t>R$ (ou texto se depender do fluxo)</t>
        </is>
      </c>
      <c r="D856" s="22" t="inlineStr">
        <is>
          <t>calculado</t>
        </is>
      </c>
    </row>
    <row r="857">
      <c r="A857" s="19" t="inlineStr">
        <is>
          <t>Custo 11 — equivalente em R$</t>
        </is>
      </c>
      <c r="B857" s="25">
        <f>IF($B$440="","",IF($B$440="rs",N($B$441),IF($B$440="rs_m2_priv",N($B$441)*$B$786,IF($B$440="rs_m2_terreno",N($B$441)*N($B$15),IF($B$440="pct_vgv",N($B$442)*$B$788,"depende do fluxo (app)")))))</f>
        <v/>
      </c>
      <c r="C857" s="21" t="inlineStr">
        <is>
          <t>R$ (ou texto se depender do fluxo)</t>
        </is>
      </c>
      <c r="D857" s="22" t="inlineStr">
        <is>
          <t>calculado</t>
        </is>
      </c>
    </row>
    <row r="858">
      <c r="A858" s="19" t="inlineStr">
        <is>
          <t>Custo 12 — equivalente em R$</t>
        </is>
      </c>
      <c r="B858" s="25">
        <f>IF($B$451="","",IF($B$451="rs",N($B$452),IF($B$451="rs_m2_priv",N($B$452)*$B$786,IF($B$451="rs_m2_terreno",N($B$452)*N($B$15),IF($B$451="pct_vgv",N($B$453)*$B$788,"depende do fluxo (app)")))))</f>
        <v/>
      </c>
      <c r="C858" s="21" t="inlineStr">
        <is>
          <t>R$ (ou texto se depender do fluxo)</t>
        </is>
      </c>
      <c r="D858" s="22" t="inlineStr">
        <is>
          <t>calculado</t>
        </is>
      </c>
    </row>
    <row r="859">
      <c r="A859" s="19" t="inlineStr">
        <is>
          <t>Custo 13 — equivalente em R$</t>
        </is>
      </c>
      <c r="B859" s="25">
        <f>IF($B$462="","",IF($B$462="rs",N($B$463),IF($B$462="rs_m2_priv",N($B$463)*$B$786,IF($B$462="rs_m2_terreno",N($B$463)*N($B$15),IF($B$462="pct_vgv",N($B$464)*$B$788,"depende do fluxo (app)")))))</f>
        <v/>
      </c>
      <c r="C859" s="21" t="inlineStr">
        <is>
          <t>R$ (ou texto se depender do fluxo)</t>
        </is>
      </c>
      <c r="D859" s="22" t="inlineStr">
        <is>
          <t>calculado</t>
        </is>
      </c>
    </row>
    <row r="860">
      <c r="A860" s="19" t="inlineStr">
        <is>
          <t>Custo 14 — equivalente em R$</t>
        </is>
      </c>
      <c r="B860" s="25">
        <f>IF($B$473="","",IF($B$473="rs",N($B$474),IF($B$473="rs_m2_priv",N($B$474)*$B$786,IF($B$473="rs_m2_terreno",N($B$474)*N($B$15),IF($B$473="pct_vgv",N($B$475)*$B$788,"depende do fluxo (app)")))))</f>
        <v/>
      </c>
      <c r="C860" s="21" t="inlineStr">
        <is>
          <t>R$ (ou texto se depender do fluxo)</t>
        </is>
      </c>
      <c r="D860" s="22" t="inlineStr">
        <is>
          <t>calculado</t>
        </is>
      </c>
    </row>
    <row r="861">
      <c r="A861" s="19" t="inlineStr">
        <is>
          <t>Custo 15 — equivalente em R$</t>
        </is>
      </c>
      <c r="B861" s="25">
        <f>IF($B$484="","",IF($B$484="rs",N($B$485),IF($B$484="rs_m2_priv",N($B$485)*$B$786,IF($B$484="rs_m2_terreno",N($B$485)*N($B$15),IF($B$484="pct_vgv",N($B$486)*$B$788,"depende do fluxo (app)")))))</f>
        <v/>
      </c>
      <c r="C861" s="21" t="inlineStr">
        <is>
          <t>R$ (ou texto se depender do fluxo)</t>
        </is>
      </c>
      <c r="D861" s="22" t="inlineStr">
        <is>
          <t>calculado</t>
        </is>
      </c>
    </row>
    <row r="862">
      <c r="A862" s="19" t="inlineStr">
        <is>
          <t>Custo 16 — equivalente em R$</t>
        </is>
      </c>
      <c r="B862" s="25">
        <f>IF($B$495="","",IF($B$495="rs",N($B$496),IF($B$495="rs_m2_priv",N($B$496)*$B$786,IF($B$495="rs_m2_terreno",N($B$496)*N($B$15),IF($B$495="pct_vgv",N($B$497)*$B$788,"depende do fluxo (app)")))))</f>
        <v/>
      </c>
      <c r="C862" s="21" t="inlineStr">
        <is>
          <t>R$ (ou texto se depender do fluxo)</t>
        </is>
      </c>
      <c r="D862" s="22" t="inlineStr">
        <is>
          <t>calculado</t>
        </is>
      </c>
    </row>
    <row r="863">
      <c r="A863" s="19" t="inlineStr">
        <is>
          <t>Custo 17 — equivalente em R$</t>
        </is>
      </c>
      <c r="B863" s="25">
        <f>IF($B$506="","",IF($B$506="rs",N($B$507),IF($B$506="rs_m2_priv",N($B$507)*$B$786,IF($B$506="rs_m2_terreno",N($B$507)*N($B$15),IF($B$506="pct_vgv",N($B$508)*$B$788,"depende do fluxo (app)")))))</f>
        <v/>
      </c>
      <c r="C863" s="21" t="inlineStr">
        <is>
          <t>R$ (ou texto se depender do fluxo)</t>
        </is>
      </c>
      <c r="D863" s="22" t="inlineStr">
        <is>
          <t>calculado</t>
        </is>
      </c>
    </row>
    <row r="864">
      <c r="A864" s="19" t="inlineStr">
        <is>
          <t>Custo 18 — equivalente em R$</t>
        </is>
      </c>
      <c r="B864" s="25">
        <f>IF($B$517="","",IF($B$517="rs",N($B$518),IF($B$517="rs_m2_priv",N($B$518)*$B$786,IF($B$517="rs_m2_terreno",N($B$518)*N($B$15),IF($B$517="pct_vgv",N($B$519)*$B$788,"depende do fluxo (app)")))))</f>
        <v/>
      </c>
      <c r="C864" s="21" t="inlineStr">
        <is>
          <t>R$ (ou texto se depender do fluxo)</t>
        </is>
      </c>
      <c r="D864" s="22" t="inlineStr">
        <is>
          <t>calculado</t>
        </is>
      </c>
    </row>
    <row r="865">
      <c r="A865" s="19" t="inlineStr">
        <is>
          <t>Custo 19 — equivalente em R$</t>
        </is>
      </c>
      <c r="B865" s="25">
        <f>IF($B$528="","",IF($B$528="rs",N($B$529),IF($B$528="rs_m2_priv",N($B$529)*$B$786,IF($B$528="rs_m2_terreno",N($B$529)*N($B$15),IF($B$528="pct_vgv",N($B$530)*$B$788,"depende do fluxo (app)")))))</f>
        <v/>
      </c>
      <c r="C865" s="21" t="inlineStr">
        <is>
          <t>R$ (ou texto se depender do fluxo)</t>
        </is>
      </c>
      <c r="D865" s="22" t="inlineStr">
        <is>
          <t>calculado</t>
        </is>
      </c>
    </row>
    <row r="866">
      <c r="A866" s="19" t="inlineStr">
        <is>
          <t>Custo 20 — equivalente em R$</t>
        </is>
      </c>
      <c r="B866" s="25">
        <f>IF($B$539="","",IF($B$539="rs",N($B$540),IF($B$539="rs_m2_priv",N($B$540)*$B$786,IF($B$539="rs_m2_terreno",N($B$540)*N($B$15),IF($B$539="pct_vgv",N($B$541)*$B$788,"depende do fluxo (app)")))))</f>
        <v/>
      </c>
      <c r="C866" s="21" t="inlineStr">
        <is>
          <t>R$ (ou texto se depender do fluxo)</t>
        </is>
      </c>
      <c r="D866" s="22" t="inlineStr">
        <is>
          <t>calculado</t>
        </is>
      </c>
    </row>
    <row r="867">
      <c r="A867" s="19" t="inlineStr">
        <is>
          <t>Custo 21 — equivalente em R$</t>
        </is>
      </c>
      <c r="B867" s="25">
        <f>IF($B$550="","",IF($B$550="rs",N($B$551),IF($B$550="rs_m2_priv",N($B$551)*$B$786,IF($B$550="rs_m2_terreno",N($B$551)*N($B$15),IF($B$550="pct_vgv",N($B$552)*$B$788,"depende do fluxo (app)")))))</f>
        <v/>
      </c>
      <c r="C867" s="21" t="inlineStr">
        <is>
          <t>R$ (ou texto se depender do fluxo)</t>
        </is>
      </c>
      <c r="D867" s="22" t="inlineStr">
        <is>
          <t>calculado</t>
        </is>
      </c>
    </row>
    <row r="868">
      <c r="A868" s="19" t="inlineStr">
        <is>
          <t>Custo 22 — equivalente em R$</t>
        </is>
      </c>
      <c r="B868" s="25">
        <f>IF($B$561="","",IF($B$561="rs",N($B$562),IF($B$561="rs_m2_priv",N($B$562)*$B$786,IF($B$561="rs_m2_terreno",N($B$562)*N($B$15),IF($B$561="pct_vgv",N($B$563)*$B$788,"depende do fluxo (app)")))))</f>
        <v/>
      </c>
      <c r="C868" s="21" t="inlineStr">
        <is>
          <t>R$ (ou texto se depender do fluxo)</t>
        </is>
      </c>
      <c r="D868" s="22" t="inlineStr">
        <is>
          <t>calculado</t>
        </is>
      </c>
    </row>
    <row r="869">
      <c r="A869" s="19" t="inlineStr">
        <is>
          <t>Custo 23 — equivalente em R$</t>
        </is>
      </c>
      <c r="B869" s="25">
        <f>IF($B$572="","",IF($B$572="rs",N($B$573),IF($B$572="rs_m2_priv",N($B$573)*$B$786,IF($B$572="rs_m2_terreno",N($B$573)*N($B$15),IF($B$572="pct_vgv",N($B$574)*$B$788,"depende do fluxo (app)")))))</f>
        <v/>
      </c>
      <c r="C869" s="21" t="inlineStr">
        <is>
          <t>R$ (ou texto se depender do fluxo)</t>
        </is>
      </c>
      <c r="D869" s="22" t="inlineStr">
        <is>
          <t>calculado</t>
        </is>
      </c>
    </row>
    <row r="870">
      <c r="A870" s="19" t="inlineStr">
        <is>
          <t>Custo 24 — equivalente em R$</t>
        </is>
      </c>
      <c r="B870" s="25">
        <f>IF($B$583="","",IF($B$583="rs",N($B$584),IF($B$583="rs_m2_priv",N($B$584)*$B$786,IF($B$583="rs_m2_terreno",N($B$584)*N($B$15),IF($B$583="pct_vgv",N($B$585)*$B$788,"depende do fluxo (app)")))))</f>
        <v/>
      </c>
      <c r="C870" s="21" t="inlineStr">
        <is>
          <t>R$ (ou texto se depender do fluxo)</t>
        </is>
      </c>
      <c r="D870" s="22" t="inlineStr">
        <is>
          <t>calculado</t>
        </is>
      </c>
    </row>
    <row r="871">
      <c r="A871" s="19" t="inlineStr">
        <is>
          <t>Custo 25 — equivalente em R$</t>
        </is>
      </c>
      <c r="B871" s="25">
        <f>IF($B$594="","",IF($B$594="rs",N($B$595),IF($B$594="rs_m2_priv",N($B$595)*$B$786,IF($B$594="rs_m2_terreno",N($B$595)*N($B$15),IF($B$594="pct_vgv",N($B$596)*$B$788,"depende do fluxo (app)")))))</f>
        <v/>
      </c>
      <c r="C871" s="21" t="inlineStr">
        <is>
          <t>R$ (ou texto se depender do fluxo)</t>
        </is>
      </c>
      <c r="D871" s="22" t="inlineStr">
        <is>
          <t>calculado</t>
        </is>
      </c>
    </row>
    <row r="872">
      <c r="A872" s="19" t="inlineStr">
        <is>
          <t>Custo 26 — equivalente em R$</t>
        </is>
      </c>
      <c r="B872" s="25">
        <f>IF($B$605="","",IF($B$605="rs",N($B$606),IF($B$605="rs_m2_priv",N($B$606)*$B$786,IF($B$605="rs_m2_terreno",N($B$606)*N($B$15),IF($B$605="pct_vgv",N($B$607)*$B$788,"depende do fluxo (app)")))))</f>
        <v/>
      </c>
      <c r="C872" s="21" t="inlineStr">
        <is>
          <t>R$ (ou texto se depender do fluxo)</t>
        </is>
      </c>
      <c r="D872" s="22" t="inlineStr">
        <is>
          <t>calculado</t>
        </is>
      </c>
    </row>
    <row r="873">
      <c r="A873" s="19" t="inlineStr">
        <is>
          <t>Custo 27 — equivalente em R$</t>
        </is>
      </c>
      <c r="B873" s="25">
        <f>IF($B$616="","",IF($B$616="rs",N($B$617),IF($B$616="rs_m2_priv",N($B$617)*$B$786,IF($B$616="rs_m2_terreno",N($B$617)*N($B$15),IF($B$616="pct_vgv",N($B$618)*$B$788,"depende do fluxo (app)")))))</f>
        <v/>
      </c>
      <c r="C873" s="21" t="inlineStr">
        <is>
          <t>R$ (ou texto se depender do fluxo)</t>
        </is>
      </c>
      <c r="D873" s="22" t="inlineStr">
        <is>
          <t>calculado</t>
        </is>
      </c>
    </row>
    <row r="874">
      <c r="A874" s="19" t="inlineStr">
        <is>
          <t>Custo 28 — equivalente em R$</t>
        </is>
      </c>
      <c r="B874" s="25">
        <f>IF($B$627="","",IF($B$627="rs",N($B$628),IF($B$627="rs_m2_priv",N($B$628)*$B$786,IF($B$627="rs_m2_terreno",N($B$628)*N($B$15),IF($B$627="pct_vgv",N($B$629)*$B$788,"depende do fluxo (app)")))))</f>
        <v/>
      </c>
      <c r="C874" s="21" t="inlineStr">
        <is>
          <t>R$ (ou texto se depender do fluxo)</t>
        </is>
      </c>
      <c r="D874" s="22" t="inlineStr">
        <is>
          <t>calculado</t>
        </is>
      </c>
    </row>
    <row r="875">
      <c r="A875" s="19" t="inlineStr">
        <is>
          <t>Custo 1 — conferência</t>
        </is>
      </c>
      <c r="B875" s="24">
        <f>IF(AND($B$327="",$B$328=""),"",IF(OR($B$327="",$B$328="",$B$330=""),"⚠ falta grupo, categoria ou unidade",IF(NOT(OR(AND($B$327="terreno",$B$328="Preço",OR($B$330="rs",$B$330="rs_m2_terreno")),AND($B$327="terreno",$B$328="Registro",OR($B$330="rs",$B$330="rs_m2_priv")),AND($B$327="terreno",$B$328="Outro",OR($B$330="rs",$B$330="pct_vgv")),AND($B$327="obra",$B$328="Construção",OR($B$330="rs",$B$330="rs_m2_priv")),AND($B$327="obra",$B$328="Outorga",OR($B$330="rs",$B$330="pct_vgv")),AND($B$327="obra",$B$328="Decoração",OR($B$330="rs",$B$330="rs_m2_priv")),AND($B$327="obra",$B$328="Gestão da obra",OR($B$330="rs",$B$330="pct_obra")),AND($B$327="obra",$B$328="Contingência",OR($B$330="rs",$B$330="pct_vgv")),AND($B$327="obra",$B$328="Outro",OR($B$330="rs",$B$330="pct_vgv")),AND($B$327="diretos",$B$328="Marketing &amp; Publicidade",OR($B$330="rs",$B$330="pct_vgv",$B$330="pct_recebido")),AND($B$327="diretos",$B$328="Corretagem de vendas",OR($B$330="pct_vgv")),AND($B$327="diretos",$B$328="Projetos",OR($B$330="rs",$B$330="rs_m2_priv",$B$330="pct_constr")),AND($B$327="diretos",$B$328="Licenças e Aprovações",OR($B$330="rs",$B$330="rs_m2_priv")),AND($B$327="diretos",$B$328="Manutenção pós-obra",OR($B$330="rs",$B$330="pct_vgv",$B$330="pct_recebido")),AND($B$327="diretos",$B$328="Outro",OR($B$330="rs",$B$330="pct_vgv",$B$330="pct_recebido")),AND($B$327="indireto",$B$328="Marketing global",OR($B$330="rs",$B$330="pct_vgv",$B$330="pct_recebido")),AND($B$327="indireto",$B$328="Stand de vendas",OR($B$330="rs",$B$330="pct_vgv")),AND($B$327="indireto",$B$328="Gestão",OR($B$330="rs",$B$330="pct_vgv",$B$330="pct_recebido")),AND($B$327="indireto",$B$328="Outro",OR($B$330="rs",$B$330="pct_vgv",$B$330="pct_recebido")),AND($B$327="financeiro",$B$328="Juros de financiamento",OR($B$330="rs",$B$330="pct_vgv")),AND($B$327="financeiro",$B$328="Taxas bancárias",OR($B$330="rs",$B$330="pct_vgv")),AND($B$327="financeiro",$B$328="Estruturação de dívida",OR($B$330="rs",$B$330="pct_vgv")),AND($B$327="financeiro",$B$328="Investidores",OR($B$330="rs",$B$330="pct_vgv")),AND($B$327="financeiro",$B$328="Outro",OR($B$330="rs",$B$330="pct_vgv")))),"⚠ unidade não aceita nesta categoria",IF(AND($B$331&lt;&gt;"",$B$332&lt;&gt;""),"⚠ preencha só uma linha de valor",IF(IF(LEFT($B$330,3)="pct",$B$332="",$B$331=""),"⚠ falta o valor na linha certa","OK")))))</f>
        <v/>
      </c>
      <c r="C875" s="21" t="inlineStr">
        <is>
          <t>alerta</t>
        </is>
      </c>
      <c r="D875" s="22" t="inlineStr">
        <is>
          <t>calculado</t>
        </is>
      </c>
    </row>
    <row r="876">
      <c r="A876" s="19" t="inlineStr">
        <is>
          <t>Custo 2 — conferência</t>
        </is>
      </c>
      <c r="B876" s="24">
        <f>IF(AND($B$338="",$B$339=""),"",IF(OR($B$338="",$B$339="",$B$341=""),"⚠ falta grupo, categoria ou unidade",IF(NOT(OR(AND($B$338="terreno",$B$339="Preço",OR($B$341="rs",$B$341="rs_m2_terreno")),AND($B$338="terreno",$B$339="Registro",OR($B$341="rs",$B$341="rs_m2_priv")),AND($B$338="terreno",$B$339="Outro",OR($B$341="rs",$B$341="pct_vgv")),AND($B$338="obra",$B$339="Construção",OR($B$341="rs",$B$341="rs_m2_priv")),AND($B$338="obra",$B$339="Outorga",OR($B$341="rs",$B$341="pct_vgv")),AND($B$338="obra",$B$339="Decoração",OR($B$341="rs",$B$341="rs_m2_priv")),AND($B$338="obra",$B$339="Gestão da obra",OR($B$341="rs",$B$341="pct_obra")),AND($B$338="obra",$B$339="Contingência",OR($B$341="rs",$B$341="pct_vgv")),AND($B$338="obra",$B$339="Outro",OR($B$341="rs",$B$341="pct_vgv")),AND($B$338="diretos",$B$339="Marketing &amp; Publicidade",OR($B$341="rs",$B$341="pct_vgv",$B$341="pct_recebido")),AND($B$338="diretos",$B$339="Corretagem de vendas",OR($B$341="pct_vgv")),AND($B$338="diretos",$B$339="Projetos",OR($B$341="rs",$B$341="rs_m2_priv",$B$341="pct_constr")),AND($B$338="diretos",$B$339="Licenças e Aprovações",OR($B$341="rs",$B$341="rs_m2_priv")),AND($B$338="diretos",$B$339="Manutenção pós-obra",OR($B$341="rs",$B$341="pct_vgv",$B$341="pct_recebido")),AND($B$338="diretos",$B$339="Outro",OR($B$341="rs",$B$341="pct_vgv",$B$341="pct_recebido")),AND($B$338="indireto",$B$339="Marketing global",OR($B$341="rs",$B$341="pct_vgv",$B$341="pct_recebido")),AND($B$338="indireto",$B$339="Stand de vendas",OR($B$341="rs",$B$341="pct_vgv")),AND($B$338="indireto",$B$339="Gestão",OR($B$341="rs",$B$341="pct_vgv",$B$341="pct_recebido")),AND($B$338="indireto",$B$339="Outro",OR($B$341="rs",$B$341="pct_vgv",$B$341="pct_recebido")),AND($B$338="financeiro",$B$339="Juros de financiamento",OR($B$341="rs",$B$341="pct_vgv")),AND($B$338="financeiro",$B$339="Taxas bancárias",OR($B$341="rs",$B$341="pct_vgv")),AND($B$338="financeiro",$B$339="Estruturação de dívida",OR($B$341="rs",$B$341="pct_vgv")),AND($B$338="financeiro",$B$339="Investidores",OR($B$341="rs",$B$341="pct_vgv")),AND($B$338="financeiro",$B$339="Outro",OR($B$341="rs",$B$341="pct_vgv")))),"⚠ unidade não aceita nesta categoria",IF(AND($B$342&lt;&gt;"",$B$343&lt;&gt;""),"⚠ preencha só uma linha de valor",IF(IF(LEFT($B$341,3)="pct",$B$343="",$B$342=""),"⚠ falta o valor na linha certa","OK")))))</f>
        <v/>
      </c>
      <c r="C876" s="21" t="inlineStr">
        <is>
          <t>alerta</t>
        </is>
      </c>
      <c r="D876" s="22" t="inlineStr">
        <is>
          <t>calculado</t>
        </is>
      </c>
    </row>
    <row r="877">
      <c r="A877" s="19" t="inlineStr">
        <is>
          <t>Custo 3 — conferência</t>
        </is>
      </c>
      <c r="B877" s="24">
        <f>IF(AND($B$349="",$B$350=""),"",IF(OR($B$349="",$B$350="",$B$352=""),"⚠ falta grupo, categoria ou unidade",IF(NOT(OR(AND($B$349="terreno",$B$350="Preço",OR($B$352="rs",$B$352="rs_m2_terreno")),AND($B$349="terreno",$B$350="Registro",OR($B$352="rs",$B$352="rs_m2_priv")),AND($B$349="terreno",$B$350="Outro",OR($B$352="rs",$B$352="pct_vgv")),AND($B$349="obra",$B$350="Construção",OR($B$352="rs",$B$352="rs_m2_priv")),AND($B$349="obra",$B$350="Outorga",OR($B$352="rs",$B$352="pct_vgv")),AND($B$349="obra",$B$350="Decoração",OR($B$352="rs",$B$352="rs_m2_priv")),AND($B$349="obra",$B$350="Gestão da obra",OR($B$352="rs",$B$352="pct_obra")),AND($B$349="obra",$B$350="Contingência",OR($B$352="rs",$B$352="pct_vgv")),AND($B$349="obra",$B$350="Outro",OR($B$352="rs",$B$352="pct_vgv")),AND($B$349="diretos",$B$350="Marketing &amp; Publicidade",OR($B$352="rs",$B$352="pct_vgv",$B$352="pct_recebido")),AND($B$349="diretos",$B$350="Corretagem de vendas",OR($B$352="pct_vgv")),AND($B$349="diretos",$B$350="Projetos",OR($B$352="rs",$B$352="rs_m2_priv",$B$352="pct_constr")),AND($B$349="diretos",$B$350="Licenças e Aprovações",OR($B$352="rs",$B$352="rs_m2_priv")),AND($B$349="diretos",$B$350="Manutenção pós-obra",OR($B$352="rs",$B$352="pct_vgv",$B$352="pct_recebido")),AND($B$349="diretos",$B$350="Outro",OR($B$352="rs",$B$352="pct_vgv",$B$352="pct_recebido")),AND($B$349="indireto",$B$350="Marketing global",OR($B$352="rs",$B$352="pct_vgv",$B$352="pct_recebido")),AND($B$349="indireto",$B$350="Stand de vendas",OR($B$352="rs",$B$352="pct_vgv")),AND($B$349="indireto",$B$350="Gestão",OR($B$352="rs",$B$352="pct_vgv",$B$352="pct_recebido")),AND($B$349="indireto",$B$350="Outro",OR($B$352="rs",$B$352="pct_vgv",$B$352="pct_recebido")),AND($B$349="financeiro",$B$350="Juros de financiamento",OR($B$352="rs",$B$352="pct_vgv")),AND($B$349="financeiro",$B$350="Taxas bancárias",OR($B$352="rs",$B$352="pct_vgv")),AND($B$349="financeiro",$B$350="Estruturação de dívida",OR($B$352="rs",$B$352="pct_vgv")),AND($B$349="financeiro",$B$350="Investidores",OR($B$352="rs",$B$352="pct_vgv")),AND($B$349="financeiro",$B$350="Outro",OR($B$352="rs",$B$352="pct_vgv")))),"⚠ unidade não aceita nesta categoria",IF(AND($B$353&lt;&gt;"",$B$354&lt;&gt;""),"⚠ preencha só uma linha de valor",IF(IF(LEFT($B$352,3)="pct",$B$354="",$B$353=""),"⚠ falta o valor na linha certa","OK")))))</f>
        <v/>
      </c>
      <c r="C877" s="21" t="inlineStr">
        <is>
          <t>alerta</t>
        </is>
      </c>
      <c r="D877" s="22" t="inlineStr">
        <is>
          <t>calculado</t>
        </is>
      </c>
    </row>
    <row r="878">
      <c r="A878" s="19" t="inlineStr">
        <is>
          <t>Custo 4 — conferência</t>
        </is>
      </c>
      <c r="B878" s="24">
        <f>IF(AND($B$360="",$B$361=""),"",IF(OR($B$360="",$B$361="",$B$363=""),"⚠ falta grupo, categoria ou unidade",IF(NOT(OR(AND($B$360="terreno",$B$361="Preço",OR($B$363="rs",$B$363="rs_m2_terreno")),AND($B$360="terreno",$B$361="Registro",OR($B$363="rs",$B$363="rs_m2_priv")),AND($B$360="terreno",$B$361="Outro",OR($B$363="rs",$B$363="pct_vgv")),AND($B$360="obra",$B$361="Construção",OR($B$363="rs",$B$363="rs_m2_priv")),AND($B$360="obra",$B$361="Outorga",OR($B$363="rs",$B$363="pct_vgv")),AND($B$360="obra",$B$361="Decoração",OR($B$363="rs",$B$363="rs_m2_priv")),AND($B$360="obra",$B$361="Gestão da obra",OR($B$363="rs",$B$363="pct_obra")),AND($B$360="obra",$B$361="Contingência",OR($B$363="rs",$B$363="pct_vgv")),AND($B$360="obra",$B$361="Outro",OR($B$363="rs",$B$363="pct_vgv")),AND($B$360="diretos",$B$361="Marketing &amp; Publicidade",OR($B$363="rs",$B$363="pct_vgv",$B$363="pct_recebido")),AND($B$360="diretos",$B$361="Corretagem de vendas",OR($B$363="pct_vgv")),AND($B$360="diretos",$B$361="Projetos",OR($B$363="rs",$B$363="rs_m2_priv",$B$363="pct_constr")),AND($B$360="diretos",$B$361="Licenças e Aprovações",OR($B$363="rs",$B$363="rs_m2_priv")),AND($B$360="diretos",$B$361="Manutenção pós-obra",OR($B$363="rs",$B$363="pct_vgv",$B$363="pct_recebido")),AND($B$360="diretos",$B$361="Outro",OR($B$363="rs",$B$363="pct_vgv",$B$363="pct_recebido")),AND($B$360="indireto",$B$361="Marketing global",OR($B$363="rs",$B$363="pct_vgv",$B$363="pct_recebido")),AND($B$360="indireto",$B$361="Stand de vendas",OR($B$363="rs",$B$363="pct_vgv")),AND($B$360="indireto",$B$361="Gestão",OR($B$363="rs",$B$363="pct_vgv",$B$363="pct_recebido")),AND($B$360="indireto",$B$361="Outro",OR($B$363="rs",$B$363="pct_vgv",$B$363="pct_recebido")),AND($B$360="financeiro",$B$361="Juros de financiamento",OR($B$363="rs",$B$363="pct_vgv")),AND($B$360="financeiro",$B$361="Taxas bancárias",OR($B$363="rs",$B$363="pct_vgv")),AND($B$360="financeiro",$B$361="Estruturação de dívida",OR($B$363="rs",$B$363="pct_vgv")),AND($B$360="financeiro",$B$361="Investidores",OR($B$363="rs",$B$363="pct_vgv")),AND($B$360="financeiro",$B$361="Outro",OR($B$363="rs",$B$363="pct_vgv")))),"⚠ unidade não aceita nesta categoria",IF(AND($B$364&lt;&gt;"",$B$365&lt;&gt;""),"⚠ preencha só uma linha de valor",IF(IF(LEFT($B$363,3)="pct",$B$365="",$B$364=""),"⚠ falta o valor na linha certa","OK")))))</f>
        <v/>
      </c>
      <c r="C878" s="21" t="inlineStr">
        <is>
          <t>alerta</t>
        </is>
      </c>
      <c r="D878" s="22" t="inlineStr">
        <is>
          <t>calculado</t>
        </is>
      </c>
    </row>
    <row r="879">
      <c r="A879" s="19" t="inlineStr">
        <is>
          <t>Custo 5 — conferência</t>
        </is>
      </c>
      <c r="B879" s="24">
        <f>IF(AND($B$371="",$B$372=""),"",IF(OR($B$371="",$B$372="",$B$374=""),"⚠ falta grupo, categoria ou unidade",IF(NOT(OR(AND($B$371="terreno",$B$372="Preço",OR($B$374="rs",$B$374="rs_m2_terreno")),AND($B$371="terreno",$B$372="Registro",OR($B$374="rs",$B$374="rs_m2_priv")),AND($B$371="terreno",$B$372="Outro",OR($B$374="rs",$B$374="pct_vgv")),AND($B$371="obra",$B$372="Construção",OR($B$374="rs",$B$374="rs_m2_priv")),AND($B$371="obra",$B$372="Outorga",OR($B$374="rs",$B$374="pct_vgv")),AND($B$371="obra",$B$372="Decoração",OR($B$374="rs",$B$374="rs_m2_priv")),AND($B$371="obra",$B$372="Gestão da obra",OR($B$374="rs",$B$374="pct_obra")),AND($B$371="obra",$B$372="Contingência",OR($B$374="rs",$B$374="pct_vgv")),AND($B$371="obra",$B$372="Outro",OR($B$374="rs",$B$374="pct_vgv")),AND($B$371="diretos",$B$372="Marketing &amp; Publicidade",OR($B$374="rs",$B$374="pct_vgv",$B$374="pct_recebido")),AND($B$371="diretos",$B$372="Corretagem de vendas",OR($B$374="pct_vgv")),AND($B$371="diretos",$B$372="Projetos",OR($B$374="rs",$B$374="rs_m2_priv",$B$374="pct_constr")),AND($B$371="diretos",$B$372="Licenças e Aprovações",OR($B$374="rs",$B$374="rs_m2_priv")),AND($B$371="diretos",$B$372="Manutenção pós-obra",OR($B$374="rs",$B$374="pct_vgv",$B$374="pct_recebido")),AND($B$371="diretos",$B$372="Outro",OR($B$374="rs",$B$374="pct_vgv",$B$374="pct_recebido")),AND($B$371="indireto",$B$372="Marketing global",OR($B$374="rs",$B$374="pct_vgv",$B$374="pct_recebido")),AND($B$371="indireto",$B$372="Stand de vendas",OR($B$374="rs",$B$374="pct_vgv")),AND($B$371="indireto",$B$372="Gestão",OR($B$374="rs",$B$374="pct_vgv",$B$374="pct_recebido")),AND($B$371="indireto",$B$372="Outro",OR($B$374="rs",$B$374="pct_vgv",$B$374="pct_recebido")),AND($B$371="financeiro",$B$372="Juros de financiamento",OR($B$374="rs",$B$374="pct_vgv")),AND($B$371="financeiro",$B$372="Taxas bancárias",OR($B$374="rs",$B$374="pct_vgv")),AND($B$371="financeiro",$B$372="Estruturação de dívida",OR($B$374="rs",$B$374="pct_vgv")),AND($B$371="financeiro",$B$372="Investidores",OR($B$374="rs",$B$374="pct_vgv")),AND($B$371="financeiro",$B$372="Outro",OR($B$374="rs",$B$374="pct_vgv")))),"⚠ unidade não aceita nesta categoria",IF(AND($B$375&lt;&gt;"",$B$376&lt;&gt;""),"⚠ preencha só uma linha de valor",IF(IF(LEFT($B$374,3)="pct",$B$376="",$B$375=""),"⚠ falta o valor na linha certa","OK")))))</f>
        <v/>
      </c>
      <c r="C879" s="21" t="inlineStr">
        <is>
          <t>alerta</t>
        </is>
      </c>
      <c r="D879" s="22" t="inlineStr">
        <is>
          <t>calculado</t>
        </is>
      </c>
    </row>
    <row r="880">
      <c r="A880" s="19" t="inlineStr">
        <is>
          <t>Custo 6 — conferência</t>
        </is>
      </c>
      <c r="B880" s="24">
        <f>IF(AND($B$382="",$B$383=""),"",IF(OR($B$382="",$B$383="",$B$385=""),"⚠ falta grupo, categoria ou unidade",IF(NOT(OR(AND($B$382="terreno",$B$383="Preço",OR($B$385="rs",$B$385="rs_m2_terreno")),AND($B$382="terreno",$B$383="Registro",OR($B$385="rs",$B$385="rs_m2_priv")),AND($B$382="terreno",$B$383="Outro",OR($B$385="rs",$B$385="pct_vgv")),AND($B$382="obra",$B$383="Construção",OR($B$385="rs",$B$385="rs_m2_priv")),AND($B$382="obra",$B$383="Outorga",OR($B$385="rs",$B$385="pct_vgv")),AND($B$382="obra",$B$383="Decoração",OR($B$385="rs",$B$385="rs_m2_priv")),AND($B$382="obra",$B$383="Gestão da obra",OR($B$385="rs",$B$385="pct_obra")),AND($B$382="obra",$B$383="Contingência",OR($B$385="rs",$B$385="pct_vgv")),AND($B$382="obra",$B$383="Outro",OR($B$385="rs",$B$385="pct_vgv")),AND($B$382="diretos",$B$383="Marketing &amp; Publicidade",OR($B$385="rs",$B$385="pct_vgv",$B$385="pct_recebido")),AND($B$382="diretos",$B$383="Corretagem de vendas",OR($B$385="pct_vgv")),AND($B$382="diretos",$B$383="Projetos",OR($B$385="rs",$B$385="rs_m2_priv",$B$385="pct_constr")),AND($B$382="diretos",$B$383="Licenças e Aprovações",OR($B$385="rs",$B$385="rs_m2_priv")),AND($B$382="diretos",$B$383="Manutenção pós-obra",OR($B$385="rs",$B$385="pct_vgv",$B$385="pct_recebido")),AND($B$382="diretos",$B$383="Outro",OR($B$385="rs",$B$385="pct_vgv",$B$385="pct_recebido")),AND($B$382="indireto",$B$383="Marketing global",OR($B$385="rs",$B$385="pct_vgv",$B$385="pct_recebido")),AND($B$382="indireto",$B$383="Stand de vendas",OR($B$385="rs",$B$385="pct_vgv")),AND($B$382="indireto",$B$383="Gestão",OR($B$385="rs",$B$385="pct_vgv",$B$385="pct_recebido")),AND($B$382="indireto",$B$383="Outro",OR($B$385="rs",$B$385="pct_vgv",$B$385="pct_recebido")),AND($B$382="financeiro",$B$383="Juros de financiamento",OR($B$385="rs",$B$385="pct_vgv")),AND($B$382="financeiro",$B$383="Taxas bancárias",OR($B$385="rs",$B$385="pct_vgv")),AND($B$382="financeiro",$B$383="Estruturação de dívida",OR($B$385="rs",$B$385="pct_vgv")),AND($B$382="financeiro",$B$383="Investidores",OR($B$385="rs",$B$385="pct_vgv")),AND($B$382="financeiro",$B$383="Outro",OR($B$385="rs",$B$385="pct_vgv")))),"⚠ unidade não aceita nesta categoria",IF(AND($B$386&lt;&gt;"",$B$387&lt;&gt;""),"⚠ preencha só uma linha de valor",IF(IF(LEFT($B$385,3)="pct",$B$387="",$B$386=""),"⚠ falta o valor na linha certa","OK")))))</f>
        <v/>
      </c>
      <c r="C880" s="21" t="inlineStr">
        <is>
          <t>alerta</t>
        </is>
      </c>
      <c r="D880" s="22" t="inlineStr">
        <is>
          <t>calculado</t>
        </is>
      </c>
    </row>
    <row r="881">
      <c r="A881" s="19" t="inlineStr">
        <is>
          <t>Custo 7 — conferência</t>
        </is>
      </c>
      <c r="B881" s="24">
        <f>IF(AND($B$393="",$B$394=""),"",IF(OR($B$393="",$B$394="",$B$396=""),"⚠ falta grupo, categoria ou unidade",IF(NOT(OR(AND($B$393="terreno",$B$394="Preço",OR($B$396="rs",$B$396="rs_m2_terreno")),AND($B$393="terreno",$B$394="Registro",OR($B$396="rs",$B$396="rs_m2_priv")),AND($B$393="terreno",$B$394="Outro",OR($B$396="rs",$B$396="pct_vgv")),AND($B$393="obra",$B$394="Construção",OR($B$396="rs",$B$396="rs_m2_priv")),AND($B$393="obra",$B$394="Outorga",OR($B$396="rs",$B$396="pct_vgv")),AND($B$393="obra",$B$394="Decoração",OR($B$396="rs",$B$396="rs_m2_priv")),AND($B$393="obra",$B$394="Gestão da obra",OR($B$396="rs",$B$396="pct_obra")),AND($B$393="obra",$B$394="Contingência",OR($B$396="rs",$B$396="pct_vgv")),AND($B$393="obra",$B$394="Outro",OR($B$396="rs",$B$396="pct_vgv")),AND($B$393="diretos",$B$394="Marketing &amp; Publicidade",OR($B$396="rs",$B$396="pct_vgv",$B$396="pct_recebido")),AND($B$393="diretos",$B$394="Corretagem de vendas",OR($B$396="pct_vgv")),AND($B$393="diretos",$B$394="Projetos",OR($B$396="rs",$B$396="rs_m2_priv",$B$396="pct_constr")),AND($B$393="diretos",$B$394="Licenças e Aprovações",OR($B$396="rs",$B$396="rs_m2_priv")),AND($B$393="diretos",$B$394="Manutenção pós-obra",OR($B$396="rs",$B$396="pct_vgv",$B$396="pct_recebido")),AND($B$393="diretos",$B$394="Outro",OR($B$396="rs",$B$396="pct_vgv",$B$396="pct_recebido")),AND($B$393="indireto",$B$394="Marketing global",OR($B$396="rs",$B$396="pct_vgv",$B$396="pct_recebido")),AND($B$393="indireto",$B$394="Stand de vendas",OR($B$396="rs",$B$396="pct_vgv")),AND($B$393="indireto",$B$394="Gestão",OR($B$396="rs",$B$396="pct_vgv",$B$396="pct_recebido")),AND($B$393="indireto",$B$394="Outro",OR($B$396="rs",$B$396="pct_vgv",$B$396="pct_recebido")),AND($B$393="financeiro",$B$394="Juros de financiamento",OR($B$396="rs",$B$396="pct_vgv")),AND($B$393="financeiro",$B$394="Taxas bancárias",OR($B$396="rs",$B$396="pct_vgv")),AND($B$393="financeiro",$B$394="Estruturação de dívida",OR($B$396="rs",$B$396="pct_vgv")),AND($B$393="financeiro",$B$394="Investidores",OR($B$396="rs",$B$396="pct_vgv")),AND($B$393="financeiro",$B$394="Outro",OR($B$396="rs",$B$396="pct_vgv")))),"⚠ unidade não aceita nesta categoria",IF(AND($B$397&lt;&gt;"",$B$398&lt;&gt;""),"⚠ preencha só uma linha de valor",IF(IF(LEFT($B$396,3)="pct",$B$398="",$B$397=""),"⚠ falta o valor na linha certa","OK")))))</f>
        <v/>
      </c>
      <c r="C881" s="21" t="inlineStr">
        <is>
          <t>alerta</t>
        </is>
      </c>
      <c r="D881" s="22" t="inlineStr">
        <is>
          <t>calculado</t>
        </is>
      </c>
    </row>
    <row r="882">
      <c r="A882" s="19" t="inlineStr">
        <is>
          <t>Custo 8 — conferência</t>
        </is>
      </c>
      <c r="B882" s="24">
        <f>IF(AND($B$404="",$B$405=""),"",IF(OR($B$404="",$B$405="",$B$407=""),"⚠ falta grupo, categoria ou unidade",IF(NOT(OR(AND($B$404="terreno",$B$405="Preço",OR($B$407="rs",$B$407="rs_m2_terreno")),AND($B$404="terreno",$B$405="Registro",OR($B$407="rs",$B$407="rs_m2_priv")),AND($B$404="terreno",$B$405="Outro",OR($B$407="rs",$B$407="pct_vgv")),AND($B$404="obra",$B$405="Construção",OR($B$407="rs",$B$407="rs_m2_priv")),AND($B$404="obra",$B$405="Outorga",OR($B$407="rs",$B$407="pct_vgv")),AND($B$404="obra",$B$405="Decoração",OR($B$407="rs",$B$407="rs_m2_priv")),AND($B$404="obra",$B$405="Gestão da obra",OR($B$407="rs",$B$407="pct_obra")),AND($B$404="obra",$B$405="Contingência",OR($B$407="rs",$B$407="pct_vgv")),AND($B$404="obra",$B$405="Outro",OR($B$407="rs",$B$407="pct_vgv")),AND($B$404="diretos",$B$405="Marketing &amp; Publicidade",OR($B$407="rs",$B$407="pct_vgv",$B$407="pct_recebido")),AND($B$404="diretos",$B$405="Corretagem de vendas",OR($B$407="pct_vgv")),AND($B$404="diretos",$B$405="Projetos",OR($B$407="rs",$B$407="rs_m2_priv",$B$407="pct_constr")),AND($B$404="diretos",$B$405="Licenças e Aprovações",OR($B$407="rs",$B$407="rs_m2_priv")),AND($B$404="diretos",$B$405="Manutenção pós-obra",OR($B$407="rs",$B$407="pct_vgv",$B$407="pct_recebido")),AND($B$404="diretos",$B$405="Outro",OR($B$407="rs",$B$407="pct_vgv",$B$407="pct_recebido")),AND($B$404="indireto",$B$405="Marketing global",OR($B$407="rs",$B$407="pct_vgv",$B$407="pct_recebido")),AND($B$404="indireto",$B$405="Stand de vendas",OR($B$407="rs",$B$407="pct_vgv")),AND($B$404="indireto",$B$405="Gestão",OR($B$407="rs",$B$407="pct_vgv",$B$407="pct_recebido")),AND($B$404="indireto",$B$405="Outro",OR($B$407="rs",$B$407="pct_vgv",$B$407="pct_recebido")),AND($B$404="financeiro",$B$405="Juros de financiamento",OR($B$407="rs",$B$407="pct_vgv")),AND($B$404="financeiro",$B$405="Taxas bancárias",OR($B$407="rs",$B$407="pct_vgv")),AND($B$404="financeiro",$B$405="Estruturação de dívida",OR($B$407="rs",$B$407="pct_vgv")),AND($B$404="financeiro",$B$405="Investidores",OR($B$407="rs",$B$407="pct_vgv")),AND($B$404="financeiro",$B$405="Outro",OR($B$407="rs",$B$407="pct_vgv")))),"⚠ unidade não aceita nesta categoria",IF(AND($B$408&lt;&gt;"",$B$409&lt;&gt;""),"⚠ preencha só uma linha de valor",IF(IF(LEFT($B$407,3)="pct",$B$409="",$B$408=""),"⚠ falta o valor na linha certa","OK")))))</f>
        <v/>
      </c>
      <c r="C882" s="21" t="inlineStr">
        <is>
          <t>alerta</t>
        </is>
      </c>
      <c r="D882" s="22" t="inlineStr">
        <is>
          <t>calculado</t>
        </is>
      </c>
    </row>
    <row r="883">
      <c r="A883" s="19" t="inlineStr">
        <is>
          <t>Custo 9 — conferência</t>
        </is>
      </c>
      <c r="B883" s="24">
        <f>IF(AND($B$415="",$B$416=""),"",IF(OR($B$415="",$B$416="",$B$418=""),"⚠ falta grupo, categoria ou unidade",IF(NOT(OR(AND($B$415="terreno",$B$416="Preço",OR($B$418="rs",$B$418="rs_m2_terreno")),AND($B$415="terreno",$B$416="Registro",OR($B$418="rs",$B$418="rs_m2_priv")),AND($B$415="terreno",$B$416="Outro",OR($B$418="rs",$B$418="pct_vgv")),AND($B$415="obra",$B$416="Construção",OR($B$418="rs",$B$418="rs_m2_priv")),AND($B$415="obra",$B$416="Outorga",OR($B$418="rs",$B$418="pct_vgv")),AND($B$415="obra",$B$416="Decoração",OR($B$418="rs",$B$418="rs_m2_priv")),AND($B$415="obra",$B$416="Gestão da obra",OR($B$418="rs",$B$418="pct_obra")),AND($B$415="obra",$B$416="Contingência",OR($B$418="rs",$B$418="pct_vgv")),AND($B$415="obra",$B$416="Outro",OR($B$418="rs",$B$418="pct_vgv")),AND($B$415="diretos",$B$416="Marketing &amp; Publicidade",OR($B$418="rs",$B$418="pct_vgv",$B$418="pct_recebido")),AND($B$415="diretos",$B$416="Corretagem de vendas",OR($B$418="pct_vgv")),AND($B$415="diretos",$B$416="Projetos",OR($B$418="rs",$B$418="rs_m2_priv",$B$418="pct_constr")),AND($B$415="diretos",$B$416="Licenças e Aprovações",OR($B$418="rs",$B$418="rs_m2_priv")),AND($B$415="diretos",$B$416="Manutenção pós-obra",OR($B$418="rs",$B$418="pct_vgv",$B$418="pct_recebido")),AND($B$415="diretos",$B$416="Outro",OR($B$418="rs",$B$418="pct_vgv",$B$418="pct_recebido")),AND($B$415="indireto",$B$416="Marketing global",OR($B$418="rs",$B$418="pct_vgv",$B$418="pct_recebido")),AND($B$415="indireto",$B$416="Stand de vendas",OR($B$418="rs",$B$418="pct_vgv")),AND($B$415="indireto",$B$416="Gestão",OR($B$418="rs",$B$418="pct_vgv",$B$418="pct_recebido")),AND($B$415="indireto",$B$416="Outro",OR($B$418="rs",$B$418="pct_vgv",$B$418="pct_recebido")),AND($B$415="financeiro",$B$416="Juros de financiamento",OR($B$418="rs",$B$418="pct_vgv")),AND($B$415="financeiro",$B$416="Taxas bancárias",OR($B$418="rs",$B$418="pct_vgv")),AND($B$415="financeiro",$B$416="Estruturação de dívida",OR($B$418="rs",$B$418="pct_vgv")),AND($B$415="financeiro",$B$416="Investidores",OR($B$418="rs",$B$418="pct_vgv")),AND($B$415="financeiro",$B$416="Outro",OR($B$418="rs",$B$418="pct_vgv")))),"⚠ unidade não aceita nesta categoria",IF(AND($B$419&lt;&gt;"",$B$420&lt;&gt;""),"⚠ preencha só uma linha de valor",IF(IF(LEFT($B$418,3)="pct",$B$420="",$B$419=""),"⚠ falta o valor na linha certa","OK")))))</f>
        <v/>
      </c>
      <c r="C883" s="21" t="inlineStr">
        <is>
          <t>alerta</t>
        </is>
      </c>
      <c r="D883" s="22" t="inlineStr">
        <is>
          <t>calculado</t>
        </is>
      </c>
    </row>
    <row r="884">
      <c r="A884" s="19" t="inlineStr">
        <is>
          <t>Custo 10 — conferência</t>
        </is>
      </c>
      <c r="B884" s="24">
        <f>IF(AND($B$426="",$B$427=""),"",IF(OR($B$426="",$B$427="",$B$429=""),"⚠ falta grupo, categoria ou unidade",IF(NOT(OR(AND($B$426="terreno",$B$427="Preço",OR($B$429="rs",$B$429="rs_m2_terreno")),AND($B$426="terreno",$B$427="Registro",OR($B$429="rs",$B$429="rs_m2_priv")),AND($B$426="terreno",$B$427="Outro",OR($B$429="rs",$B$429="pct_vgv")),AND($B$426="obra",$B$427="Construção",OR($B$429="rs",$B$429="rs_m2_priv")),AND($B$426="obra",$B$427="Outorga",OR($B$429="rs",$B$429="pct_vgv")),AND($B$426="obra",$B$427="Decoração",OR($B$429="rs",$B$429="rs_m2_priv")),AND($B$426="obra",$B$427="Gestão da obra",OR($B$429="rs",$B$429="pct_obra")),AND($B$426="obra",$B$427="Contingência",OR($B$429="rs",$B$429="pct_vgv")),AND($B$426="obra",$B$427="Outro",OR($B$429="rs",$B$429="pct_vgv")),AND($B$426="diretos",$B$427="Marketing &amp; Publicidade",OR($B$429="rs",$B$429="pct_vgv",$B$429="pct_recebido")),AND($B$426="diretos",$B$427="Corretagem de vendas",OR($B$429="pct_vgv")),AND($B$426="diretos",$B$427="Projetos",OR($B$429="rs",$B$429="rs_m2_priv",$B$429="pct_constr")),AND($B$426="diretos",$B$427="Licenças e Aprovações",OR($B$429="rs",$B$429="rs_m2_priv")),AND($B$426="diretos",$B$427="Manutenção pós-obra",OR($B$429="rs",$B$429="pct_vgv",$B$429="pct_recebido")),AND($B$426="diretos",$B$427="Outro",OR($B$429="rs",$B$429="pct_vgv",$B$429="pct_recebido")),AND($B$426="indireto",$B$427="Marketing global",OR($B$429="rs",$B$429="pct_vgv",$B$429="pct_recebido")),AND($B$426="indireto",$B$427="Stand de vendas",OR($B$429="rs",$B$429="pct_vgv")),AND($B$426="indireto",$B$427="Gestão",OR($B$429="rs",$B$429="pct_vgv",$B$429="pct_recebido")),AND($B$426="indireto",$B$427="Outro",OR($B$429="rs",$B$429="pct_vgv",$B$429="pct_recebido")),AND($B$426="financeiro",$B$427="Juros de financiamento",OR($B$429="rs",$B$429="pct_vgv")),AND($B$426="financeiro",$B$427="Taxas bancárias",OR($B$429="rs",$B$429="pct_vgv")),AND($B$426="financeiro",$B$427="Estruturação de dívida",OR($B$429="rs",$B$429="pct_vgv")),AND($B$426="financeiro",$B$427="Investidores",OR($B$429="rs",$B$429="pct_vgv")),AND($B$426="financeiro",$B$427="Outro",OR($B$429="rs",$B$429="pct_vgv")))),"⚠ unidade não aceita nesta categoria",IF(AND($B$430&lt;&gt;"",$B$431&lt;&gt;""),"⚠ preencha só uma linha de valor",IF(IF(LEFT($B$429,3)="pct",$B$431="",$B$430=""),"⚠ falta o valor na linha certa","OK")))))</f>
        <v/>
      </c>
      <c r="C884" s="21" t="inlineStr">
        <is>
          <t>alerta</t>
        </is>
      </c>
      <c r="D884" s="22" t="inlineStr">
        <is>
          <t>calculado</t>
        </is>
      </c>
    </row>
    <row r="885">
      <c r="A885" s="19" t="inlineStr">
        <is>
          <t>Custo 11 — conferência</t>
        </is>
      </c>
      <c r="B885" s="24">
        <f>IF(AND($B$437="",$B$438=""),"",IF(OR($B$437="",$B$438="",$B$440=""),"⚠ falta grupo, categoria ou unidade",IF(NOT(OR(AND($B$437="terreno",$B$438="Preço",OR($B$440="rs",$B$440="rs_m2_terreno")),AND($B$437="terreno",$B$438="Registro",OR($B$440="rs",$B$440="rs_m2_priv")),AND($B$437="terreno",$B$438="Outro",OR($B$440="rs",$B$440="pct_vgv")),AND($B$437="obra",$B$438="Construção",OR($B$440="rs",$B$440="rs_m2_priv")),AND($B$437="obra",$B$438="Outorga",OR($B$440="rs",$B$440="pct_vgv")),AND($B$437="obra",$B$438="Decoração",OR($B$440="rs",$B$440="rs_m2_priv")),AND($B$437="obra",$B$438="Gestão da obra",OR($B$440="rs",$B$440="pct_obra")),AND($B$437="obra",$B$438="Contingência",OR($B$440="rs",$B$440="pct_vgv")),AND($B$437="obra",$B$438="Outro",OR($B$440="rs",$B$440="pct_vgv")),AND($B$437="diretos",$B$438="Marketing &amp; Publicidade",OR($B$440="rs",$B$440="pct_vgv",$B$440="pct_recebido")),AND($B$437="diretos",$B$438="Corretagem de vendas",OR($B$440="pct_vgv")),AND($B$437="diretos",$B$438="Projetos",OR($B$440="rs",$B$440="rs_m2_priv",$B$440="pct_constr")),AND($B$437="diretos",$B$438="Licenças e Aprovações",OR($B$440="rs",$B$440="rs_m2_priv")),AND($B$437="diretos",$B$438="Manutenção pós-obra",OR($B$440="rs",$B$440="pct_vgv",$B$440="pct_recebido")),AND($B$437="diretos",$B$438="Outro",OR($B$440="rs",$B$440="pct_vgv",$B$440="pct_recebido")),AND($B$437="indireto",$B$438="Marketing global",OR($B$440="rs",$B$440="pct_vgv",$B$440="pct_recebido")),AND($B$437="indireto",$B$438="Stand de vendas",OR($B$440="rs",$B$440="pct_vgv")),AND($B$437="indireto",$B$438="Gestão",OR($B$440="rs",$B$440="pct_vgv",$B$440="pct_recebido")),AND($B$437="indireto",$B$438="Outro",OR($B$440="rs",$B$440="pct_vgv",$B$440="pct_recebido")),AND($B$437="financeiro",$B$438="Juros de financiamento",OR($B$440="rs",$B$440="pct_vgv")),AND($B$437="financeiro",$B$438="Taxas bancárias",OR($B$440="rs",$B$440="pct_vgv")),AND($B$437="financeiro",$B$438="Estruturação de dívida",OR($B$440="rs",$B$440="pct_vgv")),AND($B$437="financeiro",$B$438="Investidores",OR($B$440="rs",$B$440="pct_vgv")),AND($B$437="financeiro",$B$438="Outro",OR($B$440="rs",$B$440="pct_vgv")))),"⚠ unidade não aceita nesta categoria",IF(AND($B$441&lt;&gt;"",$B$442&lt;&gt;""),"⚠ preencha só uma linha de valor",IF(IF(LEFT($B$440,3)="pct",$B$442="",$B$441=""),"⚠ falta o valor na linha certa","OK")))))</f>
        <v/>
      </c>
      <c r="C885" s="21" t="inlineStr">
        <is>
          <t>alerta</t>
        </is>
      </c>
      <c r="D885" s="22" t="inlineStr">
        <is>
          <t>calculado</t>
        </is>
      </c>
    </row>
    <row r="886">
      <c r="A886" s="19" t="inlineStr">
        <is>
          <t>Custo 12 — conferência</t>
        </is>
      </c>
      <c r="B886" s="24">
        <f>IF(AND($B$448="",$B$449=""),"",IF(OR($B$448="",$B$449="",$B$451=""),"⚠ falta grupo, categoria ou unidade",IF(NOT(OR(AND($B$448="terreno",$B$449="Preço",OR($B$451="rs",$B$451="rs_m2_terreno")),AND($B$448="terreno",$B$449="Registro",OR($B$451="rs",$B$451="rs_m2_priv")),AND($B$448="terreno",$B$449="Outro",OR($B$451="rs",$B$451="pct_vgv")),AND($B$448="obra",$B$449="Construção",OR($B$451="rs",$B$451="rs_m2_priv")),AND($B$448="obra",$B$449="Outorga",OR($B$451="rs",$B$451="pct_vgv")),AND($B$448="obra",$B$449="Decoração",OR($B$451="rs",$B$451="rs_m2_priv")),AND($B$448="obra",$B$449="Gestão da obra",OR($B$451="rs",$B$451="pct_obra")),AND($B$448="obra",$B$449="Contingência",OR($B$451="rs",$B$451="pct_vgv")),AND($B$448="obra",$B$449="Outro",OR($B$451="rs",$B$451="pct_vgv")),AND($B$448="diretos",$B$449="Marketing &amp; Publicidade",OR($B$451="rs",$B$451="pct_vgv",$B$451="pct_recebido")),AND($B$448="diretos",$B$449="Corretagem de vendas",OR($B$451="pct_vgv")),AND($B$448="diretos",$B$449="Projetos",OR($B$451="rs",$B$451="rs_m2_priv",$B$451="pct_constr")),AND($B$448="diretos",$B$449="Licenças e Aprovações",OR($B$451="rs",$B$451="rs_m2_priv")),AND($B$448="diretos",$B$449="Manutenção pós-obra",OR($B$451="rs",$B$451="pct_vgv",$B$451="pct_recebido")),AND($B$448="diretos",$B$449="Outro",OR($B$451="rs",$B$451="pct_vgv",$B$451="pct_recebido")),AND($B$448="indireto",$B$449="Marketing global",OR($B$451="rs",$B$451="pct_vgv",$B$451="pct_recebido")),AND($B$448="indireto",$B$449="Stand de vendas",OR($B$451="rs",$B$451="pct_vgv")),AND($B$448="indireto",$B$449="Gestão",OR($B$451="rs",$B$451="pct_vgv",$B$451="pct_recebido")),AND($B$448="indireto",$B$449="Outro",OR($B$451="rs",$B$451="pct_vgv",$B$451="pct_recebido")),AND($B$448="financeiro",$B$449="Juros de financiamento",OR($B$451="rs",$B$451="pct_vgv")),AND($B$448="financeiro",$B$449="Taxas bancárias",OR($B$451="rs",$B$451="pct_vgv")),AND($B$448="financeiro",$B$449="Estruturação de dívida",OR($B$451="rs",$B$451="pct_vgv")),AND($B$448="financeiro",$B$449="Investidores",OR($B$451="rs",$B$451="pct_vgv")),AND($B$448="financeiro",$B$449="Outro",OR($B$451="rs",$B$451="pct_vgv")))),"⚠ unidade não aceita nesta categoria",IF(AND($B$452&lt;&gt;"",$B$453&lt;&gt;""),"⚠ preencha só uma linha de valor",IF(IF(LEFT($B$451,3)="pct",$B$453="",$B$452=""),"⚠ falta o valor na linha certa","OK")))))</f>
        <v/>
      </c>
      <c r="C886" s="21" t="inlineStr">
        <is>
          <t>alerta</t>
        </is>
      </c>
      <c r="D886" s="22" t="inlineStr">
        <is>
          <t>calculado</t>
        </is>
      </c>
    </row>
    <row r="887">
      <c r="A887" s="19" t="inlineStr">
        <is>
          <t>Custo 13 — conferência</t>
        </is>
      </c>
      <c r="B887" s="24">
        <f>IF(AND($B$459="",$B$460=""),"",IF(OR($B$459="",$B$460="",$B$462=""),"⚠ falta grupo, categoria ou unidade",IF(NOT(OR(AND($B$459="terreno",$B$460="Preço",OR($B$462="rs",$B$462="rs_m2_terreno")),AND($B$459="terreno",$B$460="Registro",OR($B$462="rs",$B$462="rs_m2_priv")),AND($B$459="terreno",$B$460="Outro",OR($B$462="rs",$B$462="pct_vgv")),AND($B$459="obra",$B$460="Construção",OR($B$462="rs",$B$462="rs_m2_priv")),AND($B$459="obra",$B$460="Outorga",OR($B$462="rs",$B$462="pct_vgv")),AND($B$459="obra",$B$460="Decoração",OR($B$462="rs",$B$462="rs_m2_priv")),AND($B$459="obra",$B$460="Gestão da obra",OR($B$462="rs",$B$462="pct_obra")),AND($B$459="obra",$B$460="Contingência",OR($B$462="rs",$B$462="pct_vgv")),AND($B$459="obra",$B$460="Outro",OR($B$462="rs",$B$462="pct_vgv")),AND($B$459="diretos",$B$460="Marketing &amp; Publicidade",OR($B$462="rs",$B$462="pct_vgv",$B$462="pct_recebido")),AND($B$459="diretos",$B$460="Corretagem de vendas",OR($B$462="pct_vgv")),AND($B$459="diretos",$B$460="Projetos",OR($B$462="rs",$B$462="rs_m2_priv",$B$462="pct_constr")),AND($B$459="diretos",$B$460="Licenças e Aprovações",OR($B$462="rs",$B$462="rs_m2_priv")),AND($B$459="diretos",$B$460="Manutenção pós-obra",OR($B$462="rs",$B$462="pct_vgv",$B$462="pct_recebido")),AND($B$459="diretos",$B$460="Outro",OR($B$462="rs",$B$462="pct_vgv",$B$462="pct_recebido")),AND($B$459="indireto",$B$460="Marketing global",OR($B$462="rs",$B$462="pct_vgv",$B$462="pct_recebido")),AND($B$459="indireto",$B$460="Stand de vendas",OR($B$462="rs",$B$462="pct_vgv")),AND($B$459="indireto",$B$460="Gestão",OR($B$462="rs",$B$462="pct_vgv",$B$462="pct_recebido")),AND($B$459="indireto",$B$460="Outro",OR($B$462="rs",$B$462="pct_vgv",$B$462="pct_recebido")),AND($B$459="financeiro",$B$460="Juros de financiamento",OR($B$462="rs",$B$462="pct_vgv")),AND($B$459="financeiro",$B$460="Taxas bancárias",OR($B$462="rs",$B$462="pct_vgv")),AND($B$459="financeiro",$B$460="Estruturação de dívida",OR($B$462="rs",$B$462="pct_vgv")),AND($B$459="financeiro",$B$460="Investidores",OR($B$462="rs",$B$462="pct_vgv")),AND($B$459="financeiro",$B$460="Outro",OR($B$462="rs",$B$462="pct_vgv")))),"⚠ unidade não aceita nesta categoria",IF(AND($B$463&lt;&gt;"",$B$464&lt;&gt;""),"⚠ preencha só uma linha de valor",IF(IF(LEFT($B$462,3)="pct",$B$464="",$B$463=""),"⚠ falta o valor na linha certa","OK")))))</f>
        <v/>
      </c>
      <c r="C887" s="21" t="inlineStr">
        <is>
          <t>alerta</t>
        </is>
      </c>
      <c r="D887" s="22" t="inlineStr">
        <is>
          <t>calculado</t>
        </is>
      </c>
    </row>
    <row r="888">
      <c r="A888" s="19" t="inlineStr">
        <is>
          <t>Custo 14 — conferência</t>
        </is>
      </c>
      <c r="B888" s="24">
        <f>IF(AND($B$470="",$B$471=""),"",IF(OR($B$470="",$B$471="",$B$473=""),"⚠ falta grupo, categoria ou unidade",IF(NOT(OR(AND($B$470="terreno",$B$471="Preço",OR($B$473="rs",$B$473="rs_m2_terreno")),AND($B$470="terreno",$B$471="Registro",OR($B$473="rs",$B$473="rs_m2_priv")),AND($B$470="terreno",$B$471="Outro",OR($B$473="rs",$B$473="pct_vgv")),AND($B$470="obra",$B$471="Construção",OR($B$473="rs",$B$473="rs_m2_priv")),AND($B$470="obra",$B$471="Outorga",OR($B$473="rs",$B$473="pct_vgv")),AND($B$470="obra",$B$471="Decoração",OR($B$473="rs",$B$473="rs_m2_priv")),AND($B$470="obra",$B$471="Gestão da obra",OR($B$473="rs",$B$473="pct_obra")),AND($B$470="obra",$B$471="Contingência",OR($B$473="rs",$B$473="pct_vgv")),AND($B$470="obra",$B$471="Outro",OR($B$473="rs",$B$473="pct_vgv")),AND($B$470="diretos",$B$471="Marketing &amp; Publicidade",OR($B$473="rs",$B$473="pct_vgv",$B$473="pct_recebido")),AND($B$470="diretos",$B$471="Corretagem de vendas",OR($B$473="pct_vgv")),AND($B$470="diretos",$B$471="Projetos",OR($B$473="rs",$B$473="rs_m2_priv",$B$473="pct_constr")),AND($B$470="diretos",$B$471="Licenças e Aprovações",OR($B$473="rs",$B$473="rs_m2_priv")),AND($B$470="diretos",$B$471="Manutenção pós-obra",OR($B$473="rs",$B$473="pct_vgv",$B$473="pct_recebido")),AND($B$470="diretos",$B$471="Outro",OR($B$473="rs",$B$473="pct_vgv",$B$473="pct_recebido")),AND($B$470="indireto",$B$471="Marketing global",OR($B$473="rs",$B$473="pct_vgv",$B$473="pct_recebido")),AND($B$470="indireto",$B$471="Stand de vendas",OR($B$473="rs",$B$473="pct_vgv")),AND($B$470="indireto",$B$471="Gestão",OR($B$473="rs",$B$473="pct_vgv",$B$473="pct_recebido")),AND($B$470="indireto",$B$471="Outro",OR($B$473="rs",$B$473="pct_vgv",$B$473="pct_recebido")),AND($B$470="financeiro",$B$471="Juros de financiamento",OR($B$473="rs",$B$473="pct_vgv")),AND($B$470="financeiro",$B$471="Taxas bancárias",OR($B$473="rs",$B$473="pct_vgv")),AND($B$470="financeiro",$B$471="Estruturação de dívida",OR($B$473="rs",$B$473="pct_vgv")),AND($B$470="financeiro",$B$471="Investidores",OR($B$473="rs",$B$473="pct_vgv")),AND($B$470="financeiro",$B$471="Outro",OR($B$473="rs",$B$473="pct_vgv")))),"⚠ unidade não aceita nesta categoria",IF(AND($B$474&lt;&gt;"",$B$475&lt;&gt;""),"⚠ preencha só uma linha de valor",IF(IF(LEFT($B$473,3)="pct",$B$475="",$B$474=""),"⚠ falta o valor na linha certa","OK")))))</f>
        <v/>
      </c>
      <c r="C888" s="21" t="inlineStr">
        <is>
          <t>alerta</t>
        </is>
      </c>
      <c r="D888" s="22" t="inlineStr">
        <is>
          <t>calculado</t>
        </is>
      </c>
    </row>
    <row r="889">
      <c r="A889" s="19" t="inlineStr">
        <is>
          <t>Custo 15 — conferência</t>
        </is>
      </c>
      <c r="B889" s="24">
        <f>IF(AND($B$481="",$B$482=""),"",IF(OR($B$481="",$B$482="",$B$484=""),"⚠ falta grupo, categoria ou unidade",IF(NOT(OR(AND($B$481="terreno",$B$482="Preço",OR($B$484="rs",$B$484="rs_m2_terreno")),AND($B$481="terreno",$B$482="Registro",OR($B$484="rs",$B$484="rs_m2_priv")),AND($B$481="terreno",$B$482="Outro",OR($B$484="rs",$B$484="pct_vgv")),AND($B$481="obra",$B$482="Construção",OR($B$484="rs",$B$484="rs_m2_priv")),AND($B$481="obra",$B$482="Outorga",OR($B$484="rs",$B$484="pct_vgv")),AND($B$481="obra",$B$482="Decoração",OR($B$484="rs",$B$484="rs_m2_priv")),AND($B$481="obra",$B$482="Gestão da obra",OR($B$484="rs",$B$484="pct_obra")),AND($B$481="obra",$B$482="Contingência",OR($B$484="rs",$B$484="pct_vgv")),AND($B$481="obra",$B$482="Outro",OR($B$484="rs",$B$484="pct_vgv")),AND($B$481="diretos",$B$482="Marketing &amp; Publicidade",OR($B$484="rs",$B$484="pct_vgv",$B$484="pct_recebido")),AND($B$481="diretos",$B$482="Corretagem de vendas",OR($B$484="pct_vgv")),AND($B$481="diretos",$B$482="Projetos",OR($B$484="rs",$B$484="rs_m2_priv",$B$484="pct_constr")),AND($B$481="diretos",$B$482="Licenças e Aprovações",OR($B$484="rs",$B$484="rs_m2_priv")),AND($B$481="diretos",$B$482="Manutenção pós-obra",OR($B$484="rs",$B$484="pct_vgv",$B$484="pct_recebido")),AND($B$481="diretos",$B$482="Outro",OR($B$484="rs",$B$484="pct_vgv",$B$484="pct_recebido")),AND($B$481="indireto",$B$482="Marketing global",OR($B$484="rs",$B$484="pct_vgv",$B$484="pct_recebido")),AND($B$481="indireto",$B$482="Stand de vendas",OR($B$484="rs",$B$484="pct_vgv")),AND($B$481="indireto",$B$482="Gestão",OR($B$484="rs",$B$484="pct_vgv",$B$484="pct_recebido")),AND($B$481="indireto",$B$482="Outro",OR($B$484="rs",$B$484="pct_vgv",$B$484="pct_recebido")),AND($B$481="financeiro",$B$482="Juros de financiamento",OR($B$484="rs",$B$484="pct_vgv")),AND($B$481="financeiro",$B$482="Taxas bancárias",OR($B$484="rs",$B$484="pct_vgv")),AND($B$481="financeiro",$B$482="Estruturação de dívida",OR($B$484="rs",$B$484="pct_vgv")),AND($B$481="financeiro",$B$482="Investidores",OR($B$484="rs",$B$484="pct_vgv")),AND($B$481="financeiro",$B$482="Outro",OR($B$484="rs",$B$484="pct_vgv")))),"⚠ unidade não aceita nesta categoria",IF(AND($B$485&lt;&gt;"",$B$486&lt;&gt;""),"⚠ preencha só uma linha de valor",IF(IF(LEFT($B$484,3)="pct",$B$486="",$B$485=""),"⚠ falta o valor na linha certa","OK")))))</f>
        <v/>
      </c>
      <c r="C889" s="21" t="inlineStr">
        <is>
          <t>alerta</t>
        </is>
      </c>
      <c r="D889" s="22" t="inlineStr">
        <is>
          <t>calculado</t>
        </is>
      </c>
    </row>
    <row r="890">
      <c r="A890" s="19" t="inlineStr">
        <is>
          <t>Custo 16 — conferência</t>
        </is>
      </c>
      <c r="B890" s="24">
        <f>IF(AND($B$492="",$B$493=""),"",IF(OR($B$492="",$B$493="",$B$495=""),"⚠ falta grupo, categoria ou unidade",IF(NOT(OR(AND($B$492="terreno",$B$493="Preço",OR($B$495="rs",$B$495="rs_m2_terreno")),AND($B$492="terreno",$B$493="Registro",OR($B$495="rs",$B$495="rs_m2_priv")),AND($B$492="terreno",$B$493="Outro",OR($B$495="rs",$B$495="pct_vgv")),AND($B$492="obra",$B$493="Construção",OR($B$495="rs",$B$495="rs_m2_priv")),AND($B$492="obra",$B$493="Outorga",OR($B$495="rs",$B$495="pct_vgv")),AND($B$492="obra",$B$493="Decoração",OR($B$495="rs",$B$495="rs_m2_priv")),AND($B$492="obra",$B$493="Gestão da obra",OR($B$495="rs",$B$495="pct_obra")),AND($B$492="obra",$B$493="Contingência",OR($B$495="rs",$B$495="pct_vgv")),AND($B$492="obra",$B$493="Outro",OR($B$495="rs",$B$495="pct_vgv")),AND($B$492="diretos",$B$493="Marketing &amp; Publicidade",OR($B$495="rs",$B$495="pct_vgv",$B$495="pct_recebido")),AND($B$492="diretos",$B$493="Corretagem de vendas",OR($B$495="pct_vgv")),AND($B$492="diretos",$B$493="Projetos",OR($B$495="rs",$B$495="rs_m2_priv",$B$495="pct_constr")),AND($B$492="diretos",$B$493="Licenças e Aprovações",OR($B$495="rs",$B$495="rs_m2_priv")),AND($B$492="diretos",$B$493="Manutenção pós-obra",OR($B$495="rs",$B$495="pct_vgv",$B$495="pct_recebido")),AND($B$492="diretos",$B$493="Outro",OR($B$495="rs",$B$495="pct_vgv",$B$495="pct_recebido")),AND($B$492="indireto",$B$493="Marketing global",OR($B$495="rs",$B$495="pct_vgv",$B$495="pct_recebido")),AND($B$492="indireto",$B$493="Stand de vendas",OR($B$495="rs",$B$495="pct_vgv")),AND($B$492="indireto",$B$493="Gestão",OR($B$495="rs",$B$495="pct_vgv",$B$495="pct_recebido")),AND($B$492="indireto",$B$493="Outro",OR($B$495="rs",$B$495="pct_vgv",$B$495="pct_recebido")),AND($B$492="financeiro",$B$493="Juros de financiamento",OR($B$495="rs",$B$495="pct_vgv")),AND($B$492="financeiro",$B$493="Taxas bancárias",OR($B$495="rs",$B$495="pct_vgv")),AND($B$492="financeiro",$B$493="Estruturação de dívida",OR($B$495="rs",$B$495="pct_vgv")),AND($B$492="financeiro",$B$493="Investidores",OR($B$495="rs",$B$495="pct_vgv")),AND($B$492="financeiro",$B$493="Outro",OR($B$495="rs",$B$495="pct_vgv")))),"⚠ unidade não aceita nesta categoria",IF(AND($B$496&lt;&gt;"",$B$497&lt;&gt;""),"⚠ preencha só uma linha de valor",IF(IF(LEFT($B$495,3)="pct",$B$497="",$B$496=""),"⚠ falta o valor na linha certa","OK")))))</f>
        <v/>
      </c>
      <c r="C890" s="21" t="inlineStr">
        <is>
          <t>alerta</t>
        </is>
      </c>
      <c r="D890" s="22" t="inlineStr">
        <is>
          <t>calculado</t>
        </is>
      </c>
    </row>
    <row r="891">
      <c r="A891" s="19" t="inlineStr">
        <is>
          <t>Custo 17 — conferência</t>
        </is>
      </c>
      <c r="B891" s="24">
        <f>IF(AND($B$503="",$B$504=""),"",IF(OR($B$503="",$B$504="",$B$506=""),"⚠ falta grupo, categoria ou unidade",IF(NOT(OR(AND($B$503="terreno",$B$504="Preço",OR($B$506="rs",$B$506="rs_m2_terreno")),AND($B$503="terreno",$B$504="Registro",OR($B$506="rs",$B$506="rs_m2_priv")),AND($B$503="terreno",$B$504="Outro",OR($B$506="rs",$B$506="pct_vgv")),AND($B$503="obra",$B$504="Construção",OR($B$506="rs",$B$506="rs_m2_priv")),AND($B$503="obra",$B$504="Outorga",OR($B$506="rs",$B$506="pct_vgv")),AND($B$503="obra",$B$504="Decoração",OR($B$506="rs",$B$506="rs_m2_priv")),AND($B$503="obra",$B$504="Gestão da obra",OR($B$506="rs",$B$506="pct_obra")),AND($B$503="obra",$B$504="Contingência",OR($B$506="rs",$B$506="pct_vgv")),AND($B$503="obra",$B$504="Outro",OR($B$506="rs",$B$506="pct_vgv")),AND($B$503="diretos",$B$504="Marketing &amp; Publicidade",OR($B$506="rs",$B$506="pct_vgv",$B$506="pct_recebido")),AND($B$503="diretos",$B$504="Corretagem de vendas",OR($B$506="pct_vgv")),AND($B$503="diretos",$B$504="Projetos",OR($B$506="rs",$B$506="rs_m2_priv",$B$506="pct_constr")),AND($B$503="diretos",$B$504="Licenças e Aprovações",OR($B$506="rs",$B$506="rs_m2_priv")),AND($B$503="diretos",$B$504="Manutenção pós-obra",OR($B$506="rs",$B$506="pct_vgv",$B$506="pct_recebido")),AND($B$503="diretos",$B$504="Outro",OR($B$506="rs",$B$506="pct_vgv",$B$506="pct_recebido")),AND($B$503="indireto",$B$504="Marketing global",OR($B$506="rs",$B$506="pct_vgv",$B$506="pct_recebido")),AND($B$503="indireto",$B$504="Stand de vendas",OR($B$506="rs",$B$506="pct_vgv")),AND($B$503="indireto",$B$504="Gestão",OR($B$506="rs",$B$506="pct_vgv",$B$506="pct_recebido")),AND($B$503="indireto",$B$504="Outro",OR($B$506="rs",$B$506="pct_vgv",$B$506="pct_recebido")),AND($B$503="financeiro",$B$504="Juros de financiamento",OR($B$506="rs",$B$506="pct_vgv")),AND($B$503="financeiro",$B$504="Taxas bancárias",OR($B$506="rs",$B$506="pct_vgv")),AND($B$503="financeiro",$B$504="Estruturação de dívida",OR($B$506="rs",$B$506="pct_vgv")),AND($B$503="financeiro",$B$504="Investidores",OR($B$506="rs",$B$506="pct_vgv")),AND($B$503="financeiro",$B$504="Outro",OR($B$506="rs",$B$506="pct_vgv")))),"⚠ unidade não aceita nesta categoria",IF(AND($B$507&lt;&gt;"",$B$508&lt;&gt;""),"⚠ preencha só uma linha de valor",IF(IF(LEFT($B$506,3)="pct",$B$508="",$B$507=""),"⚠ falta o valor na linha certa","OK")))))</f>
        <v/>
      </c>
      <c r="C891" s="21" t="inlineStr">
        <is>
          <t>alerta</t>
        </is>
      </c>
      <c r="D891" s="22" t="inlineStr">
        <is>
          <t>calculado</t>
        </is>
      </c>
    </row>
    <row r="892">
      <c r="A892" s="19" t="inlineStr">
        <is>
          <t>Custo 18 — conferência</t>
        </is>
      </c>
      <c r="B892" s="24">
        <f>IF(AND($B$514="",$B$515=""),"",IF(OR($B$514="",$B$515="",$B$517=""),"⚠ falta grupo, categoria ou unidade",IF(NOT(OR(AND($B$514="terreno",$B$515="Preço",OR($B$517="rs",$B$517="rs_m2_terreno")),AND($B$514="terreno",$B$515="Registro",OR($B$517="rs",$B$517="rs_m2_priv")),AND($B$514="terreno",$B$515="Outro",OR($B$517="rs",$B$517="pct_vgv")),AND($B$514="obra",$B$515="Construção",OR($B$517="rs",$B$517="rs_m2_priv")),AND($B$514="obra",$B$515="Outorga",OR($B$517="rs",$B$517="pct_vgv")),AND($B$514="obra",$B$515="Decoração",OR($B$517="rs",$B$517="rs_m2_priv")),AND($B$514="obra",$B$515="Gestão da obra",OR($B$517="rs",$B$517="pct_obra")),AND($B$514="obra",$B$515="Contingência",OR($B$517="rs",$B$517="pct_vgv")),AND($B$514="obra",$B$515="Outro",OR($B$517="rs",$B$517="pct_vgv")),AND($B$514="diretos",$B$515="Marketing &amp; Publicidade",OR($B$517="rs",$B$517="pct_vgv",$B$517="pct_recebido")),AND($B$514="diretos",$B$515="Corretagem de vendas",OR($B$517="pct_vgv")),AND($B$514="diretos",$B$515="Projetos",OR($B$517="rs",$B$517="rs_m2_priv",$B$517="pct_constr")),AND($B$514="diretos",$B$515="Licenças e Aprovações",OR($B$517="rs",$B$517="rs_m2_priv")),AND($B$514="diretos",$B$515="Manutenção pós-obra",OR($B$517="rs",$B$517="pct_vgv",$B$517="pct_recebido")),AND($B$514="diretos",$B$515="Outro",OR($B$517="rs",$B$517="pct_vgv",$B$517="pct_recebido")),AND($B$514="indireto",$B$515="Marketing global",OR($B$517="rs",$B$517="pct_vgv",$B$517="pct_recebido")),AND($B$514="indireto",$B$515="Stand de vendas",OR($B$517="rs",$B$517="pct_vgv")),AND($B$514="indireto",$B$515="Gestão",OR($B$517="rs",$B$517="pct_vgv",$B$517="pct_recebido")),AND($B$514="indireto",$B$515="Outro",OR($B$517="rs",$B$517="pct_vgv",$B$517="pct_recebido")),AND($B$514="financeiro",$B$515="Juros de financiamento",OR($B$517="rs",$B$517="pct_vgv")),AND($B$514="financeiro",$B$515="Taxas bancárias",OR($B$517="rs",$B$517="pct_vgv")),AND($B$514="financeiro",$B$515="Estruturação de dívida",OR($B$517="rs",$B$517="pct_vgv")),AND($B$514="financeiro",$B$515="Investidores",OR($B$517="rs",$B$517="pct_vgv")),AND($B$514="financeiro",$B$515="Outro",OR($B$517="rs",$B$517="pct_vgv")))),"⚠ unidade não aceita nesta categoria",IF(AND($B$518&lt;&gt;"",$B$519&lt;&gt;""),"⚠ preencha só uma linha de valor",IF(IF(LEFT($B$517,3)="pct",$B$519="",$B$518=""),"⚠ falta o valor na linha certa","OK")))))</f>
        <v/>
      </c>
      <c r="C892" s="21" t="inlineStr">
        <is>
          <t>alerta</t>
        </is>
      </c>
      <c r="D892" s="22" t="inlineStr">
        <is>
          <t>calculado</t>
        </is>
      </c>
    </row>
    <row r="893">
      <c r="A893" s="19" t="inlineStr">
        <is>
          <t>Custo 19 — conferência</t>
        </is>
      </c>
      <c r="B893" s="24">
        <f>IF(AND($B$525="",$B$526=""),"",IF(OR($B$525="",$B$526="",$B$528=""),"⚠ falta grupo, categoria ou unidade",IF(NOT(OR(AND($B$525="terreno",$B$526="Preço",OR($B$528="rs",$B$528="rs_m2_terreno")),AND($B$525="terreno",$B$526="Registro",OR($B$528="rs",$B$528="rs_m2_priv")),AND($B$525="terreno",$B$526="Outro",OR($B$528="rs",$B$528="pct_vgv")),AND($B$525="obra",$B$526="Construção",OR($B$528="rs",$B$528="rs_m2_priv")),AND($B$525="obra",$B$526="Outorga",OR($B$528="rs",$B$528="pct_vgv")),AND($B$525="obra",$B$526="Decoração",OR($B$528="rs",$B$528="rs_m2_priv")),AND($B$525="obra",$B$526="Gestão da obra",OR($B$528="rs",$B$528="pct_obra")),AND($B$525="obra",$B$526="Contingência",OR($B$528="rs",$B$528="pct_vgv")),AND($B$525="obra",$B$526="Outro",OR($B$528="rs",$B$528="pct_vgv")),AND($B$525="diretos",$B$526="Marketing &amp; Publicidade",OR($B$528="rs",$B$528="pct_vgv",$B$528="pct_recebido")),AND($B$525="diretos",$B$526="Corretagem de vendas",OR($B$528="pct_vgv")),AND($B$525="diretos",$B$526="Projetos",OR($B$528="rs",$B$528="rs_m2_priv",$B$528="pct_constr")),AND($B$525="diretos",$B$526="Licenças e Aprovações",OR($B$528="rs",$B$528="rs_m2_priv")),AND($B$525="diretos",$B$526="Manutenção pós-obra",OR($B$528="rs",$B$528="pct_vgv",$B$528="pct_recebido")),AND($B$525="diretos",$B$526="Outro",OR($B$528="rs",$B$528="pct_vgv",$B$528="pct_recebido")),AND($B$525="indireto",$B$526="Marketing global",OR($B$528="rs",$B$528="pct_vgv",$B$528="pct_recebido")),AND($B$525="indireto",$B$526="Stand de vendas",OR($B$528="rs",$B$528="pct_vgv")),AND($B$525="indireto",$B$526="Gestão",OR($B$528="rs",$B$528="pct_vgv",$B$528="pct_recebido")),AND($B$525="indireto",$B$526="Outro",OR($B$528="rs",$B$528="pct_vgv",$B$528="pct_recebido")),AND($B$525="financeiro",$B$526="Juros de financiamento",OR($B$528="rs",$B$528="pct_vgv")),AND($B$525="financeiro",$B$526="Taxas bancárias",OR($B$528="rs",$B$528="pct_vgv")),AND($B$525="financeiro",$B$526="Estruturação de dívida",OR($B$528="rs",$B$528="pct_vgv")),AND($B$525="financeiro",$B$526="Investidores",OR($B$528="rs",$B$528="pct_vgv")),AND($B$525="financeiro",$B$526="Outro",OR($B$528="rs",$B$528="pct_vgv")))),"⚠ unidade não aceita nesta categoria",IF(AND($B$529&lt;&gt;"",$B$530&lt;&gt;""),"⚠ preencha só uma linha de valor",IF(IF(LEFT($B$528,3)="pct",$B$530="",$B$529=""),"⚠ falta o valor na linha certa","OK")))))</f>
        <v/>
      </c>
      <c r="C893" s="21" t="inlineStr">
        <is>
          <t>alerta</t>
        </is>
      </c>
      <c r="D893" s="22" t="inlineStr">
        <is>
          <t>calculado</t>
        </is>
      </c>
    </row>
    <row r="894">
      <c r="A894" s="19" t="inlineStr">
        <is>
          <t>Custo 20 — conferência</t>
        </is>
      </c>
      <c r="B894" s="24">
        <f>IF(AND($B$536="",$B$537=""),"",IF(OR($B$536="",$B$537="",$B$539=""),"⚠ falta grupo, categoria ou unidade",IF(NOT(OR(AND($B$536="terreno",$B$537="Preço",OR($B$539="rs",$B$539="rs_m2_terreno")),AND($B$536="terreno",$B$537="Registro",OR($B$539="rs",$B$539="rs_m2_priv")),AND($B$536="terreno",$B$537="Outro",OR($B$539="rs",$B$539="pct_vgv")),AND($B$536="obra",$B$537="Construção",OR($B$539="rs",$B$539="rs_m2_priv")),AND($B$536="obra",$B$537="Outorga",OR($B$539="rs",$B$539="pct_vgv")),AND($B$536="obra",$B$537="Decoração",OR($B$539="rs",$B$539="rs_m2_priv")),AND($B$536="obra",$B$537="Gestão da obra",OR($B$539="rs",$B$539="pct_obra")),AND($B$536="obra",$B$537="Contingência",OR($B$539="rs",$B$539="pct_vgv")),AND($B$536="obra",$B$537="Outro",OR($B$539="rs",$B$539="pct_vgv")),AND($B$536="diretos",$B$537="Marketing &amp; Publicidade",OR($B$539="rs",$B$539="pct_vgv",$B$539="pct_recebido")),AND($B$536="diretos",$B$537="Corretagem de vendas",OR($B$539="pct_vgv")),AND($B$536="diretos",$B$537="Projetos",OR($B$539="rs",$B$539="rs_m2_priv",$B$539="pct_constr")),AND($B$536="diretos",$B$537="Licenças e Aprovações",OR($B$539="rs",$B$539="rs_m2_priv")),AND($B$536="diretos",$B$537="Manutenção pós-obra",OR($B$539="rs",$B$539="pct_vgv",$B$539="pct_recebido")),AND($B$536="diretos",$B$537="Outro",OR($B$539="rs",$B$539="pct_vgv",$B$539="pct_recebido")),AND($B$536="indireto",$B$537="Marketing global",OR($B$539="rs",$B$539="pct_vgv",$B$539="pct_recebido")),AND($B$536="indireto",$B$537="Stand de vendas",OR($B$539="rs",$B$539="pct_vgv")),AND($B$536="indireto",$B$537="Gestão",OR($B$539="rs",$B$539="pct_vgv",$B$539="pct_recebido")),AND($B$536="indireto",$B$537="Outro",OR($B$539="rs",$B$539="pct_vgv",$B$539="pct_recebido")),AND($B$536="financeiro",$B$537="Juros de financiamento",OR($B$539="rs",$B$539="pct_vgv")),AND($B$536="financeiro",$B$537="Taxas bancárias",OR($B$539="rs",$B$539="pct_vgv")),AND($B$536="financeiro",$B$537="Estruturação de dívida",OR($B$539="rs",$B$539="pct_vgv")),AND($B$536="financeiro",$B$537="Investidores",OR($B$539="rs",$B$539="pct_vgv")),AND($B$536="financeiro",$B$537="Outro",OR($B$539="rs",$B$539="pct_vgv")))),"⚠ unidade não aceita nesta categoria",IF(AND($B$540&lt;&gt;"",$B$541&lt;&gt;""),"⚠ preencha só uma linha de valor",IF(IF(LEFT($B$539,3)="pct",$B$541="",$B$540=""),"⚠ falta o valor na linha certa","OK")))))</f>
        <v/>
      </c>
      <c r="C894" s="21" t="inlineStr">
        <is>
          <t>alerta</t>
        </is>
      </c>
      <c r="D894" s="22" t="inlineStr">
        <is>
          <t>calculado</t>
        </is>
      </c>
    </row>
    <row r="895">
      <c r="A895" s="19" t="inlineStr">
        <is>
          <t>Custo 21 — conferência</t>
        </is>
      </c>
      <c r="B895" s="24">
        <f>IF(AND($B$547="",$B$548=""),"",IF(OR($B$547="",$B$548="",$B$550=""),"⚠ falta grupo, categoria ou unidade",IF(NOT(OR(AND($B$547="terreno",$B$548="Preço",OR($B$550="rs",$B$550="rs_m2_terreno")),AND($B$547="terreno",$B$548="Registro",OR($B$550="rs",$B$550="rs_m2_priv")),AND($B$547="terreno",$B$548="Outro",OR($B$550="rs",$B$550="pct_vgv")),AND($B$547="obra",$B$548="Construção",OR($B$550="rs",$B$550="rs_m2_priv")),AND($B$547="obra",$B$548="Outorga",OR($B$550="rs",$B$550="pct_vgv")),AND($B$547="obra",$B$548="Decoração",OR($B$550="rs",$B$550="rs_m2_priv")),AND($B$547="obra",$B$548="Gestão da obra",OR($B$550="rs",$B$550="pct_obra")),AND($B$547="obra",$B$548="Contingência",OR($B$550="rs",$B$550="pct_vgv")),AND($B$547="obra",$B$548="Outro",OR($B$550="rs",$B$550="pct_vgv")),AND($B$547="diretos",$B$548="Marketing &amp; Publicidade",OR($B$550="rs",$B$550="pct_vgv",$B$550="pct_recebido")),AND($B$547="diretos",$B$548="Corretagem de vendas",OR($B$550="pct_vgv")),AND($B$547="diretos",$B$548="Projetos",OR($B$550="rs",$B$550="rs_m2_priv",$B$550="pct_constr")),AND($B$547="diretos",$B$548="Licenças e Aprovações",OR($B$550="rs",$B$550="rs_m2_priv")),AND($B$547="diretos",$B$548="Manutenção pós-obra",OR($B$550="rs",$B$550="pct_vgv",$B$550="pct_recebido")),AND($B$547="diretos",$B$548="Outro",OR($B$550="rs",$B$550="pct_vgv",$B$550="pct_recebido")),AND($B$547="indireto",$B$548="Marketing global",OR($B$550="rs",$B$550="pct_vgv",$B$550="pct_recebido")),AND($B$547="indireto",$B$548="Stand de vendas",OR($B$550="rs",$B$550="pct_vgv")),AND($B$547="indireto",$B$548="Gestão",OR($B$550="rs",$B$550="pct_vgv",$B$550="pct_recebido")),AND($B$547="indireto",$B$548="Outro",OR($B$550="rs",$B$550="pct_vgv",$B$550="pct_recebido")),AND($B$547="financeiro",$B$548="Juros de financiamento",OR($B$550="rs",$B$550="pct_vgv")),AND($B$547="financeiro",$B$548="Taxas bancárias",OR($B$550="rs",$B$550="pct_vgv")),AND($B$547="financeiro",$B$548="Estruturação de dívida",OR($B$550="rs",$B$550="pct_vgv")),AND($B$547="financeiro",$B$548="Investidores",OR($B$550="rs",$B$550="pct_vgv")),AND($B$547="financeiro",$B$548="Outro",OR($B$550="rs",$B$550="pct_vgv")))),"⚠ unidade não aceita nesta categoria",IF(AND($B$551&lt;&gt;"",$B$552&lt;&gt;""),"⚠ preencha só uma linha de valor",IF(IF(LEFT($B$550,3)="pct",$B$552="",$B$551=""),"⚠ falta o valor na linha certa","OK")))))</f>
        <v/>
      </c>
      <c r="C895" s="21" t="inlineStr">
        <is>
          <t>alerta</t>
        </is>
      </c>
      <c r="D895" s="22" t="inlineStr">
        <is>
          <t>calculado</t>
        </is>
      </c>
    </row>
    <row r="896">
      <c r="A896" s="19" t="inlineStr">
        <is>
          <t>Custo 22 — conferência</t>
        </is>
      </c>
      <c r="B896" s="24">
        <f>IF(AND($B$558="",$B$559=""),"",IF(OR($B$558="",$B$559="",$B$561=""),"⚠ falta grupo, categoria ou unidade",IF(NOT(OR(AND($B$558="terreno",$B$559="Preço",OR($B$561="rs",$B$561="rs_m2_terreno")),AND($B$558="terreno",$B$559="Registro",OR($B$561="rs",$B$561="rs_m2_priv")),AND($B$558="terreno",$B$559="Outro",OR($B$561="rs",$B$561="pct_vgv")),AND($B$558="obra",$B$559="Construção",OR($B$561="rs",$B$561="rs_m2_priv")),AND($B$558="obra",$B$559="Outorga",OR($B$561="rs",$B$561="pct_vgv")),AND($B$558="obra",$B$559="Decoração",OR($B$561="rs",$B$561="rs_m2_priv")),AND($B$558="obra",$B$559="Gestão da obra",OR($B$561="rs",$B$561="pct_obra")),AND($B$558="obra",$B$559="Contingência",OR($B$561="rs",$B$561="pct_vgv")),AND($B$558="obra",$B$559="Outro",OR($B$561="rs",$B$561="pct_vgv")),AND($B$558="diretos",$B$559="Marketing &amp; Publicidade",OR($B$561="rs",$B$561="pct_vgv",$B$561="pct_recebido")),AND($B$558="diretos",$B$559="Corretagem de vendas",OR($B$561="pct_vgv")),AND($B$558="diretos",$B$559="Projetos",OR($B$561="rs",$B$561="rs_m2_priv",$B$561="pct_constr")),AND($B$558="diretos",$B$559="Licenças e Aprovações",OR($B$561="rs",$B$561="rs_m2_priv")),AND($B$558="diretos",$B$559="Manutenção pós-obra",OR($B$561="rs",$B$561="pct_vgv",$B$561="pct_recebido")),AND($B$558="diretos",$B$559="Outro",OR($B$561="rs",$B$561="pct_vgv",$B$561="pct_recebido")),AND($B$558="indireto",$B$559="Marketing global",OR($B$561="rs",$B$561="pct_vgv",$B$561="pct_recebido")),AND($B$558="indireto",$B$559="Stand de vendas",OR($B$561="rs",$B$561="pct_vgv")),AND($B$558="indireto",$B$559="Gestão",OR($B$561="rs",$B$561="pct_vgv",$B$561="pct_recebido")),AND($B$558="indireto",$B$559="Outro",OR($B$561="rs",$B$561="pct_vgv",$B$561="pct_recebido")),AND($B$558="financeiro",$B$559="Juros de financiamento",OR($B$561="rs",$B$561="pct_vgv")),AND($B$558="financeiro",$B$559="Taxas bancárias",OR($B$561="rs",$B$561="pct_vgv")),AND($B$558="financeiro",$B$559="Estruturação de dívida",OR($B$561="rs",$B$561="pct_vgv")),AND($B$558="financeiro",$B$559="Investidores",OR($B$561="rs",$B$561="pct_vgv")),AND($B$558="financeiro",$B$559="Outro",OR($B$561="rs",$B$561="pct_vgv")))),"⚠ unidade não aceita nesta categoria",IF(AND($B$562&lt;&gt;"",$B$563&lt;&gt;""),"⚠ preencha só uma linha de valor",IF(IF(LEFT($B$561,3)="pct",$B$563="",$B$562=""),"⚠ falta o valor na linha certa","OK")))))</f>
        <v/>
      </c>
      <c r="C896" s="21" t="inlineStr">
        <is>
          <t>alerta</t>
        </is>
      </c>
      <c r="D896" s="22" t="inlineStr">
        <is>
          <t>calculado</t>
        </is>
      </c>
    </row>
    <row r="897">
      <c r="A897" s="19" t="inlineStr">
        <is>
          <t>Custo 23 — conferência</t>
        </is>
      </c>
      <c r="B897" s="24">
        <f>IF(AND($B$569="",$B$570=""),"",IF(OR($B$569="",$B$570="",$B$572=""),"⚠ falta grupo, categoria ou unidade",IF(NOT(OR(AND($B$569="terreno",$B$570="Preço",OR($B$572="rs",$B$572="rs_m2_terreno")),AND($B$569="terreno",$B$570="Registro",OR($B$572="rs",$B$572="rs_m2_priv")),AND($B$569="terreno",$B$570="Outro",OR($B$572="rs",$B$572="pct_vgv")),AND($B$569="obra",$B$570="Construção",OR($B$572="rs",$B$572="rs_m2_priv")),AND($B$569="obra",$B$570="Outorga",OR($B$572="rs",$B$572="pct_vgv")),AND($B$569="obra",$B$570="Decoração",OR($B$572="rs",$B$572="rs_m2_priv")),AND($B$569="obra",$B$570="Gestão da obra",OR($B$572="rs",$B$572="pct_obra")),AND($B$569="obra",$B$570="Contingência",OR($B$572="rs",$B$572="pct_vgv")),AND($B$569="obra",$B$570="Outro",OR($B$572="rs",$B$572="pct_vgv")),AND($B$569="diretos",$B$570="Marketing &amp; Publicidade",OR($B$572="rs",$B$572="pct_vgv",$B$572="pct_recebido")),AND($B$569="diretos",$B$570="Corretagem de vendas",OR($B$572="pct_vgv")),AND($B$569="diretos",$B$570="Projetos",OR($B$572="rs",$B$572="rs_m2_priv",$B$572="pct_constr")),AND($B$569="diretos",$B$570="Licenças e Aprovações",OR($B$572="rs",$B$572="rs_m2_priv")),AND($B$569="diretos",$B$570="Manutenção pós-obra",OR($B$572="rs",$B$572="pct_vgv",$B$572="pct_recebido")),AND($B$569="diretos",$B$570="Outro",OR($B$572="rs",$B$572="pct_vgv",$B$572="pct_recebido")),AND($B$569="indireto",$B$570="Marketing global",OR($B$572="rs",$B$572="pct_vgv",$B$572="pct_recebido")),AND($B$569="indireto",$B$570="Stand de vendas",OR($B$572="rs",$B$572="pct_vgv")),AND($B$569="indireto",$B$570="Gestão",OR($B$572="rs",$B$572="pct_vgv",$B$572="pct_recebido")),AND($B$569="indireto",$B$570="Outro",OR($B$572="rs",$B$572="pct_vgv",$B$572="pct_recebido")),AND($B$569="financeiro",$B$570="Juros de financiamento",OR($B$572="rs",$B$572="pct_vgv")),AND($B$569="financeiro",$B$570="Taxas bancárias",OR($B$572="rs",$B$572="pct_vgv")),AND($B$569="financeiro",$B$570="Estruturação de dívida",OR($B$572="rs",$B$572="pct_vgv")),AND($B$569="financeiro",$B$570="Investidores",OR($B$572="rs",$B$572="pct_vgv")),AND($B$569="financeiro",$B$570="Outro",OR($B$572="rs",$B$572="pct_vgv")))),"⚠ unidade não aceita nesta categoria",IF(AND($B$573&lt;&gt;"",$B$574&lt;&gt;""),"⚠ preencha só uma linha de valor",IF(IF(LEFT($B$572,3)="pct",$B$574="",$B$573=""),"⚠ falta o valor na linha certa","OK")))))</f>
        <v/>
      </c>
      <c r="C897" s="21" t="inlineStr">
        <is>
          <t>alerta</t>
        </is>
      </c>
      <c r="D897" s="22" t="inlineStr">
        <is>
          <t>calculado</t>
        </is>
      </c>
    </row>
    <row r="898">
      <c r="A898" s="19" t="inlineStr">
        <is>
          <t>Custo 24 — conferência</t>
        </is>
      </c>
      <c r="B898" s="24">
        <f>IF(AND($B$580="",$B$581=""),"",IF(OR($B$580="",$B$581="",$B$583=""),"⚠ falta grupo, categoria ou unidade",IF(NOT(OR(AND($B$580="terreno",$B$581="Preço",OR($B$583="rs",$B$583="rs_m2_terreno")),AND($B$580="terreno",$B$581="Registro",OR($B$583="rs",$B$583="rs_m2_priv")),AND($B$580="terreno",$B$581="Outro",OR($B$583="rs",$B$583="pct_vgv")),AND($B$580="obra",$B$581="Construção",OR($B$583="rs",$B$583="rs_m2_priv")),AND($B$580="obra",$B$581="Outorga",OR($B$583="rs",$B$583="pct_vgv")),AND($B$580="obra",$B$581="Decoração",OR($B$583="rs",$B$583="rs_m2_priv")),AND($B$580="obra",$B$581="Gestão da obra",OR($B$583="rs",$B$583="pct_obra")),AND($B$580="obra",$B$581="Contingência",OR($B$583="rs",$B$583="pct_vgv")),AND($B$580="obra",$B$581="Outro",OR($B$583="rs",$B$583="pct_vgv")),AND($B$580="diretos",$B$581="Marketing &amp; Publicidade",OR($B$583="rs",$B$583="pct_vgv",$B$583="pct_recebido")),AND($B$580="diretos",$B$581="Corretagem de vendas",OR($B$583="pct_vgv")),AND($B$580="diretos",$B$581="Projetos",OR($B$583="rs",$B$583="rs_m2_priv",$B$583="pct_constr")),AND($B$580="diretos",$B$581="Licenças e Aprovações",OR($B$583="rs",$B$583="rs_m2_priv")),AND($B$580="diretos",$B$581="Manutenção pós-obra",OR($B$583="rs",$B$583="pct_vgv",$B$583="pct_recebido")),AND($B$580="diretos",$B$581="Outro",OR($B$583="rs",$B$583="pct_vgv",$B$583="pct_recebido")),AND($B$580="indireto",$B$581="Marketing global",OR($B$583="rs",$B$583="pct_vgv",$B$583="pct_recebido")),AND($B$580="indireto",$B$581="Stand de vendas",OR($B$583="rs",$B$583="pct_vgv")),AND($B$580="indireto",$B$581="Gestão",OR($B$583="rs",$B$583="pct_vgv",$B$583="pct_recebido")),AND($B$580="indireto",$B$581="Outro",OR($B$583="rs",$B$583="pct_vgv",$B$583="pct_recebido")),AND($B$580="financeiro",$B$581="Juros de financiamento",OR($B$583="rs",$B$583="pct_vgv")),AND($B$580="financeiro",$B$581="Taxas bancárias",OR($B$583="rs",$B$583="pct_vgv")),AND($B$580="financeiro",$B$581="Estruturação de dívida",OR($B$583="rs",$B$583="pct_vgv")),AND($B$580="financeiro",$B$581="Investidores",OR($B$583="rs",$B$583="pct_vgv")),AND($B$580="financeiro",$B$581="Outro",OR($B$583="rs",$B$583="pct_vgv")))),"⚠ unidade não aceita nesta categoria",IF(AND($B$584&lt;&gt;"",$B$585&lt;&gt;""),"⚠ preencha só uma linha de valor",IF(IF(LEFT($B$583,3)="pct",$B$585="",$B$584=""),"⚠ falta o valor na linha certa","OK")))))</f>
        <v/>
      </c>
      <c r="C898" s="21" t="inlineStr">
        <is>
          <t>alerta</t>
        </is>
      </c>
      <c r="D898" s="22" t="inlineStr">
        <is>
          <t>calculado</t>
        </is>
      </c>
    </row>
    <row r="899">
      <c r="A899" s="19" t="inlineStr">
        <is>
          <t>Custo 25 — conferência</t>
        </is>
      </c>
      <c r="B899" s="24">
        <f>IF(AND($B$591="",$B$592=""),"",IF(OR($B$591="",$B$592="",$B$594=""),"⚠ falta grupo, categoria ou unidade",IF(NOT(OR(AND($B$591="terreno",$B$592="Preço",OR($B$594="rs",$B$594="rs_m2_terreno")),AND($B$591="terreno",$B$592="Registro",OR($B$594="rs",$B$594="rs_m2_priv")),AND($B$591="terreno",$B$592="Outro",OR($B$594="rs",$B$594="pct_vgv")),AND($B$591="obra",$B$592="Construção",OR($B$594="rs",$B$594="rs_m2_priv")),AND($B$591="obra",$B$592="Outorga",OR($B$594="rs",$B$594="pct_vgv")),AND($B$591="obra",$B$592="Decoração",OR($B$594="rs",$B$594="rs_m2_priv")),AND($B$591="obra",$B$592="Gestão da obra",OR($B$594="rs",$B$594="pct_obra")),AND($B$591="obra",$B$592="Contingência",OR($B$594="rs",$B$594="pct_vgv")),AND($B$591="obra",$B$592="Outro",OR($B$594="rs",$B$594="pct_vgv")),AND($B$591="diretos",$B$592="Marketing &amp; Publicidade",OR($B$594="rs",$B$594="pct_vgv",$B$594="pct_recebido")),AND($B$591="diretos",$B$592="Corretagem de vendas",OR($B$594="pct_vgv")),AND($B$591="diretos",$B$592="Projetos",OR($B$594="rs",$B$594="rs_m2_priv",$B$594="pct_constr")),AND($B$591="diretos",$B$592="Licenças e Aprovações",OR($B$594="rs",$B$594="rs_m2_priv")),AND($B$591="diretos",$B$592="Manutenção pós-obra",OR($B$594="rs",$B$594="pct_vgv",$B$594="pct_recebido")),AND($B$591="diretos",$B$592="Outro",OR($B$594="rs",$B$594="pct_vgv",$B$594="pct_recebido")),AND($B$591="indireto",$B$592="Marketing global",OR($B$594="rs",$B$594="pct_vgv",$B$594="pct_recebido")),AND($B$591="indireto",$B$592="Stand de vendas",OR($B$594="rs",$B$594="pct_vgv")),AND($B$591="indireto",$B$592="Gestão",OR($B$594="rs",$B$594="pct_vgv",$B$594="pct_recebido")),AND($B$591="indireto",$B$592="Outro",OR($B$594="rs",$B$594="pct_vgv",$B$594="pct_recebido")),AND($B$591="financeiro",$B$592="Juros de financiamento",OR($B$594="rs",$B$594="pct_vgv")),AND($B$591="financeiro",$B$592="Taxas bancárias",OR($B$594="rs",$B$594="pct_vgv")),AND($B$591="financeiro",$B$592="Estruturação de dívida",OR($B$594="rs",$B$594="pct_vgv")),AND($B$591="financeiro",$B$592="Investidores",OR($B$594="rs",$B$594="pct_vgv")),AND($B$591="financeiro",$B$592="Outro",OR($B$594="rs",$B$594="pct_vgv")))),"⚠ unidade não aceita nesta categoria",IF(AND($B$595&lt;&gt;"",$B$596&lt;&gt;""),"⚠ preencha só uma linha de valor",IF(IF(LEFT($B$594,3)="pct",$B$596="",$B$595=""),"⚠ falta o valor na linha certa","OK")))))</f>
        <v/>
      </c>
      <c r="C899" s="21" t="inlineStr">
        <is>
          <t>alerta</t>
        </is>
      </c>
      <c r="D899" s="22" t="inlineStr">
        <is>
          <t>calculado</t>
        </is>
      </c>
    </row>
    <row r="900">
      <c r="A900" s="19" t="inlineStr">
        <is>
          <t>Custo 26 — conferência</t>
        </is>
      </c>
      <c r="B900" s="24">
        <f>IF(AND($B$602="",$B$603=""),"",IF(OR($B$602="",$B$603="",$B$605=""),"⚠ falta grupo, categoria ou unidade",IF(NOT(OR(AND($B$602="terreno",$B$603="Preço",OR($B$605="rs",$B$605="rs_m2_terreno")),AND($B$602="terreno",$B$603="Registro",OR($B$605="rs",$B$605="rs_m2_priv")),AND($B$602="terreno",$B$603="Outro",OR($B$605="rs",$B$605="pct_vgv")),AND($B$602="obra",$B$603="Construção",OR($B$605="rs",$B$605="rs_m2_priv")),AND($B$602="obra",$B$603="Outorga",OR($B$605="rs",$B$605="pct_vgv")),AND($B$602="obra",$B$603="Decoração",OR($B$605="rs",$B$605="rs_m2_priv")),AND($B$602="obra",$B$603="Gestão da obra",OR($B$605="rs",$B$605="pct_obra")),AND($B$602="obra",$B$603="Contingência",OR($B$605="rs",$B$605="pct_vgv")),AND($B$602="obra",$B$603="Outro",OR($B$605="rs",$B$605="pct_vgv")),AND($B$602="diretos",$B$603="Marketing &amp; Publicidade",OR($B$605="rs",$B$605="pct_vgv",$B$605="pct_recebido")),AND($B$602="diretos",$B$603="Corretagem de vendas",OR($B$605="pct_vgv")),AND($B$602="diretos",$B$603="Projetos",OR($B$605="rs",$B$605="rs_m2_priv",$B$605="pct_constr")),AND($B$602="diretos",$B$603="Licenças e Aprovações",OR($B$605="rs",$B$605="rs_m2_priv")),AND($B$602="diretos",$B$603="Manutenção pós-obra",OR($B$605="rs",$B$605="pct_vgv",$B$605="pct_recebido")),AND($B$602="diretos",$B$603="Outro",OR($B$605="rs",$B$605="pct_vgv",$B$605="pct_recebido")),AND($B$602="indireto",$B$603="Marketing global",OR($B$605="rs",$B$605="pct_vgv",$B$605="pct_recebido")),AND($B$602="indireto",$B$603="Stand de vendas",OR($B$605="rs",$B$605="pct_vgv")),AND($B$602="indireto",$B$603="Gestão",OR($B$605="rs",$B$605="pct_vgv",$B$605="pct_recebido")),AND($B$602="indireto",$B$603="Outro",OR($B$605="rs",$B$605="pct_vgv",$B$605="pct_recebido")),AND($B$602="financeiro",$B$603="Juros de financiamento",OR($B$605="rs",$B$605="pct_vgv")),AND($B$602="financeiro",$B$603="Taxas bancárias",OR($B$605="rs",$B$605="pct_vgv")),AND($B$602="financeiro",$B$603="Estruturação de dívida",OR($B$605="rs",$B$605="pct_vgv")),AND($B$602="financeiro",$B$603="Investidores",OR($B$605="rs",$B$605="pct_vgv")),AND($B$602="financeiro",$B$603="Outro",OR($B$605="rs",$B$605="pct_vgv")))),"⚠ unidade não aceita nesta categoria",IF(AND($B$606&lt;&gt;"",$B$607&lt;&gt;""),"⚠ preencha só uma linha de valor",IF(IF(LEFT($B$605,3)="pct",$B$607="",$B$606=""),"⚠ falta o valor na linha certa","OK")))))</f>
        <v/>
      </c>
      <c r="C900" s="21" t="inlineStr">
        <is>
          <t>alerta</t>
        </is>
      </c>
      <c r="D900" s="22" t="inlineStr">
        <is>
          <t>calculado</t>
        </is>
      </c>
    </row>
    <row r="901">
      <c r="A901" s="19" t="inlineStr">
        <is>
          <t>Custo 27 — conferência</t>
        </is>
      </c>
      <c r="B901" s="24">
        <f>IF(AND($B$613="",$B$614=""),"",IF(OR($B$613="",$B$614="",$B$616=""),"⚠ falta grupo, categoria ou unidade",IF(NOT(OR(AND($B$613="terreno",$B$614="Preço",OR($B$616="rs",$B$616="rs_m2_terreno")),AND($B$613="terreno",$B$614="Registro",OR($B$616="rs",$B$616="rs_m2_priv")),AND($B$613="terreno",$B$614="Outro",OR($B$616="rs",$B$616="pct_vgv")),AND($B$613="obra",$B$614="Construção",OR($B$616="rs",$B$616="rs_m2_priv")),AND($B$613="obra",$B$614="Outorga",OR($B$616="rs",$B$616="pct_vgv")),AND($B$613="obra",$B$614="Decoração",OR($B$616="rs",$B$616="rs_m2_priv")),AND($B$613="obra",$B$614="Gestão da obra",OR($B$616="rs",$B$616="pct_obra")),AND($B$613="obra",$B$614="Contingência",OR($B$616="rs",$B$616="pct_vgv")),AND($B$613="obra",$B$614="Outro",OR($B$616="rs",$B$616="pct_vgv")),AND($B$613="diretos",$B$614="Marketing &amp; Publicidade",OR($B$616="rs",$B$616="pct_vgv",$B$616="pct_recebido")),AND($B$613="diretos",$B$614="Corretagem de vendas",OR($B$616="pct_vgv")),AND($B$613="diretos",$B$614="Projetos",OR($B$616="rs",$B$616="rs_m2_priv",$B$616="pct_constr")),AND($B$613="diretos",$B$614="Licenças e Aprovações",OR($B$616="rs",$B$616="rs_m2_priv")),AND($B$613="diretos",$B$614="Manutenção pós-obra",OR($B$616="rs",$B$616="pct_vgv",$B$616="pct_recebido")),AND($B$613="diretos",$B$614="Outro",OR($B$616="rs",$B$616="pct_vgv",$B$616="pct_recebido")),AND($B$613="indireto",$B$614="Marketing global",OR($B$616="rs",$B$616="pct_vgv",$B$616="pct_recebido")),AND($B$613="indireto",$B$614="Stand de vendas",OR($B$616="rs",$B$616="pct_vgv")),AND($B$613="indireto",$B$614="Gestão",OR($B$616="rs",$B$616="pct_vgv",$B$616="pct_recebido")),AND($B$613="indireto",$B$614="Outro",OR($B$616="rs",$B$616="pct_vgv",$B$616="pct_recebido")),AND($B$613="financeiro",$B$614="Juros de financiamento",OR($B$616="rs",$B$616="pct_vgv")),AND($B$613="financeiro",$B$614="Taxas bancárias",OR($B$616="rs",$B$616="pct_vgv")),AND($B$613="financeiro",$B$614="Estruturação de dívida",OR($B$616="rs",$B$616="pct_vgv")),AND($B$613="financeiro",$B$614="Investidores",OR($B$616="rs",$B$616="pct_vgv")),AND($B$613="financeiro",$B$614="Outro",OR($B$616="rs",$B$616="pct_vgv")))),"⚠ unidade não aceita nesta categoria",IF(AND($B$617&lt;&gt;"",$B$618&lt;&gt;""),"⚠ preencha só uma linha de valor",IF(IF(LEFT($B$616,3)="pct",$B$618="",$B$617=""),"⚠ falta o valor na linha certa","OK")))))</f>
        <v/>
      </c>
      <c r="C901" s="21" t="inlineStr">
        <is>
          <t>alerta</t>
        </is>
      </c>
      <c r="D901" s="22" t="inlineStr">
        <is>
          <t>calculado</t>
        </is>
      </c>
    </row>
    <row r="902">
      <c r="A902" s="19" t="inlineStr">
        <is>
          <t>Custo 28 — conferência</t>
        </is>
      </c>
      <c r="B902" s="24">
        <f>IF(AND($B$624="",$B$625=""),"",IF(OR($B$624="",$B$625="",$B$627=""),"⚠ falta grupo, categoria ou unidade",IF(NOT(OR(AND($B$624="terreno",$B$625="Preço",OR($B$627="rs",$B$627="rs_m2_terreno")),AND($B$624="terreno",$B$625="Registro",OR($B$627="rs",$B$627="rs_m2_priv")),AND($B$624="terreno",$B$625="Outro",OR($B$627="rs",$B$627="pct_vgv")),AND($B$624="obra",$B$625="Construção",OR($B$627="rs",$B$627="rs_m2_priv")),AND($B$624="obra",$B$625="Outorga",OR($B$627="rs",$B$627="pct_vgv")),AND($B$624="obra",$B$625="Decoração",OR($B$627="rs",$B$627="rs_m2_priv")),AND($B$624="obra",$B$625="Gestão da obra",OR($B$627="rs",$B$627="pct_obra")),AND($B$624="obra",$B$625="Contingência",OR($B$627="rs",$B$627="pct_vgv")),AND($B$624="obra",$B$625="Outro",OR($B$627="rs",$B$627="pct_vgv")),AND($B$624="diretos",$B$625="Marketing &amp; Publicidade",OR($B$627="rs",$B$627="pct_vgv",$B$627="pct_recebido")),AND($B$624="diretos",$B$625="Corretagem de vendas",OR($B$627="pct_vgv")),AND($B$624="diretos",$B$625="Projetos",OR($B$627="rs",$B$627="rs_m2_priv",$B$627="pct_constr")),AND($B$624="diretos",$B$625="Licenças e Aprovações",OR($B$627="rs",$B$627="rs_m2_priv")),AND($B$624="diretos",$B$625="Manutenção pós-obra",OR($B$627="rs",$B$627="pct_vgv",$B$627="pct_recebido")),AND($B$624="diretos",$B$625="Outro",OR($B$627="rs",$B$627="pct_vgv",$B$627="pct_recebido")),AND($B$624="indireto",$B$625="Marketing global",OR($B$627="rs",$B$627="pct_vgv",$B$627="pct_recebido")),AND($B$624="indireto",$B$625="Stand de vendas",OR($B$627="rs",$B$627="pct_vgv")),AND($B$624="indireto",$B$625="Gestão",OR($B$627="rs",$B$627="pct_vgv",$B$627="pct_recebido")),AND($B$624="indireto",$B$625="Outro",OR($B$627="rs",$B$627="pct_vgv",$B$627="pct_recebido")),AND($B$624="financeiro",$B$625="Juros de financiamento",OR($B$627="rs",$B$627="pct_vgv")),AND($B$624="financeiro",$B$625="Taxas bancárias",OR($B$627="rs",$B$627="pct_vgv")),AND($B$624="financeiro",$B$625="Estruturação de dívida",OR($B$627="rs",$B$627="pct_vgv")),AND($B$624="financeiro",$B$625="Investidores",OR($B$627="rs",$B$627="pct_vgv")),AND($B$624="financeiro",$B$625="Outro",OR($B$627="rs",$B$627="pct_vgv")))),"⚠ unidade não aceita nesta categoria",IF(AND($B$628&lt;&gt;"",$B$629&lt;&gt;""),"⚠ preencha só uma linha de valor",IF(IF(LEFT($B$627,3)="pct",$B$629="",$B$628=""),"⚠ falta o valor na linha certa","OK")))))</f>
        <v/>
      </c>
      <c r="C902" s="21" t="inlineStr">
        <is>
          <t>alerta</t>
        </is>
      </c>
      <c r="D902" s="22" t="inlineStr">
        <is>
          <t>calculado</t>
        </is>
      </c>
    </row>
    <row r="903">
      <c r="A903" s="19" t="inlineStr">
        <is>
          <t>Cada 1% do VGV de tabela equivale a (para converter Projetos, que não aceita % do VGV)</t>
        </is>
      </c>
      <c r="B903" s="25">
        <f>$B$788*0.01</f>
        <v/>
      </c>
      <c r="C903" s="21" t="inlineStr">
        <is>
          <t>R$</t>
        </is>
      </c>
      <c r="D903" s="22" t="inlineStr">
        <is>
          <t>calculado</t>
        </is>
      </c>
    </row>
    <row r="904">
      <c r="A904" s="19" t="inlineStr">
        <is>
          <t>Σ custos conversíveis — terreno</t>
        </is>
      </c>
      <c r="B904" s="25">
        <f>IF($B$327="terreno",N($B$847),0)+IF($B$338="terreno",N($B$848),0)+IF($B$349="terreno",N($B$849),0)+IF($B$360="terreno",N($B$850),0)+IF($B$371="terreno",N($B$851),0)+IF($B$382="terreno",N($B$852),0)+IF($B$393="terreno",N($B$853),0)+IF($B$404="terreno",N($B$854),0)+IF($B$415="terreno",N($B$855),0)+IF($B$426="terreno",N($B$856),0)+IF($B$437="terreno",N($B$857),0)+IF($B$448="terreno",N($B$858),0)+IF($B$459="terreno",N($B$859),0)+IF($B$470="terreno",N($B$860),0)+IF($B$481="terreno",N($B$861),0)+IF($B$492="terreno",N($B$862),0)+IF($B$503="terreno",N($B$863),0)+IF($B$514="terreno",N($B$864),0)+IF($B$525="terreno",N($B$865),0)+IF($B$536="terreno",N($B$866),0)+IF($B$547="terreno",N($B$867),0)+IF($B$558="terreno",N($B$868),0)+IF($B$569="terreno",N($B$869),0)+IF($B$580="terreno",N($B$870),0)+IF($B$591="terreno",N($B$871),0)+IF($B$602="terreno",N($B$872),0)+IF($B$613="terreno",N($B$873),0)+IF($B$624="terreno",N($B$874),0)</f>
        <v/>
      </c>
      <c r="C904" s="21" t="inlineStr">
        <is>
          <t>R$</t>
        </is>
      </c>
      <c r="D904" s="22" t="inlineStr">
        <is>
          <t>calculado</t>
        </is>
      </c>
    </row>
    <row r="905">
      <c r="A905" s="19" t="inlineStr">
        <is>
          <t>Σ custos conversíveis — obra</t>
        </is>
      </c>
      <c r="B905" s="25">
        <f>IF($B$327="obra",N($B$847),0)+IF($B$338="obra",N($B$848),0)+IF($B$349="obra",N($B$849),0)+IF($B$360="obra",N($B$850),0)+IF($B$371="obra",N($B$851),0)+IF($B$382="obra",N($B$852),0)+IF($B$393="obra",N($B$853),0)+IF($B$404="obra",N($B$854),0)+IF($B$415="obra",N($B$855),0)+IF($B$426="obra",N($B$856),0)+IF($B$437="obra",N($B$857),0)+IF($B$448="obra",N($B$858),0)+IF($B$459="obra",N($B$859),0)+IF($B$470="obra",N($B$860),0)+IF($B$481="obra",N($B$861),0)+IF($B$492="obra",N($B$862),0)+IF($B$503="obra",N($B$863),0)+IF($B$514="obra",N($B$864),0)+IF($B$525="obra",N($B$865),0)+IF($B$536="obra",N($B$866),0)+IF($B$547="obra",N($B$867),0)+IF($B$558="obra",N($B$868),0)+IF($B$569="obra",N($B$869),0)+IF($B$580="obra",N($B$870),0)+IF($B$591="obra",N($B$871),0)+IF($B$602="obra",N($B$872),0)+IF($B$613="obra",N($B$873),0)+IF($B$624="obra",N($B$874),0)</f>
        <v/>
      </c>
      <c r="C905" s="21" t="inlineStr">
        <is>
          <t>R$</t>
        </is>
      </c>
      <c r="D905" s="22" t="inlineStr">
        <is>
          <t>calculado</t>
        </is>
      </c>
    </row>
    <row r="906">
      <c r="A906" s="19" t="inlineStr">
        <is>
          <t>Σ custos conversíveis — diretos</t>
        </is>
      </c>
      <c r="B906" s="25">
        <f>IF($B$327="diretos",N($B$847),0)+IF($B$338="diretos",N($B$848),0)+IF($B$349="diretos",N($B$849),0)+IF($B$360="diretos",N($B$850),0)+IF($B$371="diretos",N($B$851),0)+IF($B$382="diretos",N($B$852),0)+IF($B$393="diretos",N($B$853),0)+IF($B$404="diretos",N($B$854),0)+IF($B$415="diretos",N($B$855),0)+IF($B$426="diretos",N($B$856),0)+IF($B$437="diretos",N($B$857),0)+IF($B$448="diretos",N($B$858),0)+IF($B$459="diretos",N($B$859),0)+IF($B$470="diretos",N($B$860),0)+IF($B$481="diretos",N($B$861),0)+IF($B$492="diretos",N($B$862),0)+IF($B$503="diretos",N($B$863),0)+IF($B$514="diretos",N($B$864),0)+IF($B$525="diretos",N($B$865),0)+IF($B$536="diretos",N($B$866),0)+IF($B$547="diretos",N($B$867),0)+IF($B$558="diretos",N($B$868),0)+IF($B$569="diretos",N($B$869),0)+IF($B$580="diretos",N($B$870),0)+IF($B$591="diretos",N($B$871),0)+IF($B$602="diretos",N($B$872),0)+IF($B$613="diretos",N($B$873),0)+IF($B$624="diretos",N($B$874),0)</f>
        <v/>
      </c>
      <c r="C906" s="21" t="inlineStr">
        <is>
          <t>R$</t>
        </is>
      </c>
      <c r="D906" s="22" t="inlineStr">
        <is>
          <t>calculado</t>
        </is>
      </c>
    </row>
    <row r="907">
      <c r="A907" s="19" t="inlineStr">
        <is>
          <t>Σ custos conversíveis — indireto</t>
        </is>
      </c>
      <c r="B907" s="25">
        <f>IF($B$327="indireto",N($B$847),0)+IF($B$338="indireto",N($B$848),0)+IF($B$349="indireto",N($B$849),0)+IF($B$360="indireto",N($B$850),0)+IF($B$371="indireto",N($B$851),0)+IF($B$382="indireto",N($B$852),0)+IF($B$393="indireto",N($B$853),0)+IF($B$404="indireto",N($B$854),0)+IF($B$415="indireto",N($B$855),0)+IF($B$426="indireto",N($B$856),0)+IF($B$437="indireto",N($B$857),0)+IF($B$448="indireto",N($B$858),0)+IF($B$459="indireto",N($B$859),0)+IF($B$470="indireto",N($B$860),0)+IF($B$481="indireto",N($B$861),0)+IF($B$492="indireto",N($B$862),0)+IF($B$503="indireto",N($B$863),0)+IF($B$514="indireto",N($B$864),0)+IF($B$525="indireto",N($B$865),0)+IF($B$536="indireto",N($B$866),0)+IF($B$547="indireto",N($B$867),0)+IF($B$558="indireto",N($B$868),0)+IF($B$569="indireto",N($B$869),0)+IF($B$580="indireto",N($B$870),0)+IF($B$591="indireto",N($B$871),0)+IF($B$602="indireto",N($B$872),0)+IF($B$613="indireto",N($B$873),0)+IF($B$624="indireto",N($B$874),0)</f>
        <v/>
      </c>
      <c r="C907" s="21" t="inlineStr">
        <is>
          <t>R$</t>
        </is>
      </c>
      <c r="D907" s="22" t="inlineStr">
        <is>
          <t>calculado</t>
        </is>
      </c>
    </row>
    <row r="908">
      <c r="A908" s="19" t="inlineStr">
        <is>
          <t>Σ custos conversíveis — financeiro</t>
        </is>
      </c>
      <c r="B908" s="25">
        <f>IF($B$327="financeiro",N($B$847),0)+IF($B$338="financeiro",N($B$848),0)+IF($B$349="financeiro",N($B$849),0)+IF($B$360="financeiro",N($B$850),0)+IF($B$371="financeiro",N($B$851),0)+IF($B$382="financeiro",N($B$852),0)+IF($B$393="financeiro",N($B$853),0)+IF($B$404="financeiro",N($B$854),0)+IF($B$415="financeiro",N($B$855),0)+IF($B$426="financeiro",N($B$856),0)+IF($B$437="financeiro",N($B$857),0)+IF($B$448="financeiro",N($B$858),0)+IF($B$459="financeiro",N($B$859),0)+IF($B$470="financeiro",N($B$860),0)+IF($B$481="financeiro",N($B$861),0)+IF($B$492="financeiro",N($B$862),0)+IF($B$503="financeiro",N($B$863),0)+IF($B$514="financeiro",N($B$864),0)+IF($B$525="financeiro",N($B$865),0)+IF($B$536="financeiro",N($B$866),0)+IF($B$547="financeiro",N($B$867),0)+IF($B$558="financeiro",N($B$868),0)+IF($B$569="financeiro",N($B$869),0)+IF($B$580="financeiro",N($B$870),0)+IF($B$591="financeiro",N($B$871),0)+IF($B$602="financeiro",N($B$872),0)+IF($B$613="financeiro",N($B$873),0)+IF($B$624="financeiro",N($B$874),0)</f>
        <v/>
      </c>
      <c r="C908" s="21" t="inlineStr">
        <is>
          <t>R$</t>
        </is>
      </c>
      <c r="D908" s="22" t="inlineStr">
        <is>
          <t>calculado</t>
        </is>
      </c>
    </row>
    <row r="909">
      <c r="A909" s="19" t="inlineStr">
        <is>
          <t>Permuta física 1 — VGV entregue (unidades × área × preço sugerido)</t>
        </is>
      </c>
      <c r="B909" s="25">
        <f>IF($B$635="",0,N($B$636)*(($B$59=$B$635)*(N($B$61)+N($B$62))*N($B$66)+($B$68=$B$635)*(N($B$70)+N($B$71))*N($B$75)+($B$77=$B$635)*(N($B$79)+N($B$80))*N($B$84)+($B$86=$B$635)*(N($B$88)+N($B$89))*N($B$93)+($B$95=$B$635)*(N($B$97)+N($B$98))*N($B$102)+($B$104=$B$635)*(N($B$106)+N($B$107))*N($B$111)+($B$113=$B$635)*(N($B$115)+N($B$116))*N($B$120)+($B$122=$B$635)*(N($B$124)+N($B$125))*N($B$129)+($B$131=$B$635)*(N($B$133)+N($B$134))*N($B$138)+($B$140=$B$635)*(N($B$142)+N($B$143))*N($B$147)))</f>
        <v/>
      </c>
      <c r="C909" s="21" t="inlineStr">
        <is>
          <t>R$</t>
        </is>
      </c>
      <c r="D909" s="22" t="inlineStr">
        <is>
          <t>calculado</t>
        </is>
      </c>
    </row>
    <row r="910">
      <c r="A910" s="19" t="inlineStr">
        <is>
          <t>Permuta financeira 1 — equivalente em R$</t>
        </is>
      </c>
      <c r="B910" s="25">
        <f>IF($B$640="pct_vgv",N($B$642)*$B$788,IF($B$640="rs",N($B$641),0))</f>
        <v/>
      </c>
      <c r="C910" s="21" t="inlineStr">
        <is>
          <t>R$</t>
        </is>
      </c>
      <c r="D910" s="22" t="inlineStr">
        <is>
          <t>calculado</t>
        </is>
      </c>
    </row>
    <row r="911">
      <c r="A911" s="19" t="inlineStr">
        <is>
          <t>Permuta física 2 — VGV entregue (unidades × área × preço sugerido)</t>
        </is>
      </c>
      <c r="B911" s="25">
        <f>IF($B$637="",0,N($B$638)*(($B$59=$B$637)*(N($B$61)+N($B$62))*N($B$66)+($B$68=$B$637)*(N($B$70)+N($B$71))*N($B$75)+($B$77=$B$637)*(N($B$79)+N($B$80))*N($B$84)+($B$86=$B$637)*(N($B$88)+N($B$89))*N($B$93)+($B$95=$B$637)*(N($B$97)+N($B$98))*N($B$102)+($B$104=$B$637)*(N($B$106)+N($B$107))*N($B$111)+($B$113=$B$637)*(N($B$115)+N($B$116))*N($B$120)+($B$122=$B$637)*(N($B$124)+N($B$125))*N($B$129)+($B$131=$B$637)*(N($B$133)+N($B$134))*N($B$138)+($B$140=$B$637)*(N($B$142)+N($B$143))*N($B$147)))</f>
        <v/>
      </c>
      <c r="C911" s="21" t="inlineStr">
        <is>
          <t>R$</t>
        </is>
      </c>
      <c r="D911" s="22" t="inlineStr">
        <is>
          <t>calculado</t>
        </is>
      </c>
    </row>
    <row r="912">
      <c r="A912" s="19" t="inlineStr">
        <is>
          <t>Permuta financeira 2 — equivalente em R$</t>
        </is>
      </c>
      <c r="B912" s="25">
        <f>IF($B$645="pct_vgv",N($B$647)*$B$788,IF($B$645="rs",N($B$646),0))</f>
        <v/>
      </c>
      <c r="C912" s="21" t="inlineStr">
        <is>
          <t>R$</t>
        </is>
      </c>
      <c r="D912" s="22" t="inlineStr">
        <is>
          <t>calculado</t>
        </is>
      </c>
    </row>
    <row r="913">
      <c r="A913" s="19" t="inlineStr">
        <is>
          <t>Σ valor das dívidas</t>
        </is>
      </c>
      <c r="B913" s="25">
        <f>N($B$662)+N($B$675)+N($B$688)</f>
        <v/>
      </c>
      <c r="C913" s="21" t="inlineStr">
        <is>
          <t>R$</t>
        </is>
      </c>
      <c r="D913" s="22" t="inlineStr">
        <is>
          <t>calculado</t>
        </is>
      </c>
    </row>
    <row r="914">
      <c r="A914" s="19" t="inlineStr">
        <is>
          <t>Σ valor dos equities</t>
        </is>
      </c>
      <c r="B914" s="25">
        <f>N($B$701)+N($B$708)+N($B$715)</f>
        <v/>
      </c>
      <c r="C914" s="21" t="inlineStr">
        <is>
          <t>R$</t>
        </is>
      </c>
      <c r="D914" s="22" t="inlineStr">
        <is>
          <t>calculado</t>
        </is>
      </c>
    </row>
    <row r="917">
      <c r="F917" t="inlineStr">
        <is>
          <t>Preço</t>
        </is>
      </c>
    </row>
    <row r="918">
      <c r="F918" t="inlineStr">
        <is>
          <t>Registro</t>
        </is>
      </c>
    </row>
    <row r="919">
      <c r="F919" t="inlineStr">
        <is>
          <t>Outro</t>
        </is>
      </c>
    </row>
    <row r="920">
      <c r="F920" t="inlineStr">
        <is>
          <t>Construção</t>
        </is>
      </c>
    </row>
    <row r="921">
      <c r="F921" t="inlineStr">
        <is>
          <t>Outorga</t>
        </is>
      </c>
    </row>
    <row r="922">
      <c r="F922" t="inlineStr">
        <is>
          <t>Decoração</t>
        </is>
      </c>
    </row>
    <row r="923">
      <c r="F923" t="inlineStr">
        <is>
          <t>Gestão da obra</t>
        </is>
      </c>
    </row>
    <row r="924">
      <c r="F924" t="inlineStr">
        <is>
          <t>Contingência</t>
        </is>
      </c>
    </row>
    <row r="925">
      <c r="F925" t="inlineStr">
        <is>
          <t>Marketing &amp; Publicidade</t>
        </is>
      </c>
    </row>
    <row r="926">
      <c r="F926" t="inlineStr">
        <is>
          <t>Corretagem de vendas</t>
        </is>
      </c>
    </row>
    <row r="927">
      <c r="F927" t="inlineStr">
        <is>
          <t>Projetos</t>
        </is>
      </c>
    </row>
    <row r="928">
      <c r="F928" t="inlineStr">
        <is>
          <t>Licenças e Aprovações</t>
        </is>
      </c>
    </row>
    <row r="929">
      <c r="F929" t="inlineStr">
        <is>
          <t>Manutenção pós-obra</t>
        </is>
      </c>
    </row>
    <row r="930">
      <c r="F930" t="inlineStr">
        <is>
          <t>Marketing global</t>
        </is>
      </c>
    </row>
    <row r="931">
      <c r="F931" t="inlineStr">
        <is>
          <t>Gestão</t>
        </is>
      </c>
    </row>
    <row r="932">
      <c r="F932" t="inlineStr">
        <is>
          <t>Stand de vendas</t>
        </is>
      </c>
    </row>
    <row r="933">
      <c r="F933" t="inlineStr">
        <is>
          <t>Juros de financiamento</t>
        </is>
      </c>
    </row>
    <row r="934">
      <c r="F934" t="inlineStr">
        <is>
          <t>Taxas bancárias</t>
        </is>
      </c>
    </row>
    <row r="935">
      <c r="F935" t="inlineStr">
        <is>
          <t>Estruturação de dívida</t>
        </is>
      </c>
    </row>
    <row r="936">
      <c r="F936" t="inlineStr">
        <is>
          <t>Investidores</t>
        </is>
      </c>
    </row>
    <row r="938">
      <c r="F938" t="inlineStr">
        <is>
          <t>planejamento</t>
        </is>
      </c>
    </row>
    <row r="939">
      <c r="F939" t="inlineStr">
        <is>
          <t>pre_lancamento</t>
        </is>
      </c>
    </row>
    <row r="940">
      <c r="F940" t="inlineStr">
        <is>
          <t>lancamento</t>
        </is>
      </c>
    </row>
    <row r="941">
      <c r="F941" t="inlineStr">
        <is>
          <t>obra</t>
        </is>
      </c>
    </row>
    <row r="942">
      <c r="F942" t="inlineStr">
        <is>
          <t>pos_obra</t>
        </is>
      </c>
    </row>
    <row r="943">
      <c r="F943" t="inlineStr">
        <is>
          <t>customizado</t>
        </is>
      </c>
    </row>
    <row r="945">
      <c r="F945" t="inlineStr">
        <is>
          <t>Linear</t>
        </is>
      </c>
    </row>
    <row r="946">
      <c r="F946" t="inlineStr">
        <is>
          <t>Curva S</t>
        </is>
      </c>
    </row>
    <row r="947">
      <c r="F947" t="inlineStr">
        <is>
          <t>unit_delivery</t>
        </is>
      </c>
    </row>
    <row r="948">
      <c r="F948" t="inlineStr">
        <is>
          <t>sales_revenue</t>
        </is>
      </c>
    </row>
  </sheetData>
  <sheetProtection selectLockedCells="0" selectUnlockedCells="0" sheet="1" objects="0" insertRows="1" insertHyperlinks="1" autoFilter="1" scenarios="0" formatColumns="0" deleteColumns="1" insertColumns="1" pivotTables="1" deleteRows="1" formatCells="1" formatRows="0" sort="1"/>
  <mergeCells count="99">
    <mergeCell ref="A150:D150"/>
    <mergeCell ref="A303:D303"/>
    <mergeCell ref="A601:D601"/>
    <mergeCell ref="A579:D579"/>
    <mergeCell ref="A513:D513"/>
    <mergeCell ref="A224:D224"/>
    <mergeCell ref="A20:D20"/>
    <mergeCell ref="A318:D318"/>
    <mergeCell ref="A200:D200"/>
    <mergeCell ref="A112:D112"/>
    <mergeCell ref="A323:D323"/>
    <mergeCell ref="A436:D436"/>
    <mergeCell ref="A121:D121"/>
    <mergeCell ref="A348:D348"/>
    <mergeCell ref="A288:D288"/>
    <mergeCell ref="A686:D686"/>
    <mergeCell ref="A673:D673"/>
    <mergeCell ref="A58:D58"/>
    <mergeCell ref="A736:D736"/>
    <mergeCell ref="A502:D502"/>
    <mergeCell ref="A283:D283"/>
    <mergeCell ref="A737:D737"/>
    <mergeCell ref="A752:D752"/>
    <mergeCell ref="A27:D27"/>
    <mergeCell ref="A149:D149"/>
    <mergeCell ref="A447:D447"/>
    <mergeCell ref="A425:D425"/>
    <mergeCell ref="A2:D2"/>
    <mergeCell ref="A85:D85"/>
    <mergeCell ref="A278:D278"/>
    <mergeCell ref="A738:D738"/>
    <mergeCell ref="A53:D53"/>
    <mergeCell ref="A240:D240"/>
    <mergeCell ref="A491:D491"/>
    <mergeCell ref="A190:D190"/>
    <mergeCell ref="A392:D392"/>
    <mergeCell ref="A232:D232"/>
    <mergeCell ref="A403:D403"/>
    <mergeCell ref="A590:D590"/>
    <mergeCell ref="A11:D11"/>
    <mergeCell ref="A182:D182"/>
    <mergeCell ref="A216:D216"/>
    <mergeCell ref="A191:D191"/>
    <mergeCell ref="A458:D458"/>
    <mergeCell ref="A623:D623"/>
    <mergeCell ref="A359:D359"/>
    <mergeCell ref="A208:D208"/>
    <mergeCell ref="A557:D557"/>
    <mergeCell ref="A192:D192"/>
    <mergeCell ref="A26:D26"/>
    <mergeCell ref="A139:D139"/>
    <mergeCell ref="A272:D272"/>
    <mergeCell ref="A381:D381"/>
    <mergeCell ref="A713:D713"/>
    <mergeCell ref="A313:D313"/>
    <mergeCell ref="A76:D76"/>
    <mergeCell ref="A414:D414"/>
    <mergeCell ref="A650:D650"/>
    <mergeCell ref="A324:D324"/>
    <mergeCell ref="A612:D612"/>
    <mergeCell ref="A765:D765"/>
    <mergeCell ref="A293:D293"/>
    <mergeCell ref="A308:D308"/>
    <mergeCell ref="A820:D820"/>
    <mergeCell ref="A480:D480"/>
    <mergeCell ref="A568:D568"/>
    <mergeCell ref="A166:D166"/>
    <mergeCell ref="A337:D337"/>
    <mergeCell ref="A546:D546"/>
    <mergeCell ref="A639:D639"/>
    <mergeCell ref="A1:D1"/>
    <mergeCell ref="A94:D94"/>
    <mergeCell ref="A103:D103"/>
    <mergeCell ref="A370:D370"/>
    <mergeCell ref="A846:D846"/>
    <mergeCell ref="A256:D256"/>
    <mergeCell ref="A634:D634"/>
    <mergeCell ref="A264:D264"/>
    <mergeCell ref="A326:D326"/>
    <mergeCell ref="A37:D37"/>
    <mergeCell ref="A273:D273"/>
    <mergeCell ref="A469:D469"/>
    <mergeCell ref="A720:D720"/>
    <mergeCell ref="A248:D248"/>
    <mergeCell ref="A57:D57"/>
    <mergeCell ref="A524:D524"/>
    <mergeCell ref="A298:D298"/>
    <mergeCell ref="A4:D4"/>
    <mergeCell ref="A660:D660"/>
    <mergeCell ref="A67:D67"/>
    <mergeCell ref="A130:D130"/>
    <mergeCell ref="A148:D148"/>
    <mergeCell ref="A325:D325"/>
    <mergeCell ref="A535:D535"/>
    <mergeCell ref="A706:D706"/>
    <mergeCell ref="A174:D174"/>
    <mergeCell ref="A699:D699"/>
    <mergeCell ref="A158:D158"/>
    <mergeCell ref="A651:D651"/>
  </mergeCells>
  <dataValidations count="24">
    <dataValidation sqref="B5 B14" showDropDown="0" showInputMessage="0" showErrorMessage="0" allowBlank="1" error="No máximo 200 caracteres." type="textLength" errorStyle="warning" operator="lessThanOrEqual">
      <formula1>200</formula1>
    </dataValidation>
    <dataValidation sqref="B8" showDropDown="0" showInputMessage="0" showErrorMessage="0" allowBlank="1" errorTitle="Valor inválido" error="Escolha um valor da lista." type="list">
      <formula1>"manual,nucleo"</formula1>
    </dataValidation>
    <dataValidation sqref="B9" showDropDown="0" showInputMessage="0" showErrorMessage="0" allowBlank="1" error="No máximo 2 caracteres." type="textLength" errorStyle="warning" operator="lessThanOrEqual">
      <formula1>2</formula1>
    </dataValidation>
    <dataValidation sqref="B12 B59 B68 B77 B86 B95 B104 B113 B122 B131 B140" showDropDown="0" showInputMessage="0" showErrorMessage="0" allowBlank="1" error="No máximo 100 caracteres." type="textLength" errorStyle="warning" operator="lessThanOrEqual">
      <formula1>100</formula1>
    </dataValidation>
    <dataValidation sqref="B15 B17 B18 B61 B62 B66 B70 B71 B75 B79 B80 B84 B88 B89 B93 B97 B98 B102 B106 B107 B111 B115 B116 B120 B124 B125 B129 B133 B134 B138 B142 B143 B147 B277 B282 B287 B292 B297 B302 B307 B312 B317 B322 B331 B342 B353 B364 B375 B386 B397 B408 B419 B430 B441 B452 B463 B474 B485 B496 B507 B518 B529 B540 B551 B562 B573 B584 B595 B606 B617 B628 B641 B646 B654 B662 B671 B672 B675 B684 B685 B688 B697 B698 B701 B708 B715" showDropDown="0" showInputMessage="0" showErrorMessage="0" allowBlank="1" errorTitle="Confira o valor" error="Valor fora da faixa esperada (0 a 1000000000000.0)." type="decimal" errorStyle="warning" operator="between">
      <formula1>0</formula1>
      <formula2>1000000000000.0</formula2>
    </dataValidation>
    <dataValidation sqref="B21" showDropDown="0" showInputMessage="0" showErrorMessage="0" allowBlank="1" errorTitle="Confira o valor" error="Valor fora da faixa esperada (0 a 9.9999)." type="decimal" errorStyle="warning" operator="between">
      <formula1>0</formula1>
      <formula2>9.9999</formula2>
    </dataValidation>
    <dataValidation sqref="B22 B25 B152 B153 B154 B160 B161 B162 B168 B169 B170 B176 B177 B178 B184 B185 B186 B195 B197 B198 B203 B205 B206 B211 B213 B214 B219 B221 B222 B227 B229 B230 B235 B237 B238 B243 B245 B246 B251 B253 B254 B259 B261 B262 B267 B269 B270 B642 B647 B655 B656 B657 B667 B670 B680 B683 B693 B696 B705 B712 B719" showDropDown="0" showInputMessage="0" showErrorMessage="0" allowBlank="1" errorTitle="Confira o valor" error="Valor fora da faixa esperada (0 a 1)." type="decimal" errorStyle="warning" operator="between">
      <formula1>0</formula1>
      <formula2>1</formula2>
    </dataValidation>
    <dataValidation sqref="B23 B24 B29 B156 B164 B172 B180 B188 B199 B207 B215 B223 B231 B239 B247 B255 B263 B271 B643 B644 B648 B649 B653 B658 B665 B678 B691" showDropDown="0" showInputMessage="0" showErrorMessage="0" allowBlank="1" errorTitle="Valor inválido" error="Escolha um valor da lista." type="list">
      <formula1>"Sim,Não"</formula1>
    </dataValidation>
    <dataValidation sqref="B30 B34 B39 B42 B45 B48 B51 B63 B64 B65 B72 B73 B74 B81 B82 B83 B90 B91 B92 B99 B100 B101 B108 B109 B110 B117 B118 B119 B126 B127 B128 B135 B136 B137 B144 B145 B146 B276 B281 B286 B291 B296 B301 B306 B311 B316 B321 B335 B346 B357 B368 B379 B390 B401 B412 B423 B434 B445 B456 B467 B478 B489 B500 B511 B522 B533 B544 B555 B566 B577 B588 B599 B610 B621 B632 B636 B638 B664 B668 B669 B677 B681 B682 B690 B694 B695 B703 B710 B717" showDropDown="0" showInputMessage="0" showErrorMessage="0" allowBlank="1" errorTitle="Confira o valor" error="Valor fora da faixa esperada (0 a 1000000000000.0)." type="whole" errorStyle="warning" operator="between">
      <formula1>0</formula1>
      <formula2>1000000000000.0</formula2>
    </dataValidation>
    <dataValidation sqref="B31 B32 B33 B35 B36 B40 B43 B46 B49 B52 B196 B204 B212 B220 B228 B236 B244 B252 B260 B268 B336 B347 B358 B369 B380 B391 B402 B413 B424 B435 B446 B457 B468 B479 B490 B501 B512 B523 B534 B545 B556 B567 B578 B589 B600 B611 B622 B633 B666 B679 B692" showDropDown="0" showInputMessage="0" showErrorMessage="0" allowBlank="1" errorTitle="Confira o valor" error="Valor fora da faixa esperada (1 a 1000000000000.0)." type="whole" errorStyle="warning" operator="between">
      <formula1>1</formula1>
      <formula2>1000000000000.0</formula2>
    </dataValidation>
    <dataValidation sqref="B55" showDropDown="0" showInputMessage="0" showErrorMessage="0" allowBlank="1" errorTitle="Valor inválido" error="Escolha um valor da lista." type="list">
      <formula1>"anuncios,populacao,mercado,outro"</formula1>
    </dataValidation>
    <dataValidation sqref="B60 B69 B78 B87 B96 B105 B114 B123 B132 B141" showDropDown="0" showInputMessage="0" showErrorMessage="0" allowBlank="1" errorTitle="Valor inválido" error="Escolha um valor da lista." type="list">
      <formula1>"apartamento,cobertura,loja,outro"</formula1>
    </dataValidation>
    <dataValidation sqref="B155 B163 B171 B179 B187" showDropDown="0" showInputMessage="0" showErrorMessage="0" allowBlank="1" errorTitle="Confira o valor" error="Valor fora da faixa esperada (1 a 12)." type="whole" errorStyle="warning" operator="between">
      <formula1>1</formula1>
      <formula2>12</formula2>
    </dataValidation>
    <dataValidation sqref="B157 B165 B173 B181 B189" showDropDown="0" showInputMessage="0" showErrorMessage="0" allowBlank="1" errorTitle="Valor inválido" error="Escolha um valor da lista." type="list">
      <formula1>"imediato,concentrado"</formula1>
    </dataValidation>
    <dataValidation sqref="B194 B202 B210 B218 B226 B234 B242 B250 B258 B266" showDropDown="0" showInputMessage="0" showErrorMessage="0" allowBlank="1" errorTitle="Valor inválido" error="Escolha um valor da lista." type="list">
      <formula1>"Entrada,Parcelamento"</formula1>
    </dataValidation>
    <dataValidation sqref="B330 B341 B363 B374 B385 B396 B407 B418 B429 B440 B451 B462 B473 B484 B495 B506 B517 B528 B539 B550 B561 B572 B583 B594 B605 B616 B627" showDropDown="0" showInputMessage="0" showErrorMessage="0" allowBlank="1" errorTitle="Valor inválido" error="Escolha um valor da lista." type="list">
      <formula1>"rs,rs_m2_priv,rs_m2_terreno,pct_vgv,pct_obra,pct_recebido,pct_constr"</formula1>
    </dataValidation>
    <dataValidation sqref="B332 B343 B354 B365 B376 B387 B398 B409 B420 B431 B442 B453 B464 B475 B486 B497 B508 B519 B530 B541 B552 B563 B574 B585 B596 B607 B618 B629" showDropDown="0" showInputMessage="0" showErrorMessage="0" allowBlank="1" errorTitle="Confira o valor" error="Valor fora da faixa esperada (0 a 10)." type="decimal" errorStyle="warning" operator="between">
      <formula1>0</formula1>
      <formula2>10</formula2>
    </dataValidation>
    <dataValidation sqref="B333 B344 B355 B366 B377 B388 B399 B410 B421 B432 B443 B454 B465 B476 B487 B498 B509 B520 B531 B542 B553 B564 B575 B586 B597 B608 B619 B630" showDropDown="0" showInputMessage="0" showErrorMessage="0" allowBlank="1" errorTitle="Confira o valor" error="Valor fora da lista de referência — confirme." type="list" errorStyle="warning">
      <formula1>$F$945:$F$948</formula1>
    </dataValidation>
    <dataValidation sqref="B334 B345 B356 B367 B378 B389 B400 B411 B422 B433 B444 B455 B466 B477 B488 B499 B510 B521 B532 B543 B554 B565 B576 B587 B598 B609 B620 B631 B663 B676 B689 B702 B709 B716" showDropDown="0" showInputMessage="0" showErrorMessage="0" allowBlank="1" errorTitle="Confira o valor" error="Valor fora da lista de referência — confirme." type="list" errorStyle="warning">
      <formula1>$F$938:$F$943</formula1>
    </dataValidation>
    <dataValidation sqref="B360 B371 B382 B393 B404 B415 B426 B437 B448 B459 B470 B481 B492 B503 B514 B525 B536 B547 B558 B569 B580 B591 B602 B613 B624" showDropDown="0" showInputMessage="0" showErrorMessage="0" allowBlank="1" errorTitle="Valor inválido" error="Escolha um valor da lista." type="list">
      <formula1>"terreno,obra,diretos,indireto,financeiro"</formula1>
    </dataValidation>
    <dataValidation sqref="B361 B372 B383 B394 B405 B416 B427 B438 B449 B460 B471 B482 B493 B504 B515 B526 B537 B548 B559 B570 B581 B592 B603 B614 B625" showDropDown="0" showInputMessage="0" showErrorMessage="0" allowBlank="1" errorTitle="Confira o valor" error="Valor fora da lista de referência — confirme." type="list" errorStyle="warning">
      <formula1>$F$917:$F$936</formula1>
    </dataValidation>
    <dataValidation sqref="B640 B645" showDropDown="0" showInputMessage="0" showErrorMessage="0" allowBlank="1" errorTitle="Valor inválido" error="Escolha um valor da lista." type="list">
      <formula1>"rs,pct_vgv"</formula1>
    </dataValidation>
    <dataValidation sqref="B704 B711 B718" showDropDown="0" showInputMessage="0" showErrorMessage="0" allowBlank="1" errorTitle="Valor inválido" error="Escolha um valor da lista." type="list">
      <formula1>"permuta_financeira,resultado_final"</formula1>
    </dataValidation>
    <dataValidation sqref="B722 B723 B725 B726 B728 B729 B731 B732 B734 B735" showDropDown="0" showInputMessage="0" showErrorMessage="0" allowBlank="1" errorTitle="Confira o valor" error="Valor fora da faixa esperada (-1 a 10)." type="decimal" errorStyle="warning" operator="between">
      <formula1>-1</formula1>
      <formula2>10</formula2>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2026-10-13T22:15:28Z</dcterms:created>
  <dcterms:modified xmlns:dcterms="http://purl.org/dc/terms/" xmlns:xsi="http://www.w3.org/2001/XMLSchema-instance" xsi:type="dcterms:W3CDTF">2026-10-13T22:15:28Z</dcterms:modified>
</cp:coreProperties>
</file>