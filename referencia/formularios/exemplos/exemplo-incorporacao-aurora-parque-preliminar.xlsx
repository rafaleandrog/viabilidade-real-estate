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ário" sheetId="1" state="visible" r:id="rId1"/>
  </sheets>
  <definedNames>
    <definedName name="_xlnm.Print_Titles" localSheetId="0">'Formulário'!$3:$3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sz val="9"/>
    </font>
    <font>
      <b val="1"/>
      <color rgb="00FFFFFF"/>
    </font>
    <font>
      <b val="1"/>
      <color rgb="00FFFFFF"/>
      <sz val="11"/>
    </font>
    <font>
      <color rgb="007F7F7F"/>
      <sz val="8"/>
    </font>
    <font>
      <b val="1"/>
    </font>
    <font>
      <b val="1"/>
      <i val="1"/>
    </font>
    <font>
      <i val="1"/>
      <color rgb="00595959"/>
      <sz val="9"/>
    </font>
    <font>
      <i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2F3"/>
      </patternFill>
    </fill>
    <fill>
      <patternFill patternType="solid">
        <fgColor rgb="0059595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vertical="center" wrapText="1"/>
    </xf>
    <xf numFmtId="49" fontId="0" fillId="4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49" fontId="6" fillId="5" borderId="1" applyAlignment="1" pivotButton="0" quotePrefix="0" xfId="0">
      <alignment horizontal="right" vertical="center" wrapText="1"/>
    </xf>
    <xf numFmtId="4" fontId="0" fillId="4" borderId="1" applyAlignment="1" applyProtection="1" pivotButton="0" quotePrefix="0" xfId="0">
      <alignment horizontal="right" vertical="center" wrapText="1"/>
      <protection locked="0" hidden="0"/>
    </xf>
    <xf numFmtId="2" fontId="0" fillId="4" borderId="1" applyAlignment="1" applyProtection="1" pivotButton="0" quotePrefix="0" xfId="0">
      <alignment horizontal="right" vertical="center" wrapText="1"/>
      <protection locked="0" hidden="0"/>
    </xf>
    <xf numFmtId="164" fontId="0" fillId="4" borderId="1" applyAlignment="1" applyProtection="1" pivotButton="0" quotePrefix="0" xfId="0">
      <alignment horizontal="right" vertical="center" wrapText="1"/>
      <protection locked="0" hidden="0"/>
    </xf>
    <xf numFmtId="0" fontId="7" fillId="6" borderId="0" pivotButton="0" quotePrefix="0" xfId="0"/>
    <xf numFmtId="10" fontId="0" fillId="4" borderId="1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top" wrapText="1"/>
    </xf>
    <xf numFmtId="1" fontId="0" fillId="4" borderId="1" applyAlignment="1" applyProtection="1" pivotButton="0" quotePrefix="0" xfId="0">
      <alignment horizontal="right" vertical="center" wrapText="1"/>
      <protection locked="0" hidden="0"/>
    </xf>
    <xf numFmtId="0" fontId="4" fillId="7" borderId="0" pivotButton="0" quotePrefix="0" xfId="0"/>
    <xf numFmtId="0" fontId="0" fillId="8" borderId="1" applyAlignment="1" pivotButton="0" quotePrefix="0" xfId="0">
      <alignment vertical="center" wrapText="1"/>
    </xf>
    <xf numFmtId="10" fontId="9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4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D2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36" customWidth="1" min="3" max="3"/>
    <col width="46" customWidth="1" min="4" max="4"/>
  </cols>
  <sheetData>
    <row r="1" ht="26" customHeight="1">
      <c r="A1" s="1" t="inlineStr">
        <is>
          <t>Formulário de estudo — Preliminar · Incorporação</t>
        </is>
      </c>
    </row>
    <row r="2" ht="92" customHeight="1">
      <c r="A2" s="2" t="inlineStr">
        <is>
          <t>Como preencher: só as células AMARELAS da coluna B. Cinza-claro com valor em negrito = fixo do tipo de estudo (não editar); cinza com itálico = calculado pelo Excel, só para conferir (não editar). * = obrigatório. PERCENTUAL: digite como porcentagem (4% ou 4 numa célula já formatada em %). O Excel guarda 0,04; a API do app espera pontos (4) e o importador converte pelo FORMATO da célula — por isso não troque o formato das células. Números sem separador de milhar e com ponto decimal quando digitados fora do Excel. CAMPO COM VÁRIAS UNIDADES: há uma linha por unidade — preencha UMA só e deixe as outras em branco; o Excel não converte uma na outra. Listas (produtos, custos…) têm vagas numeradas; vaga totalmente em branco = sem item.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Unidade</t>
        </is>
      </c>
      <c r="D3" s="3" t="inlineStr">
        <is>
          <t>Chave técnica (leitura por máquina)</t>
        </is>
      </c>
    </row>
    <row r="4" ht="20" customHeight="1">
      <c r="A4" s="4" t="inlineStr">
        <is>
          <t>1 · Criação do estudo</t>
        </is>
      </c>
    </row>
    <row r="5">
      <c r="A5" s="5" t="inlineStr">
        <is>
          <t>Nome do estudo *</t>
        </is>
      </c>
      <c r="B5" s="6" t="inlineStr">
        <is>
          <t>Residencial Aurora Parque — Taguatinga</t>
        </is>
      </c>
      <c r="C5" s="7" t="inlineStr">
        <is>
          <t>texto (até 200)</t>
        </is>
      </c>
      <c r="D5" s="8" t="inlineStr">
        <is>
          <t>estudos.nome</t>
        </is>
      </c>
    </row>
    <row r="6">
      <c r="A6" s="5" t="inlineStr">
        <is>
          <t>Tipo de empreendimento</t>
        </is>
      </c>
      <c r="B6" s="9" t="inlineStr">
        <is>
          <t>incorporacao</t>
        </is>
      </c>
      <c r="C6" s="7" t="inlineStr">
        <is>
          <t>fixo deste formulário</t>
        </is>
      </c>
      <c r="D6" s="8" t="inlineStr">
        <is>
          <t>estudos.tipo_empreendimento</t>
        </is>
      </c>
    </row>
    <row r="7">
      <c r="A7" s="5" t="inlineStr">
        <is>
          <t>Nível de análise</t>
        </is>
      </c>
      <c r="B7" s="9" t="inlineStr">
        <is>
          <t>preliminar</t>
        </is>
      </c>
      <c r="C7" s="7" t="inlineStr">
        <is>
          <t>fixo deste formulário</t>
        </is>
      </c>
      <c r="D7" s="8" t="inlineStr">
        <is>
          <t>estudos.nivel_analise</t>
        </is>
      </c>
    </row>
    <row r="8">
      <c r="A8" s="5" t="inlineStr">
        <is>
          <t>Origem do terreno *</t>
        </is>
      </c>
      <c r="B8" s="6" t="inlineStr">
        <is>
          <t>manual</t>
        </is>
      </c>
      <c r="C8" s="7" t="inlineStr">
        <is>
          <t>lista: manual (inserir novo) | nucleo (buscar terreno)</t>
        </is>
      </c>
      <c r="D8" s="8" t="inlineStr">
        <is>
          <t>estudos.origem_terreno</t>
        </is>
      </c>
    </row>
    <row r="9">
      <c r="A9" s="5" t="inlineStr">
        <is>
          <t>UF (recomendado)</t>
        </is>
      </c>
      <c r="B9" s="6" t="inlineStr">
        <is>
          <t>DF</t>
        </is>
      </c>
      <c r="C9" s="7" t="inlineStr">
        <is>
          <t>texto, 2 letras</t>
        </is>
      </c>
      <c r="D9" s="8" t="inlineStr">
        <is>
          <t>estudos.uf</t>
        </is>
      </c>
    </row>
    <row r="10">
      <c r="A10" s="5" t="inlineStr">
        <is>
          <t>Notas</t>
        </is>
      </c>
      <c r="B10" s="6" t="inlineStr">
        <is>
          <t>Torre residencial de médio padrão com lojas no térreo. Projeto fictício de QA (mesmo projeto nos dois níveis).</t>
        </is>
      </c>
      <c r="C10" s="7" t="inlineStr">
        <is>
          <t>texto livre (só pela API)</t>
        </is>
      </c>
      <c r="D10" s="8" t="inlineStr">
        <is>
          <t>estudos.notas</t>
        </is>
      </c>
    </row>
    <row r="11" ht="20" customHeight="1">
      <c r="A11" s="4" t="inlineStr">
        <is>
          <t>2 · Premissas › Terreno &amp; Áreas</t>
        </is>
      </c>
    </row>
    <row r="12">
      <c r="A12" s="5" t="inlineStr">
        <is>
          <t>Nome do terreno (origem = manual)</t>
        </is>
      </c>
      <c r="B12" s="6" t="inlineStr">
        <is>
          <t>Lote 4, Quadra 12 — Taguatinga Sul</t>
        </is>
      </c>
      <c r="C12" s="7" t="inlineStr">
        <is>
          <t>texto (até 200)</t>
        </is>
      </c>
      <c r="D12" s="8" t="inlineStr">
        <is>
          <t>estudos.terreno_manual_nome</t>
        </is>
      </c>
    </row>
    <row r="13">
      <c r="A13" s="5" t="inlineStr">
        <is>
          <t>Área do terreno *</t>
        </is>
      </c>
      <c r="B13" s="10" t="n">
        <v>4000</v>
      </c>
      <c r="C13" s="7" t="inlineStr">
        <is>
          <t>m² (&gt; 0)</t>
        </is>
      </c>
      <c r="D13" s="8" t="inlineStr">
        <is>
          <t>estudos.terreno_manual_area</t>
        </is>
      </c>
    </row>
    <row r="14">
      <c r="A14" s="5" t="inlineStr">
        <is>
          <t>Imóvel do Núcleo (vínculo — só se origem = nucleo)</t>
        </is>
      </c>
      <c r="B14" s="6" t="n"/>
      <c r="C14" s="7" t="inlineStr">
        <is>
          <t>id do imóvel</t>
        </is>
      </c>
      <c r="D14" s="8" t="inlineStr">
        <is>
          <t>estudo_imoveis.imovel_nucleo_id</t>
        </is>
      </c>
    </row>
    <row r="15">
      <c r="A15" s="5" t="inlineStr">
        <is>
          <t>Coeficiente de aproveitamento mínimo</t>
        </is>
      </c>
      <c r="B15" s="11" t="n">
        <v>2</v>
      </c>
      <c r="C15" s="7" t="inlineStr">
        <is>
          <t>índice (x)</t>
        </is>
      </c>
      <c r="D15" s="8" t="inlineStr">
        <is>
          <t>estudos.coef_aproveitamento_basico</t>
        </is>
      </c>
    </row>
    <row r="16">
      <c r="A16" s="5" t="inlineStr">
        <is>
          <t>Coeficiente de aproveitamento máximo</t>
        </is>
      </c>
      <c r="B16" s="11" t="n">
        <v>5</v>
      </c>
      <c r="C16" s="7" t="inlineStr">
        <is>
          <t>índice (x); teto = terreno × coeficiente</t>
        </is>
      </c>
      <c r="D16" s="8" t="inlineStr">
        <is>
          <t>estudos.coef_aproveitamento_maximo</t>
        </is>
      </c>
    </row>
    <row r="17">
      <c r="A17" s="5" t="inlineStr">
        <is>
          <t>Área privativa residencial FECHADA *</t>
        </is>
      </c>
      <c r="B17" s="10" t="n">
        <v>9600</v>
      </c>
      <c r="C17" s="7" t="inlineStr">
        <is>
          <t>m² (base dos produtos residenciais)</t>
        </is>
      </c>
      <c r="D17" s="8" t="inlineStr">
        <is>
          <t>estudos.area_pvt_r_fechada</t>
        </is>
      </c>
    </row>
    <row r="18">
      <c r="A18" s="5" t="inlineStr">
        <is>
          <t>Área privativa residencial aberta</t>
        </is>
      </c>
      <c r="B18" s="10" t="n">
        <v>1309</v>
      </c>
      <c r="C18" s="7" t="inlineStr">
        <is>
          <t>m² (varandas etc.)</t>
        </is>
      </c>
      <c r="D18" s="8" t="inlineStr">
        <is>
          <t>estudos.area_pvt_r_aberta</t>
        </is>
      </c>
    </row>
    <row r="19">
      <c r="A19" s="5" t="inlineStr">
        <is>
          <t>Área privativa não residencial fechada (se houver NR)</t>
        </is>
      </c>
      <c r="B19" s="10" t="n">
        <v>800</v>
      </c>
      <c r="C19" s="7" t="inlineStr">
        <is>
          <t>m² (base dos produtos NR)</t>
        </is>
      </c>
      <c r="D19" s="8" t="inlineStr">
        <is>
          <t>estudos.area_pvt_nr_fechada</t>
        </is>
      </c>
    </row>
    <row r="20">
      <c r="A20" s="5" t="inlineStr">
        <is>
          <t>Área privativa não residencial aberta</t>
        </is>
      </c>
      <c r="B20" s="10" t="n">
        <v>40</v>
      </c>
      <c r="C20" s="7" t="inlineStr">
        <is>
          <t>m²</t>
        </is>
      </c>
      <c r="D20" s="8" t="inlineStr">
        <is>
          <t>estudos.area_pvt_nr_aberta</t>
        </is>
      </c>
    </row>
    <row r="21">
      <c r="A21" s="5" t="inlineStr">
        <is>
          <t>Área comum total</t>
        </is>
      </c>
      <c r="B21" s="10" t="n">
        <v>5000</v>
      </c>
      <c r="C21" s="7" t="inlineStr">
        <is>
          <t>m²</t>
        </is>
      </c>
      <c r="D21" s="8" t="inlineStr">
        <is>
          <t>estudos.area_comum_total</t>
        </is>
      </c>
    </row>
    <row r="22">
      <c r="A22" s="5" t="inlineStr">
        <is>
          <t>Imagem principal (nome do arquivo; envio à parte)</t>
        </is>
      </c>
      <c r="B22" s="6" t="n"/>
      <c r="C22" s="7" t="inlineStr">
        <is>
          <t>png/jpeg/webp/pdf ≤ 25 MB</t>
        </is>
      </c>
      <c r="D22" s="8" t="inlineStr">
        <is>
          <t>estudo_documentos (categoria imagem_principal)</t>
        </is>
      </c>
    </row>
    <row r="23" ht="20" customHeight="1">
      <c r="A23" s="4" t="inlineStr">
        <is>
          <t>3 · Premissas › Custos</t>
        </is>
      </c>
    </row>
    <row r="24">
      <c r="A24" s="5" t="inlineStr">
        <is>
          <t>Considerar custo de aquisição do terreno *</t>
        </is>
      </c>
      <c r="B24" s="6" t="inlineStr">
        <is>
          <t>Sim</t>
        </is>
      </c>
      <c r="C24" s="7" t="inlineStr">
        <is>
          <t>Sim/Não (Não zera o custo)</t>
        </is>
      </c>
      <c r="D24" s="8" t="inlineStr">
        <is>
          <t>estudos.considerar_custo_terreno</t>
        </is>
      </c>
    </row>
    <row r="25">
      <c r="A25" s="5" t="inlineStr">
        <is>
          <t>Considerar gestão e outros custos indiretos *</t>
        </is>
      </c>
      <c r="B25" s="6" t="inlineStr">
        <is>
          <t>Sim</t>
        </is>
      </c>
      <c r="C25" s="7" t="inlineStr">
        <is>
          <t>Sim/Não</t>
        </is>
      </c>
      <c r="D25" s="8" t="inlineStr">
        <is>
          <t>estudos.considerar_gestao_indiretos</t>
        </is>
      </c>
    </row>
    <row r="26">
      <c r="A26" s="5" t="inlineStr">
        <is>
          <t>Considerar contingências *</t>
        </is>
      </c>
      <c r="B26" s="6" t="inlineStr">
        <is>
          <t>Sim</t>
        </is>
      </c>
      <c r="C26" s="7" t="inlineStr">
        <is>
          <t>Sim/Não</t>
        </is>
      </c>
      <c r="D26" s="8" t="inlineStr">
        <is>
          <t>estudos.considerar_contingencias</t>
        </is>
      </c>
    </row>
    <row r="27">
      <c r="A27" s="5" t="inlineStr">
        <is>
          <t>Custo do terreno *</t>
        </is>
      </c>
      <c r="B27" s="12" t="n">
        <v>2500</v>
      </c>
      <c r="C27" s="7" t="inlineStr">
        <is>
          <t>R$/m² de terreno</t>
        </is>
      </c>
      <c r="D27" s="8" t="inlineStr">
        <is>
          <t>estudos.custo_terreno_m2</t>
        </is>
      </c>
    </row>
    <row r="28">
      <c r="A28" s="13" t="inlineStr">
        <is>
          <t>Construção * — preencha uma unidade</t>
        </is>
      </c>
    </row>
    <row r="29">
      <c r="A29" s="5" t="inlineStr">
        <is>
          <t>Construção — em R$/m²</t>
        </is>
      </c>
      <c r="B29" s="12" t="n">
        <v>4700</v>
      </c>
      <c r="C29" s="7" t="inlineStr">
        <is>
          <t>R$/m² de área privativa total</t>
        </is>
      </c>
      <c r="D29" s="8" t="inlineStr">
        <is>
          <t>construcao_modo = valor_m2 → custo_construcao_m2</t>
        </is>
      </c>
    </row>
    <row r="30">
      <c r="A30" s="5" t="inlineStr">
        <is>
          <t>Construção — em R$ (valor total)</t>
        </is>
      </c>
      <c r="B30" s="12" t="n"/>
      <c r="C30" s="7" t="inlineStr">
        <is>
          <t>R$ (valor cheio)</t>
        </is>
      </c>
      <c r="D30" s="8" t="inlineStr">
        <is>
          <t>construcao_modo = valor_total → construcao_valor_total</t>
        </is>
      </c>
    </row>
    <row r="31">
      <c r="A31" s="13" t="inlineStr">
        <is>
          <t>Projetos * — preencha uma unidade</t>
        </is>
      </c>
    </row>
    <row r="32">
      <c r="A32" s="5" t="inlineStr">
        <is>
          <t>Projetos — em % do VGV</t>
        </is>
      </c>
      <c r="B32" s="14" t="n">
        <v>0.018</v>
      </c>
      <c r="C32" s="7" t="inlineStr">
        <is>
          <t>% do VGV</t>
        </is>
      </c>
      <c r="D32" s="8" t="inlineStr">
        <is>
          <t>projetos_modo = pct_vgv → projetos_pct</t>
        </is>
      </c>
    </row>
    <row r="33">
      <c r="A33" s="5" t="inlineStr">
        <is>
          <t>Projetos — em R$ (valor fixo)</t>
        </is>
      </c>
      <c r="B33" s="12" t="n"/>
      <c r="C33" s="7" t="inlineStr">
        <is>
          <t>R$ (valor cheio)</t>
        </is>
      </c>
      <c r="D33" s="8" t="inlineStr">
        <is>
          <t>projetos_modo = valor_fixo → projetos_valor_fixo</t>
        </is>
      </c>
    </row>
    <row r="34">
      <c r="A34" s="5" t="inlineStr">
        <is>
          <t>Projetos — em % do custo de obras</t>
        </is>
      </c>
      <c r="B34" s="14" t="n"/>
      <c r="C34" s="7" t="inlineStr">
        <is>
          <t>% do custo de obras (construção + decoração + gestão)</t>
        </is>
      </c>
      <c r="D34" s="8" t="inlineStr">
        <is>
          <t>projetos_modo = pct_constr → projetos_pct</t>
        </is>
      </c>
    </row>
    <row r="35">
      <c r="A35" s="13" t="inlineStr">
        <is>
          <t>Demais custos (unidade fixa)</t>
        </is>
      </c>
    </row>
    <row r="36">
      <c r="A36" s="5" t="inlineStr">
        <is>
          <t>Decoração</t>
        </is>
      </c>
      <c r="B36" s="12" t="n">
        <v>140</v>
      </c>
      <c r="C36" s="7" t="inlineStr">
        <is>
          <t>R$/m² de área privativa</t>
        </is>
      </c>
      <c r="D36" s="8" t="inlineStr">
        <is>
          <t>estudos.custo_decoracao_m2</t>
        </is>
      </c>
    </row>
    <row r="37">
      <c r="A37" s="5" t="inlineStr">
        <is>
          <t>Gestão da construção</t>
        </is>
      </c>
      <c r="B37" s="14" t="n">
        <v>0.06</v>
      </c>
      <c r="C37" s="7" t="inlineStr">
        <is>
          <t>% de (construção + decoração)</t>
        </is>
      </c>
      <c r="D37" s="8" t="inlineStr">
        <is>
          <t>estudos.taxa_gestao_pct</t>
        </is>
      </c>
    </row>
    <row r="38">
      <c r="A38" s="5" t="inlineStr">
        <is>
          <t>Incorporação e registro</t>
        </is>
      </c>
      <c r="B38" s="14" t="n">
        <v>0.0025</v>
      </c>
      <c r="C38" s="7" t="inlineStr">
        <is>
          <t>% do VGV</t>
        </is>
      </c>
      <c r="D38" s="8" t="inlineStr">
        <is>
          <t>estudos.incorporacao_registro_pct</t>
        </is>
      </c>
    </row>
    <row r="39">
      <c r="A39" s="5" t="inlineStr">
        <is>
          <t>Manutenção pós-obra</t>
        </is>
      </c>
      <c r="B39" s="14" t="n">
        <v>0.01</v>
      </c>
      <c r="C39" s="7" t="inlineStr">
        <is>
          <t>% do VGV</t>
        </is>
      </c>
      <c r="D39" s="8" t="inlineStr">
        <is>
          <t>estudos.manutencao_pct</t>
        </is>
      </c>
    </row>
    <row r="40">
      <c r="A40" s="5" t="inlineStr">
        <is>
          <t>Contingências</t>
        </is>
      </c>
      <c r="B40" s="14" t="n">
        <v>0.03</v>
      </c>
      <c r="C40" s="7" t="inlineStr">
        <is>
          <t>% do VGV</t>
        </is>
      </c>
      <c r="D40" s="8" t="inlineStr">
        <is>
          <t>estudos.contingencias_pct</t>
        </is>
      </c>
    </row>
    <row r="41">
      <c r="A41" s="5" t="inlineStr">
        <is>
          <t>Gestão e outros custos indiretos</t>
        </is>
      </c>
      <c r="B41" s="14" t="n">
        <v>0.0125</v>
      </c>
      <c r="C41" s="7" t="inlineStr">
        <is>
          <t>% do VGV</t>
        </is>
      </c>
      <c r="D41" s="8" t="inlineStr">
        <is>
          <t>estudos.gestao_indiretos_pct</t>
        </is>
      </c>
    </row>
    <row r="42">
      <c r="A42" s="5" t="inlineStr">
        <is>
          <t>Sujeito a RET *</t>
        </is>
      </c>
      <c r="B42" s="6" t="inlineStr">
        <is>
          <t>Sim</t>
        </is>
      </c>
      <c r="C42" s="7" t="inlineStr">
        <is>
          <t>Sim/Não (Sim = alíquota RET da instância)</t>
        </is>
      </c>
      <c r="D42" s="8" t="inlineStr">
        <is>
          <t>estudos.sujeito_ret</t>
        </is>
      </c>
    </row>
    <row r="43">
      <c r="A43" s="5" t="inlineStr">
        <is>
          <t>Imposto (se não RET)</t>
        </is>
      </c>
      <c r="B43" s="14" t="n">
        <v>0.07000000000000001</v>
      </c>
      <c r="C43" s="7" t="inlineStr">
        <is>
          <t>% do VGV</t>
        </is>
      </c>
      <c r="D43" s="8" t="inlineStr">
        <is>
          <t>estudos.imposto_percentual</t>
        </is>
      </c>
    </row>
    <row r="44">
      <c r="A44" s="5" t="inlineStr">
        <is>
          <t>Corretagem *</t>
        </is>
      </c>
      <c r="B44" s="14" t="n">
        <v>0.04</v>
      </c>
      <c r="C44" s="7" t="inlineStr">
        <is>
          <t>% do VGV</t>
        </is>
      </c>
      <c r="D44" s="8" t="inlineStr">
        <is>
          <t>estudos.corretagem_percentual</t>
        </is>
      </c>
    </row>
    <row r="45">
      <c r="A45" s="5" t="inlineStr">
        <is>
          <t>Marketing *</t>
        </is>
      </c>
      <c r="B45" s="14" t="n">
        <v>0.015</v>
      </c>
      <c r="C45" s="7" t="inlineStr">
        <is>
          <t>% do VGV</t>
        </is>
      </c>
      <c r="D45" s="8" t="inlineStr">
        <is>
          <t>estudos.marketing_percentual</t>
        </is>
      </c>
    </row>
    <row r="46" ht="20" customHeight="1">
      <c r="A46" s="4" t="inlineStr">
        <is>
          <t>4 · Premissas › Permutas</t>
        </is>
      </c>
    </row>
    <row r="47">
      <c r="A47" s="13" t="inlineStr">
        <is>
          <t>Permuta física residencial — preencha uma unidade</t>
        </is>
      </c>
    </row>
    <row r="48">
      <c r="A48" s="5" t="inlineStr">
        <is>
          <t>Permuta física residencial — em m²</t>
        </is>
      </c>
      <c r="B48" s="10" t="n">
        <v>260</v>
      </c>
      <c r="C48" s="7" t="inlineStr">
        <is>
          <t>m²</t>
        </is>
      </c>
      <c r="D48" s="8" t="inlineStr">
        <is>
          <t>permuta_fisica_modo = area_m2 → permuta_fisica_area_m2</t>
        </is>
      </c>
    </row>
    <row r="49">
      <c r="A49" s="5" t="inlineStr">
        <is>
          <t>Permuta física residencial — em % da área de venda</t>
        </is>
      </c>
      <c r="B49" s="14" t="n"/>
      <c r="C49" s="7" t="inlineStr">
        <is>
          <t>% da área de venda</t>
        </is>
      </c>
      <c r="D49" s="8" t="inlineStr">
        <is>
          <t>permuta_fisica_modo = pct_area_venda → permuta_fisica_pct</t>
        </is>
      </c>
    </row>
    <row r="50">
      <c r="A50" s="13" t="inlineStr">
        <is>
          <t>Permuta financeira residencial — preencha uma unidade</t>
        </is>
      </c>
    </row>
    <row r="51">
      <c r="A51" s="5" t="inlineStr">
        <is>
          <t>Permuta financeira residencial — em % do VGV</t>
        </is>
      </c>
      <c r="B51" s="14" t="n">
        <v>0.02</v>
      </c>
      <c r="C51" s="7" t="inlineStr">
        <is>
          <t>% do VGV residencial</t>
        </is>
      </c>
      <c r="D51" s="8" t="inlineStr">
        <is>
          <t>permuta_financeira_residencial_modo = pct_vgv → permuta_financeira_residencial_pct</t>
        </is>
      </c>
    </row>
    <row r="52">
      <c r="A52" s="5" t="inlineStr">
        <is>
          <t>Permuta financeira residencial — em R$ (valor fixo)</t>
        </is>
      </c>
      <c r="B52" s="12" t="n"/>
      <c r="C52" s="7" t="inlineStr">
        <is>
          <t>R$ (valor cheio)</t>
        </is>
      </c>
      <c r="D52" s="8" t="inlineStr">
        <is>
          <t>permuta_financeira_residencial_modo = valor_fixo → permuta_financeira_residencial_valor</t>
        </is>
      </c>
    </row>
    <row r="53">
      <c r="A53" s="13" t="inlineStr">
        <is>
          <t>Permuta física não residencial — preencha uma unidade</t>
        </is>
      </c>
    </row>
    <row r="54">
      <c r="A54" s="5" t="inlineStr">
        <is>
          <t>Permuta física não residencial — em m²</t>
        </is>
      </c>
      <c r="B54" s="10" t="n"/>
      <c r="C54" s="7" t="inlineStr">
        <is>
          <t>m²</t>
        </is>
      </c>
      <c r="D54" s="8" t="inlineStr">
        <is>
          <t>permuta_fisica_nr_modo = area_m2 → permuta_fisica_nr_area_m2</t>
        </is>
      </c>
    </row>
    <row r="55">
      <c r="A55" s="5" t="inlineStr">
        <is>
          <t>Permuta física não residencial — em % da área de venda</t>
        </is>
      </c>
      <c r="B55" s="14" t="n"/>
      <c r="C55" s="7" t="inlineStr">
        <is>
          <t>% da área de venda NR</t>
        </is>
      </c>
      <c r="D55" s="8" t="inlineStr">
        <is>
          <t>permuta_fisica_nr_modo = pct_area_venda → permuta_fisica_nr_pct</t>
        </is>
      </c>
    </row>
    <row r="56">
      <c r="A56" s="13" t="inlineStr">
        <is>
          <t>Permuta financeira não residencial — preencha uma unidade</t>
        </is>
      </c>
    </row>
    <row r="57">
      <c r="A57" s="5" t="inlineStr">
        <is>
          <t>Permuta financeira não residencial — em % do VGV</t>
        </is>
      </c>
      <c r="B57" s="14" t="n"/>
      <c r="C57" s="7" t="inlineStr">
        <is>
          <t>% do VGV não residencial</t>
        </is>
      </c>
      <c r="D57" s="8" t="inlineStr">
        <is>
          <t>permuta_financeira_nao_residencial_modo = pct_vgv → permuta_financeira_nao_residencial_pct</t>
        </is>
      </c>
    </row>
    <row r="58">
      <c r="A58" s="5" t="inlineStr">
        <is>
          <t>Permuta financeira não residencial — em R$ (valor fixo)</t>
        </is>
      </c>
      <c r="B58" s="12" t="n"/>
      <c r="C58" s="7" t="inlineStr">
        <is>
          <t>R$ (valor cheio)</t>
        </is>
      </c>
      <c r="D58" s="8" t="inlineStr">
        <is>
          <t>permuta_financeira_nao_residencial_modo = valor_fixo → permuta_financeira_nao_residencial_valor</t>
        </is>
      </c>
    </row>
    <row r="59" ht="20" customHeight="1">
      <c r="A59" s="4" t="inlineStr">
        <is>
          <t>Análise de Mercado (opcional)</t>
        </is>
      </c>
    </row>
    <row r="60">
      <c r="A60" s="5" t="inlineStr">
        <is>
          <t>Região de mercado</t>
        </is>
      </c>
      <c r="B60" s="6" t="n"/>
      <c r="C60" s="7" t="inlineStr">
        <is>
          <t>nome de região cadastrada na instância</t>
        </is>
      </c>
      <c r="D60" s="8" t="inlineStr">
        <is>
          <t>estudos.regiao_mercado_id</t>
        </is>
      </c>
    </row>
    <row r="61">
      <c r="A61" s="5" t="inlineStr">
        <is>
          <t>Apelo comercial — tipo de dado</t>
        </is>
      </c>
      <c r="B61" s="6" t="n"/>
      <c r="C61" s="7" t="inlineStr">
        <is>
          <t>lista: anuncios | populacao | mercado | outro</t>
        </is>
      </c>
      <c r="D61" s="8" t="inlineStr">
        <is>
          <t>apelo_comercial_documentos.tipo_dado</t>
        </is>
      </c>
    </row>
    <row r="62">
      <c r="A62" s="5" t="inlineStr">
        <is>
          <t>Apelo comercial — texto adicional</t>
        </is>
      </c>
      <c r="B62" s="6" t="n"/>
      <c r="C62" s="7" t="inlineStr">
        <is>
          <t>texto livre (ou envie arquivo pdf/docx/xlsx à parte)</t>
        </is>
      </c>
      <c r="D62" s="8" t="inlineStr">
        <is>
          <t>apelo_comercial_documentos.texto_adicional</t>
        </is>
      </c>
    </row>
    <row r="63" ht="20" customHeight="1">
      <c r="A63" s="4" t="inlineStr">
        <is>
          <t>5 · Produtos (Premissas › Produtos) — 10 vagas; Σ dos % = 100%</t>
        </is>
      </c>
    </row>
    <row r="64" ht="26" customHeight="1">
      <c r="A64" s="15" t="inlineStr">
        <is>
          <t>O % de cada produto é sobre a soma das áreas privativas fechadas (R + NR). Área total, área média e VGV são calculados pelo app. Só entra no VGV a linha com % &gt; 0, unidades &gt; 0 e preço &gt; 0.</t>
        </is>
      </c>
    </row>
    <row r="65">
      <c r="A65" s="13" t="inlineStr">
        <is>
          <t>Produto 1</t>
        </is>
      </c>
    </row>
    <row r="66">
      <c r="A66" s="5" t="inlineStr">
        <is>
          <t>Produto 1 — Nome</t>
        </is>
      </c>
      <c r="B66" s="6" t="inlineStr">
        <is>
          <t>Studio</t>
        </is>
      </c>
      <c r="C66" s="7" t="inlineStr">
        <is>
          <t>texto (até 100)</t>
        </is>
      </c>
      <c r="D66" s="8" t="inlineStr">
        <is>
          <t>preliminar_produtos[1].nome</t>
        </is>
      </c>
    </row>
    <row r="67">
      <c r="A67" s="5" t="inlineStr">
        <is>
          <t>Produto 1 — Tipo</t>
        </is>
      </c>
      <c r="B67" s="6" t="inlineStr">
        <is>
          <t>residencial</t>
        </is>
      </c>
      <c r="C67" s="7" t="inlineStr">
        <is>
          <t>lista: residencial | nao_residencial</t>
        </is>
      </c>
      <c r="D67" s="8" t="inlineStr">
        <is>
          <t>preliminar_produtos[1].tipo</t>
        </is>
      </c>
    </row>
    <row r="68">
      <c r="A68" s="5" t="inlineStr">
        <is>
          <t>Produto 1 — % da base</t>
        </is>
      </c>
      <c r="B68" s="14" t="n">
        <v>0.2</v>
      </c>
      <c r="C68" s="7" t="inlineStr">
        <is>
          <t>% da base (Σ = 100%)</t>
        </is>
      </c>
      <c r="D68" s="8" t="inlineStr">
        <is>
          <t>preliminar_produtos[1].pct_alv</t>
        </is>
      </c>
    </row>
    <row r="69">
      <c r="A69" s="5" t="inlineStr">
        <is>
          <t>Produto 1 — Unidades</t>
        </is>
      </c>
      <c r="B69" s="16" t="n">
        <v>65</v>
      </c>
      <c r="C69" s="7" t="inlineStr">
        <is>
          <t>unidades (inteiro &gt; 0)</t>
        </is>
      </c>
      <c r="D69" s="8" t="inlineStr">
        <is>
          <t>preliminar_produtos[1].unidades</t>
        </is>
      </c>
    </row>
    <row r="70">
      <c r="A70" s="5" t="inlineStr">
        <is>
          <t>Produto 1 — Preço de venda</t>
        </is>
      </c>
      <c r="B70" s="12" t="n">
        <v>15031</v>
      </c>
      <c r="C70" s="7" t="inlineStr">
        <is>
          <t>R$/m² privativo fechado (&gt; 0)</t>
        </is>
      </c>
      <c r="D70" s="8" t="inlineStr">
        <is>
          <t>preliminar_produtos[1].preco_venda_m2</t>
        </is>
      </c>
    </row>
    <row r="71">
      <c r="A71" s="13" t="inlineStr">
        <is>
          <t>Produto 2</t>
        </is>
      </c>
    </row>
    <row r="72">
      <c r="A72" s="5" t="inlineStr">
        <is>
          <t>Produto 2 — Nome</t>
        </is>
      </c>
      <c r="B72" s="6" t="inlineStr">
        <is>
          <t>Apartamento 2 quartos</t>
        </is>
      </c>
      <c r="C72" s="7" t="inlineStr">
        <is>
          <t>texto (até 100)</t>
        </is>
      </c>
      <c r="D72" s="8" t="inlineStr">
        <is>
          <t>preliminar_produtos[2].nome</t>
        </is>
      </c>
    </row>
    <row r="73">
      <c r="A73" s="5" t="inlineStr">
        <is>
          <t>Produto 2 — Tipo</t>
        </is>
      </c>
      <c r="B73" s="6" t="inlineStr">
        <is>
          <t>residencial</t>
        </is>
      </c>
      <c r="C73" s="7" t="inlineStr">
        <is>
          <t>lista: residencial | nao_residencial</t>
        </is>
      </c>
      <c r="D73" s="8" t="inlineStr">
        <is>
          <t>preliminar_produtos[2].tipo</t>
        </is>
      </c>
    </row>
    <row r="74">
      <c r="A74" s="5" t="inlineStr">
        <is>
          <t>Produto 2 — % da base</t>
        </is>
      </c>
      <c r="B74" s="14" t="n">
        <v>0.4</v>
      </c>
      <c r="C74" s="7" t="inlineStr">
        <is>
          <t>% da base (Σ = 100%)</t>
        </is>
      </c>
      <c r="D74" s="8" t="inlineStr">
        <is>
          <t>preliminar_produtos[2].pct_alv</t>
        </is>
      </c>
    </row>
    <row r="75">
      <c r="A75" s="5" t="inlineStr">
        <is>
          <t>Produto 2 — Unidades</t>
        </is>
      </c>
      <c r="B75" s="16" t="n">
        <v>64</v>
      </c>
      <c r="C75" s="7" t="inlineStr">
        <is>
          <t>unidades (inteiro &gt; 0)</t>
        </is>
      </c>
      <c r="D75" s="8" t="inlineStr">
        <is>
          <t>preliminar_produtos[2].unidades</t>
        </is>
      </c>
    </row>
    <row r="76">
      <c r="A76" s="5" t="inlineStr">
        <is>
          <t>Produto 2 — Preço de venda</t>
        </is>
      </c>
      <c r="B76" s="12" t="n">
        <v>13252</v>
      </c>
      <c r="C76" s="7" t="inlineStr">
        <is>
          <t>R$/m² privativo fechado (&gt; 0)</t>
        </is>
      </c>
      <c r="D76" s="8" t="inlineStr">
        <is>
          <t>preliminar_produtos[2].preco_venda_m2</t>
        </is>
      </c>
    </row>
    <row r="77">
      <c r="A77" s="13" t="inlineStr">
        <is>
          <t>Produto 3</t>
        </is>
      </c>
    </row>
    <row r="78">
      <c r="A78" s="5" t="inlineStr">
        <is>
          <t>Produto 3 — Nome</t>
        </is>
      </c>
      <c r="B78" s="6" t="inlineStr">
        <is>
          <t>Apartamento 3 quartos</t>
        </is>
      </c>
      <c r="C78" s="7" t="inlineStr">
        <is>
          <t>texto (até 100)</t>
        </is>
      </c>
      <c r="D78" s="8" t="inlineStr">
        <is>
          <t>preliminar_produtos[3].nome</t>
        </is>
      </c>
    </row>
    <row r="79">
      <c r="A79" s="5" t="inlineStr">
        <is>
          <t>Produto 3 — Tipo</t>
        </is>
      </c>
      <c r="B79" s="6" t="inlineStr">
        <is>
          <t>residencial</t>
        </is>
      </c>
      <c r="C79" s="7" t="inlineStr">
        <is>
          <t>lista: residencial | nao_residencial</t>
        </is>
      </c>
      <c r="D79" s="8" t="inlineStr">
        <is>
          <t>preliminar_produtos[3].tipo</t>
        </is>
      </c>
    </row>
    <row r="80">
      <c r="A80" s="5" t="inlineStr">
        <is>
          <t>Produto 3 — % da base</t>
        </is>
      </c>
      <c r="B80" s="14" t="n">
        <v>0.24</v>
      </c>
      <c r="C80" s="7" t="inlineStr">
        <is>
          <t>% da base (Σ = 100%)</t>
        </is>
      </c>
      <c r="D80" s="8" t="inlineStr">
        <is>
          <t>preliminar_produtos[3].pct_alv</t>
        </is>
      </c>
    </row>
    <row r="81">
      <c r="A81" s="5" t="inlineStr">
        <is>
          <t>Produto 3 — Unidades</t>
        </is>
      </c>
      <c r="B81" s="16" t="n">
        <v>26</v>
      </c>
      <c r="C81" s="7" t="inlineStr">
        <is>
          <t>unidades (inteiro &gt; 0)</t>
        </is>
      </c>
      <c r="D81" s="8" t="inlineStr">
        <is>
          <t>preliminar_produtos[3].unidades</t>
        </is>
      </c>
    </row>
    <row r="82">
      <c r="A82" s="5" t="inlineStr">
        <is>
          <t>Produto 3 — Preço de venda</t>
        </is>
      </c>
      <c r="B82" s="12" t="n">
        <v>12600</v>
      </c>
      <c r="C82" s="7" t="inlineStr">
        <is>
          <t>R$/m² privativo fechado (&gt; 0)</t>
        </is>
      </c>
      <c r="D82" s="8" t="inlineStr">
        <is>
          <t>preliminar_produtos[3].preco_venda_m2</t>
        </is>
      </c>
    </row>
    <row r="83">
      <c r="A83" s="13" t="inlineStr">
        <is>
          <t>Produto 4</t>
        </is>
      </c>
    </row>
    <row r="84">
      <c r="A84" s="5" t="inlineStr">
        <is>
          <t>Produto 4 — Nome</t>
        </is>
      </c>
      <c r="B84" s="6" t="inlineStr">
        <is>
          <t>Cobertura duplex</t>
        </is>
      </c>
      <c r="C84" s="7" t="inlineStr">
        <is>
          <t>texto (até 100)</t>
        </is>
      </c>
      <c r="D84" s="8" t="inlineStr">
        <is>
          <t>preliminar_produtos[4].nome</t>
        </is>
      </c>
    </row>
    <row r="85">
      <c r="A85" s="5" t="inlineStr">
        <is>
          <t>Produto 4 — Tipo</t>
        </is>
      </c>
      <c r="B85" s="6" t="inlineStr">
        <is>
          <t>residencial</t>
        </is>
      </c>
      <c r="C85" s="7" t="inlineStr">
        <is>
          <t>lista: residencial | nao_residencial</t>
        </is>
      </c>
      <c r="D85" s="8" t="inlineStr">
        <is>
          <t>preliminar_produtos[4].tipo</t>
        </is>
      </c>
    </row>
    <row r="86">
      <c r="A86" s="5" t="inlineStr">
        <is>
          <t>Produto 4 — % da base</t>
        </is>
      </c>
      <c r="B86" s="14" t="n">
        <v>0.08307692310000001</v>
      </c>
      <c r="C86" s="7" t="inlineStr">
        <is>
          <t>% da base (Σ = 100%)</t>
        </is>
      </c>
      <c r="D86" s="8" t="inlineStr">
        <is>
          <t>preliminar_produtos[4].pct_alv</t>
        </is>
      </c>
    </row>
    <row r="87">
      <c r="A87" s="5" t="inlineStr">
        <is>
          <t>Produto 4 — Unidades</t>
        </is>
      </c>
      <c r="B87" s="16" t="n">
        <v>4</v>
      </c>
      <c r="C87" s="7" t="inlineStr">
        <is>
          <t>unidades (inteiro &gt; 0)</t>
        </is>
      </c>
      <c r="D87" s="8" t="inlineStr">
        <is>
          <t>preliminar_produtos[4].unidades</t>
        </is>
      </c>
    </row>
    <row r="88">
      <c r="A88" s="5" t="inlineStr">
        <is>
          <t>Produto 4 — Preço de venda</t>
        </is>
      </c>
      <c r="B88" s="12" t="n">
        <v>14815</v>
      </c>
      <c r="C88" s="7" t="inlineStr">
        <is>
          <t>R$/m² privativo fechado (&gt; 0)</t>
        </is>
      </c>
      <c r="D88" s="8" t="inlineStr">
        <is>
          <t>preliminar_produtos[4].preco_venda_m2</t>
        </is>
      </c>
    </row>
    <row r="89">
      <c r="A89" s="13" t="inlineStr">
        <is>
          <t>Produto 5</t>
        </is>
      </c>
    </row>
    <row r="90">
      <c r="A90" s="5" t="inlineStr">
        <is>
          <t>Produto 5 — Nome</t>
        </is>
      </c>
      <c r="B90" s="6" t="inlineStr">
        <is>
          <t>Loja térrea</t>
        </is>
      </c>
      <c r="C90" s="7" t="inlineStr">
        <is>
          <t>texto (até 100)</t>
        </is>
      </c>
      <c r="D90" s="8" t="inlineStr">
        <is>
          <t>preliminar_produtos[5].nome</t>
        </is>
      </c>
    </row>
    <row r="91">
      <c r="A91" s="5" t="inlineStr">
        <is>
          <t>Produto 5 — Tipo</t>
        </is>
      </c>
      <c r="B91" s="6" t="inlineStr">
        <is>
          <t>nao_residencial</t>
        </is>
      </c>
      <c r="C91" s="7" t="inlineStr">
        <is>
          <t>lista: residencial | nao_residencial</t>
        </is>
      </c>
      <c r="D91" s="8" t="inlineStr">
        <is>
          <t>preliminar_produtos[5].tipo</t>
        </is>
      </c>
    </row>
    <row r="92">
      <c r="A92" s="5" t="inlineStr">
        <is>
          <t>Produto 5 — % da base</t>
        </is>
      </c>
      <c r="B92" s="14" t="n">
        <v>0.0769230769</v>
      </c>
      <c r="C92" s="7" t="inlineStr">
        <is>
          <t>% da base (Σ = 100%)</t>
        </is>
      </c>
      <c r="D92" s="8" t="inlineStr">
        <is>
          <t>preliminar_produtos[5].pct_alv</t>
        </is>
      </c>
    </row>
    <row r="93">
      <c r="A93" s="5" t="inlineStr">
        <is>
          <t>Produto 5 — Unidades</t>
        </is>
      </c>
      <c r="B93" s="16" t="n">
        <v>20</v>
      </c>
      <c r="C93" s="7" t="inlineStr">
        <is>
          <t>unidades (inteiro &gt; 0)</t>
        </is>
      </c>
      <c r="D93" s="8" t="inlineStr">
        <is>
          <t>preliminar_produtos[5].unidades</t>
        </is>
      </c>
    </row>
    <row r="94">
      <c r="A94" s="5" t="inlineStr">
        <is>
          <t>Produto 5 — Preço de venda</t>
        </is>
      </c>
      <c r="B94" s="12" t="n">
        <v>15750</v>
      </c>
      <c r="C94" s="7" t="inlineStr">
        <is>
          <t>R$/m² privativo fechado (&gt; 0)</t>
        </is>
      </c>
      <c r="D94" s="8" t="inlineStr">
        <is>
          <t>preliminar_produtos[5].preco_venda_m2</t>
        </is>
      </c>
    </row>
    <row r="95">
      <c r="A95" s="13" t="inlineStr">
        <is>
          <t>Produto 6</t>
        </is>
      </c>
    </row>
    <row r="96">
      <c r="A96" s="5" t="inlineStr">
        <is>
          <t>Produto 6 — Nome</t>
        </is>
      </c>
      <c r="B96" s="6" t="n"/>
      <c r="C96" s="7" t="inlineStr">
        <is>
          <t>texto (até 100)</t>
        </is>
      </c>
      <c r="D96" s="8" t="inlineStr">
        <is>
          <t>preliminar_produtos[6].nome</t>
        </is>
      </c>
    </row>
    <row r="97">
      <c r="A97" s="5" t="inlineStr">
        <is>
          <t>Produto 6 — Tipo</t>
        </is>
      </c>
      <c r="B97" s="6" t="n"/>
      <c r="C97" s="7" t="inlineStr">
        <is>
          <t>lista: residencial | nao_residencial</t>
        </is>
      </c>
      <c r="D97" s="8" t="inlineStr">
        <is>
          <t>preliminar_produtos[6].tipo</t>
        </is>
      </c>
    </row>
    <row r="98">
      <c r="A98" s="5" t="inlineStr">
        <is>
          <t>Produto 6 — % da base</t>
        </is>
      </c>
      <c r="B98" s="14" t="n"/>
      <c r="C98" s="7" t="inlineStr">
        <is>
          <t>% da base (Σ = 100%)</t>
        </is>
      </c>
      <c r="D98" s="8" t="inlineStr">
        <is>
          <t>preliminar_produtos[6].pct_alv</t>
        </is>
      </c>
    </row>
    <row r="99">
      <c r="A99" s="5" t="inlineStr">
        <is>
          <t>Produto 6 — Unidades</t>
        </is>
      </c>
      <c r="B99" s="16" t="n"/>
      <c r="C99" s="7" t="inlineStr">
        <is>
          <t>unidades (inteiro &gt; 0)</t>
        </is>
      </c>
      <c r="D99" s="8" t="inlineStr">
        <is>
          <t>preliminar_produtos[6].unidades</t>
        </is>
      </c>
    </row>
    <row r="100">
      <c r="A100" s="5" t="inlineStr">
        <is>
          <t>Produto 6 — Preço de venda</t>
        </is>
      </c>
      <c r="B100" s="12" t="n"/>
      <c r="C100" s="7" t="inlineStr">
        <is>
          <t>R$/m² privativo fechado (&gt; 0)</t>
        </is>
      </c>
      <c r="D100" s="8" t="inlineStr">
        <is>
          <t>preliminar_produtos[6].preco_venda_m2</t>
        </is>
      </c>
    </row>
    <row r="101">
      <c r="A101" s="13" t="inlineStr">
        <is>
          <t>Produto 7</t>
        </is>
      </c>
    </row>
    <row r="102">
      <c r="A102" s="5" t="inlineStr">
        <is>
          <t>Produto 7 — Nome</t>
        </is>
      </c>
      <c r="B102" s="6" t="n"/>
      <c r="C102" s="7" t="inlineStr">
        <is>
          <t>texto (até 100)</t>
        </is>
      </c>
      <c r="D102" s="8" t="inlineStr">
        <is>
          <t>preliminar_produtos[7].nome</t>
        </is>
      </c>
    </row>
    <row r="103">
      <c r="A103" s="5" t="inlineStr">
        <is>
          <t>Produto 7 — Tipo</t>
        </is>
      </c>
      <c r="B103" s="6" t="n"/>
      <c r="C103" s="7" t="inlineStr">
        <is>
          <t>lista: residencial | nao_residencial</t>
        </is>
      </c>
      <c r="D103" s="8" t="inlineStr">
        <is>
          <t>preliminar_produtos[7].tipo</t>
        </is>
      </c>
    </row>
    <row r="104">
      <c r="A104" s="5" t="inlineStr">
        <is>
          <t>Produto 7 — % da base</t>
        </is>
      </c>
      <c r="B104" s="14" t="n"/>
      <c r="C104" s="7" t="inlineStr">
        <is>
          <t>% da base (Σ = 100%)</t>
        </is>
      </c>
      <c r="D104" s="8" t="inlineStr">
        <is>
          <t>preliminar_produtos[7].pct_alv</t>
        </is>
      </c>
    </row>
    <row r="105">
      <c r="A105" s="5" t="inlineStr">
        <is>
          <t>Produto 7 — Unidades</t>
        </is>
      </c>
      <c r="B105" s="16" t="n"/>
      <c r="C105" s="7" t="inlineStr">
        <is>
          <t>unidades (inteiro &gt; 0)</t>
        </is>
      </c>
      <c r="D105" s="8" t="inlineStr">
        <is>
          <t>preliminar_produtos[7].unidades</t>
        </is>
      </c>
    </row>
    <row r="106">
      <c r="A106" s="5" t="inlineStr">
        <is>
          <t>Produto 7 — Preço de venda</t>
        </is>
      </c>
      <c r="B106" s="12" t="n"/>
      <c r="C106" s="7" t="inlineStr">
        <is>
          <t>R$/m² privativo fechado (&gt; 0)</t>
        </is>
      </c>
      <c r="D106" s="8" t="inlineStr">
        <is>
          <t>preliminar_produtos[7].preco_venda_m2</t>
        </is>
      </c>
    </row>
    <row r="107">
      <c r="A107" s="13" t="inlineStr">
        <is>
          <t>Produto 8</t>
        </is>
      </c>
    </row>
    <row r="108">
      <c r="A108" s="5" t="inlineStr">
        <is>
          <t>Produto 8 — Nome</t>
        </is>
      </c>
      <c r="B108" s="6" t="n"/>
      <c r="C108" s="7" t="inlineStr">
        <is>
          <t>texto (até 100)</t>
        </is>
      </c>
      <c r="D108" s="8" t="inlineStr">
        <is>
          <t>preliminar_produtos[8].nome</t>
        </is>
      </c>
    </row>
    <row r="109">
      <c r="A109" s="5" t="inlineStr">
        <is>
          <t>Produto 8 — Tipo</t>
        </is>
      </c>
      <c r="B109" s="6" t="n"/>
      <c r="C109" s="7" t="inlineStr">
        <is>
          <t>lista: residencial | nao_residencial</t>
        </is>
      </c>
      <c r="D109" s="8" t="inlineStr">
        <is>
          <t>preliminar_produtos[8].tipo</t>
        </is>
      </c>
    </row>
    <row r="110">
      <c r="A110" s="5" t="inlineStr">
        <is>
          <t>Produto 8 — % da base</t>
        </is>
      </c>
      <c r="B110" s="14" t="n"/>
      <c r="C110" s="7" t="inlineStr">
        <is>
          <t>% da base (Σ = 100%)</t>
        </is>
      </c>
      <c r="D110" s="8" t="inlineStr">
        <is>
          <t>preliminar_produtos[8].pct_alv</t>
        </is>
      </c>
    </row>
    <row r="111">
      <c r="A111" s="5" t="inlineStr">
        <is>
          <t>Produto 8 — Unidades</t>
        </is>
      </c>
      <c r="B111" s="16" t="n"/>
      <c r="C111" s="7" t="inlineStr">
        <is>
          <t>unidades (inteiro &gt; 0)</t>
        </is>
      </c>
      <c r="D111" s="8" t="inlineStr">
        <is>
          <t>preliminar_produtos[8].unidades</t>
        </is>
      </c>
    </row>
    <row r="112">
      <c r="A112" s="5" t="inlineStr">
        <is>
          <t>Produto 8 — Preço de venda</t>
        </is>
      </c>
      <c r="B112" s="12" t="n"/>
      <c r="C112" s="7" t="inlineStr">
        <is>
          <t>R$/m² privativo fechado (&gt; 0)</t>
        </is>
      </c>
      <c r="D112" s="8" t="inlineStr">
        <is>
          <t>preliminar_produtos[8].preco_venda_m2</t>
        </is>
      </c>
    </row>
    <row r="113">
      <c r="A113" s="13" t="inlineStr">
        <is>
          <t>Produto 9</t>
        </is>
      </c>
    </row>
    <row r="114">
      <c r="A114" s="5" t="inlineStr">
        <is>
          <t>Produto 9 — Nome</t>
        </is>
      </c>
      <c r="B114" s="6" t="n"/>
      <c r="C114" s="7" t="inlineStr">
        <is>
          <t>texto (até 100)</t>
        </is>
      </c>
      <c r="D114" s="8" t="inlineStr">
        <is>
          <t>preliminar_produtos[9].nome</t>
        </is>
      </c>
    </row>
    <row r="115">
      <c r="A115" s="5" t="inlineStr">
        <is>
          <t>Produto 9 — Tipo</t>
        </is>
      </c>
      <c r="B115" s="6" t="n"/>
      <c r="C115" s="7" t="inlineStr">
        <is>
          <t>lista: residencial | nao_residencial</t>
        </is>
      </c>
      <c r="D115" s="8" t="inlineStr">
        <is>
          <t>preliminar_produtos[9].tipo</t>
        </is>
      </c>
    </row>
    <row r="116">
      <c r="A116" s="5" t="inlineStr">
        <is>
          <t>Produto 9 — % da base</t>
        </is>
      </c>
      <c r="B116" s="14" t="n"/>
      <c r="C116" s="7" t="inlineStr">
        <is>
          <t>% da base (Σ = 100%)</t>
        </is>
      </c>
      <c r="D116" s="8" t="inlineStr">
        <is>
          <t>preliminar_produtos[9].pct_alv</t>
        </is>
      </c>
    </row>
    <row r="117">
      <c r="A117" s="5" t="inlineStr">
        <is>
          <t>Produto 9 — Unidades</t>
        </is>
      </c>
      <c r="B117" s="16" t="n"/>
      <c r="C117" s="7" t="inlineStr">
        <is>
          <t>unidades (inteiro &gt; 0)</t>
        </is>
      </c>
      <c r="D117" s="8" t="inlineStr">
        <is>
          <t>preliminar_produtos[9].unidades</t>
        </is>
      </c>
    </row>
    <row r="118">
      <c r="A118" s="5" t="inlineStr">
        <is>
          <t>Produto 9 — Preço de venda</t>
        </is>
      </c>
      <c r="B118" s="12" t="n"/>
      <c r="C118" s="7" t="inlineStr">
        <is>
          <t>R$/m² privativo fechado (&gt; 0)</t>
        </is>
      </c>
      <c r="D118" s="8" t="inlineStr">
        <is>
          <t>preliminar_produtos[9].preco_venda_m2</t>
        </is>
      </c>
    </row>
    <row r="119">
      <c r="A119" s="13" t="inlineStr">
        <is>
          <t>Produto 10</t>
        </is>
      </c>
    </row>
    <row r="120">
      <c r="A120" s="5" t="inlineStr">
        <is>
          <t>Produto 10 — Nome</t>
        </is>
      </c>
      <c r="B120" s="6" t="n"/>
      <c r="C120" s="7" t="inlineStr">
        <is>
          <t>texto (até 100)</t>
        </is>
      </c>
      <c r="D120" s="8" t="inlineStr">
        <is>
          <t>preliminar_produtos[10].nome</t>
        </is>
      </c>
    </row>
    <row r="121">
      <c r="A121" s="5" t="inlineStr">
        <is>
          <t>Produto 10 — Tipo</t>
        </is>
      </c>
      <c r="B121" s="6" t="n"/>
      <c r="C121" s="7" t="inlineStr">
        <is>
          <t>lista: residencial | nao_residencial</t>
        </is>
      </c>
      <c r="D121" s="8" t="inlineStr">
        <is>
          <t>preliminar_produtos[10].tipo</t>
        </is>
      </c>
    </row>
    <row r="122">
      <c r="A122" s="5" t="inlineStr">
        <is>
          <t>Produto 10 — % da base</t>
        </is>
      </c>
      <c r="B122" s="14" t="n"/>
      <c r="C122" s="7" t="inlineStr">
        <is>
          <t>% da base (Σ = 100%)</t>
        </is>
      </c>
      <c r="D122" s="8" t="inlineStr">
        <is>
          <t>preliminar_produtos[10].pct_alv</t>
        </is>
      </c>
    </row>
    <row r="123">
      <c r="A123" s="5" t="inlineStr">
        <is>
          <t>Produto 10 — Unidades</t>
        </is>
      </c>
      <c r="B123" s="16" t="n"/>
      <c r="C123" s="7" t="inlineStr">
        <is>
          <t>unidades (inteiro &gt; 0)</t>
        </is>
      </c>
      <c r="D123" s="8" t="inlineStr">
        <is>
          <t>preliminar_produtos[10].unidades</t>
        </is>
      </c>
    </row>
    <row r="124">
      <c r="A124" s="5" t="inlineStr">
        <is>
          <t>Produto 10 — Preço de venda</t>
        </is>
      </c>
      <c r="B124" s="12" t="n"/>
      <c r="C124" s="7" t="inlineStr">
        <is>
          <t>R$/m² privativo fechado (&gt; 0)</t>
        </is>
      </c>
      <c r="D124" s="8" t="inlineStr">
        <is>
          <t>preliminar_produtos[10].preco_venda_m2</t>
        </is>
      </c>
    </row>
    <row r="125" ht="20" customHeight="1">
      <c r="A125" s="17" t="inlineStr">
        <is>
          <t>REFERÊNCIA CALCULADA — não preencher (espelha as fórmulas da Proforma do Preliminar)</t>
        </is>
      </c>
    </row>
    <row r="126" ht="26" customHeight="1">
      <c r="A126" s="15" t="inlineStr">
        <is>
          <t>Tudo abaixo é fórmula do Excel sobre o que foi preenchido acima, para conferir a ordem de grandeza. Quando a mesma grandeza foi preenchida em mais de uma unidade, vale a ordem: R$ fixo › R$/m² › % (e o alerta ao final acusa a duplicidade). Diferenças de centavos para o app são arredondamento.</t>
        </is>
      </c>
    </row>
    <row r="127">
      <c r="A127" s="18" t="inlineStr">
        <is>
          <t>Alíquota RET da instância (suposição de referência)</t>
        </is>
      </c>
      <c r="B127" s="19">
        <f>0.04</f>
        <v/>
      </c>
      <c r="C127" s="20" t="inlineStr">
        <is>
          <t>% da receita (parâmetro da instância)</t>
        </is>
      </c>
      <c r="D127" s="21" t="inlineStr">
        <is>
          <t>premissa — conferir o parâmetro da instância</t>
        </is>
      </c>
    </row>
    <row r="128">
      <c r="A128" s="13" t="inlineStr">
        <is>
          <t>Áreas</t>
        </is>
      </c>
    </row>
    <row r="129">
      <c r="A129" s="18" t="inlineStr">
        <is>
          <t>Área do terreno</t>
        </is>
      </c>
      <c r="B129" s="22">
        <f>MAX(0,N($B$13))</f>
        <v/>
      </c>
      <c r="C129" s="20" t="inlineStr">
        <is>
          <t>m²</t>
        </is>
      </c>
      <c r="D129" s="21" t="inlineStr">
        <is>
          <t>calculado</t>
        </is>
      </c>
    </row>
    <row r="130">
      <c r="A130" s="18" t="inlineStr">
        <is>
          <t>Área privativa total (4 áreas privativas)</t>
        </is>
      </c>
      <c r="B130" s="22">
        <f>MAX(0,N($B$17))+MAX(0,N($B$18))+MAX(0,N($B$19))+MAX(0,N($B$20))</f>
        <v/>
      </c>
      <c r="C130" s="20" t="inlineStr">
        <is>
          <t>m²</t>
        </is>
      </c>
      <c r="D130" s="21" t="inlineStr">
        <is>
          <t>calculado</t>
        </is>
      </c>
    </row>
    <row r="131">
      <c r="A131" s="18" t="inlineStr">
        <is>
          <t>Área construída total (privativa + comum)</t>
        </is>
      </c>
      <c r="B131" s="22">
        <f>$B$130+MAX(0,N($B$21))</f>
        <v/>
      </c>
      <c r="C131" s="20" t="inlineStr">
        <is>
          <t>m²</t>
        </is>
      </c>
      <c r="D131" s="21" t="inlineStr">
        <is>
          <t>calculado</t>
        </is>
      </c>
    </row>
    <row r="132">
      <c r="A132" s="18" t="inlineStr">
        <is>
          <t>Área vendável = base dos produtos (privativas fechadas R + NR)</t>
        </is>
      </c>
      <c r="B132" s="22">
        <f>MAX(0,N($B$17))+MAX(0,N($B$19))</f>
        <v/>
      </c>
      <c r="C132" s="20" t="inlineStr">
        <is>
          <t>m²</t>
        </is>
      </c>
      <c r="D132" s="21" t="inlineStr">
        <is>
          <t>calculado</t>
        </is>
      </c>
    </row>
    <row r="133">
      <c r="A133" s="18" t="inlineStr">
        <is>
          <t>Teto de aproveitamento (terreno × coeficiente máximo)</t>
        </is>
      </c>
      <c r="B133" s="22">
        <f>IF(N($B$16)&gt;0,$B$129*$B$16,"")</f>
        <v/>
      </c>
      <c r="C133" s="20" t="inlineStr">
        <is>
          <t>m²</t>
        </is>
      </c>
      <c r="D133" s="21" t="inlineStr">
        <is>
          <t>calculado</t>
        </is>
      </c>
    </row>
    <row r="134">
      <c r="A134" s="18" t="inlineStr">
        <is>
          <t>Uso do teto (área privativa total ÷ teto)</t>
        </is>
      </c>
      <c r="B134" s="19">
        <f>IF(ISNUMBER($B$133),IF($B$133&gt;0,$B$130/$B$133,""),"")</f>
        <v/>
      </c>
      <c r="C134" s="20" t="inlineStr">
        <is>
          <t>% do teto</t>
        </is>
      </c>
      <c r="D134" s="21" t="inlineStr">
        <is>
          <t>calculado</t>
        </is>
      </c>
    </row>
    <row r="135">
      <c r="A135" s="18" t="inlineStr">
        <is>
          <t>Eficiência (área vendável ÷ terreno)</t>
        </is>
      </c>
      <c r="B135" s="19">
        <f>IF($B$129&gt;0,$B$132/$B$129,"")</f>
        <v/>
      </c>
      <c r="C135" s="20" t="inlineStr">
        <is>
          <t>% do terreno</t>
        </is>
      </c>
      <c r="D135" s="21" t="inlineStr">
        <is>
          <t>calculado</t>
        </is>
      </c>
    </row>
    <row r="136">
      <c r="A136" s="13" t="inlineStr">
        <is>
          <t>Produtos (catálogo efetivo = % &gt; 0, unidades &gt; 0, preço &gt; 0)</t>
        </is>
      </c>
    </row>
    <row r="137">
      <c r="A137" s="18" t="inlineStr">
        <is>
          <t>Produto 1 — área total (base × %)</t>
        </is>
      </c>
      <c r="B137" s="22">
        <f>IF(AND($B$132*N($B$68)&gt;0,N($B$69)&gt;0,N($B$70)&gt;0),$B$132*$B$68,0)</f>
        <v/>
      </c>
      <c r="C137" s="20" t="inlineStr">
        <is>
          <t>m²</t>
        </is>
      </c>
      <c r="D137" s="21" t="inlineStr">
        <is>
          <t>calculado</t>
        </is>
      </c>
    </row>
    <row r="138">
      <c r="A138" s="18" t="inlineStr">
        <is>
          <t>Produto 1 — área média por unidade</t>
        </is>
      </c>
      <c r="B138" s="22">
        <f>IF($B$137&gt;0,$B$137/$B$69,"")</f>
        <v/>
      </c>
      <c r="C138" s="20" t="inlineStr">
        <is>
          <t>m²</t>
        </is>
      </c>
      <c r="D138" s="21" t="inlineStr">
        <is>
          <t>calculado</t>
        </is>
      </c>
    </row>
    <row r="139">
      <c r="A139" s="18" t="inlineStr">
        <is>
          <t>Produto 1 — VGV bruto (área total × preço)</t>
        </is>
      </c>
      <c r="B139" s="23">
        <f>$B$137*N($B$70)</f>
        <v/>
      </c>
      <c r="C139" s="20" t="inlineStr">
        <is>
          <t>R$</t>
        </is>
      </c>
      <c r="D139" s="21" t="inlineStr">
        <is>
          <t>calculado</t>
        </is>
      </c>
    </row>
    <row r="140">
      <c r="A140" s="18" t="inlineStr">
        <is>
          <t>Produto 2 — área total (base × %)</t>
        </is>
      </c>
      <c r="B140" s="22">
        <f>IF(AND($B$132*N($B$74)&gt;0,N($B$75)&gt;0,N($B$76)&gt;0),$B$132*$B$74,0)</f>
        <v/>
      </c>
      <c r="C140" s="20" t="inlineStr">
        <is>
          <t>m²</t>
        </is>
      </c>
      <c r="D140" s="21" t="inlineStr">
        <is>
          <t>calculado</t>
        </is>
      </c>
    </row>
    <row r="141">
      <c r="A141" s="18" t="inlineStr">
        <is>
          <t>Produto 2 — área média por unidade</t>
        </is>
      </c>
      <c r="B141" s="22">
        <f>IF($B$140&gt;0,$B$140/$B$75,"")</f>
        <v/>
      </c>
      <c r="C141" s="20" t="inlineStr">
        <is>
          <t>m²</t>
        </is>
      </c>
      <c r="D141" s="21" t="inlineStr">
        <is>
          <t>calculado</t>
        </is>
      </c>
    </row>
    <row r="142">
      <c r="A142" s="18" t="inlineStr">
        <is>
          <t>Produto 2 — VGV bruto (área total × preço)</t>
        </is>
      </c>
      <c r="B142" s="23">
        <f>$B$140*N($B$76)</f>
        <v/>
      </c>
      <c r="C142" s="20" t="inlineStr">
        <is>
          <t>R$</t>
        </is>
      </c>
      <c r="D142" s="21" t="inlineStr">
        <is>
          <t>calculado</t>
        </is>
      </c>
    </row>
    <row r="143">
      <c r="A143" s="18" t="inlineStr">
        <is>
          <t>Produto 3 — área total (base × %)</t>
        </is>
      </c>
      <c r="B143" s="22">
        <f>IF(AND($B$132*N($B$80)&gt;0,N($B$81)&gt;0,N($B$82)&gt;0),$B$132*$B$80,0)</f>
        <v/>
      </c>
      <c r="C143" s="20" t="inlineStr">
        <is>
          <t>m²</t>
        </is>
      </c>
      <c r="D143" s="21" t="inlineStr">
        <is>
          <t>calculado</t>
        </is>
      </c>
    </row>
    <row r="144">
      <c r="A144" s="18" t="inlineStr">
        <is>
          <t>Produto 3 — área média por unidade</t>
        </is>
      </c>
      <c r="B144" s="22">
        <f>IF($B$143&gt;0,$B$143/$B$81,"")</f>
        <v/>
      </c>
      <c r="C144" s="20" t="inlineStr">
        <is>
          <t>m²</t>
        </is>
      </c>
      <c r="D144" s="21" t="inlineStr">
        <is>
          <t>calculado</t>
        </is>
      </c>
    </row>
    <row r="145">
      <c r="A145" s="18" t="inlineStr">
        <is>
          <t>Produto 3 — VGV bruto (área total × preço)</t>
        </is>
      </c>
      <c r="B145" s="23">
        <f>$B$143*N($B$82)</f>
        <v/>
      </c>
      <c r="C145" s="20" t="inlineStr">
        <is>
          <t>R$</t>
        </is>
      </c>
      <c r="D145" s="21" t="inlineStr">
        <is>
          <t>calculado</t>
        </is>
      </c>
    </row>
    <row r="146">
      <c r="A146" s="18" t="inlineStr">
        <is>
          <t>Produto 4 — área total (base × %)</t>
        </is>
      </c>
      <c r="B146" s="22">
        <f>IF(AND($B$132*N($B$86)&gt;0,N($B$87)&gt;0,N($B$88)&gt;0),$B$132*$B$86,0)</f>
        <v/>
      </c>
      <c r="C146" s="20" t="inlineStr">
        <is>
          <t>m²</t>
        </is>
      </c>
      <c r="D146" s="21" t="inlineStr">
        <is>
          <t>calculado</t>
        </is>
      </c>
    </row>
    <row r="147">
      <c r="A147" s="18" t="inlineStr">
        <is>
          <t>Produto 4 — área média por unidade</t>
        </is>
      </c>
      <c r="B147" s="22">
        <f>IF($B$146&gt;0,$B$146/$B$87,"")</f>
        <v/>
      </c>
      <c r="C147" s="20" t="inlineStr">
        <is>
          <t>m²</t>
        </is>
      </c>
      <c r="D147" s="21" t="inlineStr">
        <is>
          <t>calculado</t>
        </is>
      </c>
    </row>
    <row r="148">
      <c r="A148" s="18" t="inlineStr">
        <is>
          <t>Produto 4 — VGV bruto (área total × preço)</t>
        </is>
      </c>
      <c r="B148" s="23">
        <f>$B$146*N($B$88)</f>
        <v/>
      </c>
      <c r="C148" s="20" t="inlineStr">
        <is>
          <t>R$</t>
        </is>
      </c>
      <c r="D148" s="21" t="inlineStr">
        <is>
          <t>calculado</t>
        </is>
      </c>
    </row>
    <row r="149">
      <c r="A149" s="18" t="inlineStr">
        <is>
          <t>Produto 5 — área total (base × %)</t>
        </is>
      </c>
      <c r="B149" s="22">
        <f>IF(AND($B$132*N($B$92)&gt;0,N($B$93)&gt;0,N($B$94)&gt;0),$B$132*$B$92,0)</f>
        <v/>
      </c>
      <c r="C149" s="20" t="inlineStr">
        <is>
          <t>m²</t>
        </is>
      </c>
      <c r="D149" s="21" t="inlineStr">
        <is>
          <t>calculado</t>
        </is>
      </c>
    </row>
    <row r="150">
      <c r="A150" s="18" t="inlineStr">
        <is>
          <t>Produto 5 — área média por unidade</t>
        </is>
      </c>
      <c r="B150" s="22">
        <f>IF($B$149&gt;0,$B$149/$B$93,"")</f>
        <v/>
      </c>
      <c r="C150" s="20" t="inlineStr">
        <is>
          <t>m²</t>
        </is>
      </c>
      <c r="D150" s="21" t="inlineStr">
        <is>
          <t>calculado</t>
        </is>
      </c>
    </row>
    <row r="151">
      <c r="A151" s="18" t="inlineStr">
        <is>
          <t>Produto 5 — VGV bruto (área total × preço)</t>
        </is>
      </c>
      <c r="B151" s="23">
        <f>$B$149*N($B$94)</f>
        <v/>
      </c>
      <c r="C151" s="20" t="inlineStr">
        <is>
          <t>R$</t>
        </is>
      </c>
      <c r="D151" s="21" t="inlineStr">
        <is>
          <t>calculado</t>
        </is>
      </c>
    </row>
    <row r="152">
      <c r="A152" s="18" t="inlineStr">
        <is>
          <t>Produto 6 — área total (base × %)</t>
        </is>
      </c>
      <c r="B152" s="22">
        <f>IF(AND($B$132*N($B$98)&gt;0,N($B$99)&gt;0,N($B$100)&gt;0),$B$132*$B$98,0)</f>
        <v/>
      </c>
      <c r="C152" s="20" t="inlineStr">
        <is>
          <t>m²</t>
        </is>
      </c>
      <c r="D152" s="21" t="inlineStr">
        <is>
          <t>calculado</t>
        </is>
      </c>
    </row>
    <row r="153">
      <c r="A153" s="18" t="inlineStr">
        <is>
          <t>Produto 6 — área média por unidade</t>
        </is>
      </c>
      <c r="B153" s="22">
        <f>IF($B$152&gt;0,$B$152/$B$99,"")</f>
        <v/>
      </c>
      <c r="C153" s="20" t="inlineStr">
        <is>
          <t>m²</t>
        </is>
      </c>
      <c r="D153" s="21" t="inlineStr">
        <is>
          <t>calculado</t>
        </is>
      </c>
    </row>
    <row r="154">
      <c r="A154" s="18" t="inlineStr">
        <is>
          <t>Produto 6 — VGV bruto (área total × preço)</t>
        </is>
      </c>
      <c r="B154" s="23">
        <f>$B$152*N($B$100)</f>
        <v/>
      </c>
      <c r="C154" s="20" t="inlineStr">
        <is>
          <t>R$</t>
        </is>
      </c>
      <c r="D154" s="21" t="inlineStr">
        <is>
          <t>calculado</t>
        </is>
      </c>
    </row>
    <row r="155">
      <c r="A155" s="18" t="inlineStr">
        <is>
          <t>Produto 7 — área total (base × %)</t>
        </is>
      </c>
      <c r="B155" s="22">
        <f>IF(AND($B$132*N($B$104)&gt;0,N($B$105)&gt;0,N($B$106)&gt;0),$B$132*$B$104,0)</f>
        <v/>
      </c>
      <c r="C155" s="20" t="inlineStr">
        <is>
          <t>m²</t>
        </is>
      </c>
      <c r="D155" s="21" t="inlineStr">
        <is>
          <t>calculado</t>
        </is>
      </c>
    </row>
    <row r="156">
      <c r="A156" s="18" t="inlineStr">
        <is>
          <t>Produto 7 — área média por unidade</t>
        </is>
      </c>
      <c r="B156" s="22">
        <f>IF($B$155&gt;0,$B$155/$B$105,"")</f>
        <v/>
      </c>
      <c r="C156" s="20" t="inlineStr">
        <is>
          <t>m²</t>
        </is>
      </c>
      <c r="D156" s="21" t="inlineStr">
        <is>
          <t>calculado</t>
        </is>
      </c>
    </row>
    <row r="157">
      <c r="A157" s="18" t="inlineStr">
        <is>
          <t>Produto 7 — VGV bruto (área total × preço)</t>
        </is>
      </c>
      <c r="B157" s="23">
        <f>$B$155*N($B$106)</f>
        <v/>
      </c>
      <c r="C157" s="20" t="inlineStr">
        <is>
          <t>R$</t>
        </is>
      </c>
      <c r="D157" s="21" t="inlineStr">
        <is>
          <t>calculado</t>
        </is>
      </c>
    </row>
    <row r="158">
      <c r="A158" s="18" t="inlineStr">
        <is>
          <t>Produto 8 — área total (base × %)</t>
        </is>
      </c>
      <c r="B158" s="22">
        <f>IF(AND($B$132*N($B$110)&gt;0,N($B$111)&gt;0,N($B$112)&gt;0),$B$132*$B$110,0)</f>
        <v/>
      </c>
      <c r="C158" s="20" t="inlineStr">
        <is>
          <t>m²</t>
        </is>
      </c>
      <c r="D158" s="21" t="inlineStr">
        <is>
          <t>calculado</t>
        </is>
      </c>
    </row>
    <row r="159">
      <c r="A159" s="18" t="inlineStr">
        <is>
          <t>Produto 8 — área média por unidade</t>
        </is>
      </c>
      <c r="B159" s="22">
        <f>IF($B$158&gt;0,$B$158/$B$111,"")</f>
        <v/>
      </c>
      <c r="C159" s="20" t="inlineStr">
        <is>
          <t>m²</t>
        </is>
      </c>
      <c r="D159" s="21" t="inlineStr">
        <is>
          <t>calculado</t>
        </is>
      </c>
    </row>
    <row r="160">
      <c r="A160" s="18" t="inlineStr">
        <is>
          <t>Produto 8 — VGV bruto (área total × preço)</t>
        </is>
      </c>
      <c r="B160" s="23">
        <f>$B$158*N($B$112)</f>
        <v/>
      </c>
      <c r="C160" s="20" t="inlineStr">
        <is>
          <t>R$</t>
        </is>
      </c>
      <c r="D160" s="21" t="inlineStr">
        <is>
          <t>calculado</t>
        </is>
      </c>
    </row>
    <row r="161">
      <c r="A161" s="18" t="inlineStr">
        <is>
          <t>Produto 9 — área total (base × %)</t>
        </is>
      </c>
      <c r="B161" s="22">
        <f>IF(AND($B$132*N($B$116)&gt;0,N($B$117)&gt;0,N($B$118)&gt;0),$B$132*$B$116,0)</f>
        <v/>
      </c>
      <c r="C161" s="20" t="inlineStr">
        <is>
          <t>m²</t>
        </is>
      </c>
      <c r="D161" s="21" t="inlineStr">
        <is>
          <t>calculado</t>
        </is>
      </c>
    </row>
    <row r="162">
      <c r="A162" s="18" t="inlineStr">
        <is>
          <t>Produto 9 — área média por unidade</t>
        </is>
      </c>
      <c r="B162" s="22">
        <f>IF($B$161&gt;0,$B$161/$B$117,"")</f>
        <v/>
      </c>
      <c r="C162" s="20" t="inlineStr">
        <is>
          <t>m²</t>
        </is>
      </c>
      <c r="D162" s="21" t="inlineStr">
        <is>
          <t>calculado</t>
        </is>
      </c>
    </row>
    <row r="163">
      <c r="A163" s="18" t="inlineStr">
        <is>
          <t>Produto 9 — VGV bruto (área total × preço)</t>
        </is>
      </c>
      <c r="B163" s="23">
        <f>$B$161*N($B$118)</f>
        <v/>
      </c>
      <c r="C163" s="20" t="inlineStr">
        <is>
          <t>R$</t>
        </is>
      </c>
      <c r="D163" s="21" t="inlineStr">
        <is>
          <t>calculado</t>
        </is>
      </c>
    </row>
    <row r="164">
      <c r="A164" s="18" t="inlineStr">
        <is>
          <t>Produto 10 — área total (base × %)</t>
        </is>
      </c>
      <c r="B164" s="22">
        <f>IF(AND($B$132*N($B$122)&gt;0,N($B$123)&gt;0,N($B$124)&gt;0),$B$132*$B$122,0)</f>
        <v/>
      </c>
      <c r="C164" s="20" t="inlineStr">
        <is>
          <t>m²</t>
        </is>
      </c>
      <c r="D164" s="21" t="inlineStr">
        <is>
          <t>calculado</t>
        </is>
      </c>
    </row>
    <row r="165">
      <c r="A165" s="18" t="inlineStr">
        <is>
          <t>Produto 10 — área média por unidade</t>
        </is>
      </c>
      <c r="B165" s="22">
        <f>IF($B$164&gt;0,$B$164/$B$123,"")</f>
        <v/>
      </c>
      <c r="C165" s="20" t="inlineStr">
        <is>
          <t>m²</t>
        </is>
      </c>
      <c r="D165" s="21" t="inlineStr">
        <is>
          <t>calculado</t>
        </is>
      </c>
    </row>
    <row r="166">
      <c r="A166" s="18" t="inlineStr">
        <is>
          <t>Produto 10 — VGV bruto (área total × preço)</t>
        </is>
      </c>
      <c r="B166" s="23">
        <f>$B$164*N($B$124)</f>
        <v/>
      </c>
      <c r="C166" s="20" t="inlineStr">
        <is>
          <t>R$</t>
        </is>
      </c>
      <c r="D166" s="21" t="inlineStr">
        <is>
          <t>calculado</t>
        </is>
      </c>
    </row>
    <row r="167">
      <c r="A167" s="18" t="inlineStr">
        <is>
          <t>Σ % da base dos produtos (deve ser 100%)</t>
        </is>
      </c>
      <c r="B167" s="19">
        <f>SUM($B$68,$B$74,$B$80,$B$86,$B$92,$B$98,$B$104,$B$110,$B$116,$B$122)</f>
        <v/>
      </c>
      <c r="C167" s="20" t="inlineStr">
        <is>
          <t>%</t>
        </is>
      </c>
      <c r="D167" s="21" t="inlineStr">
        <is>
          <t>calculado</t>
        </is>
      </c>
    </row>
    <row r="168">
      <c r="A168" s="18" t="inlineStr">
        <is>
          <t>VGV bruto residencial</t>
        </is>
      </c>
      <c r="B168" s="23">
        <f>IF($B$67&lt;&gt;"nao_residencial",$B$139,0)+IF($B$73&lt;&gt;"nao_residencial",$B$142,0)+IF($B$79&lt;&gt;"nao_residencial",$B$145,0)+IF($B$85&lt;&gt;"nao_residencial",$B$148,0)+IF($B$91&lt;&gt;"nao_residencial",$B$151,0)+IF($B$97&lt;&gt;"nao_residencial",$B$154,0)+IF($B$103&lt;&gt;"nao_residencial",$B$157,0)+IF($B$109&lt;&gt;"nao_residencial",$B$160,0)+IF($B$115&lt;&gt;"nao_residencial",$B$163,0)+IF($B$121&lt;&gt;"nao_residencial",$B$166,0)</f>
        <v/>
      </c>
      <c r="C168" s="20" t="inlineStr">
        <is>
          <t>R$</t>
        </is>
      </c>
      <c r="D168" s="21" t="inlineStr">
        <is>
          <t>calculado</t>
        </is>
      </c>
    </row>
    <row r="169">
      <c r="A169" s="18" t="inlineStr">
        <is>
          <t>Área do catálogo residencial</t>
        </is>
      </c>
      <c r="B169" s="22">
        <f>IF($B$67&lt;&gt;"nao_residencial",$B$137,0)+IF($B$73&lt;&gt;"nao_residencial",$B$140,0)+IF($B$79&lt;&gt;"nao_residencial",$B$143,0)+IF($B$85&lt;&gt;"nao_residencial",$B$146,0)+IF($B$91&lt;&gt;"nao_residencial",$B$149,0)+IF($B$97&lt;&gt;"nao_residencial",$B$152,0)+IF($B$103&lt;&gt;"nao_residencial",$B$155,0)+IF($B$109&lt;&gt;"nao_residencial",$B$158,0)+IF($B$115&lt;&gt;"nao_residencial",$B$161,0)+IF($B$121&lt;&gt;"nao_residencial",$B$164,0)</f>
        <v/>
      </c>
      <c r="C169" s="20" t="inlineStr">
        <is>
          <t>m²</t>
        </is>
      </c>
      <c r="D169" s="21" t="inlineStr">
        <is>
          <t>calculado</t>
        </is>
      </c>
    </row>
    <row r="170">
      <c r="A170" s="18" t="inlineStr">
        <is>
          <t>VGV bruto não residencial</t>
        </is>
      </c>
      <c r="B170" s="23">
        <f>IF($B$67="nao_residencial",$B$139,0)+IF($B$73="nao_residencial",$B$142,0)+IF($B$79="nao_residencial",$B$145,0)+IF($B$85="nao_residencial",$B$148,0)+IF($B$91="nao_residencial",$B$151,0)+IF($B$97="nao_residencial",$B$154,0)+IF($B$103="nao_residencial",$B$157,0)+IF($B$109="nao_residencial",$B$160,0)+IF($B$115="nao_residencial",$B$163,0)+IF($B$121="nao_residencial",$B$166,0)</f>
        <v/>
      </c>
      <c r="C170" s="20" t="inlineStr">
        <is>
          <t>R$</t>
        </is>
      </c>
      <c r="D170" s="21" t="inlineStr">
        <is>
          <t>calculado</t>
        </is>
      </c>
    </row>
    <row r="171">
      <c r="A171" s="18" t="inlineStr">
        <is>
          <t>Área do catálogo não residencial</t>
        </is>
      </c>
      <c r="B171" s="22">
        <f>IF($B$67="nao_residencial",$B$137,0)+IF($B$73="nao_residencial",$B$140,0)+IF($B$79="nao_residencial",$B$143,0)+IF($B$85="nao_residencial",$B$146,0)+IF($B$91="nao_residencial",$B$149,0)+IF($B$97="nao_residencial",$B$152,0)+IF($B$103="nao_residencial",$B$155,0)+IF($B$109="nao_residencial",$B$158,0)+IF($B$115="nao_residencial",$B$161,0)+IF($B$121="nao_residencial",$B$164,0)</f>
        <v/>
      </c>
      <c r="C171" s="20" t="inlineStr">
        <is>
          <t>m²</t>
        </is>
      </c>
      <c r="D171" s="21" t="inlineStr">
        <is>
          <t>calculado</t>
        </is>
      </c>
    </row>
    <row r="172">
      <c r="A172" s="18" t="inlineStr">
        <is>
          <t>Nº de unidades do catálogo (linhas efetivas)</t>
        </is>
      </c>
      <c r="B172" s="24">
        <f>IF($B$137&gt;0,N($B$69),0)+IF($B$140&gt;0,N($B$75),0)+IF($B$143&gt;0,N($B$81),0)+IF($B$146&gt;0,N($B$87),0)+IF($B$149&gt;0,N($B$93),0)+IF($B$152&gt;0,N($B$99),0)+IF($B$155&gt;0,N($B$105),0)+IF($B$158&gt;0,N($B$111),0)+IF($B$161&gt;0,N($B$117),0)+IF($B$164&gt;0,N($B$123),0)</f>
        <v/>
      </c>
      <c r="C172" s="20" t="inlineStr">
        <is>
          <t>unidades</t>
        </is>
      </c>
      <c r="D172" s="21" t="inlineStr">
        <is>
          <t>calculado</t>
        </is>
      </c>
    </row>
    <row r="173">
      <c r="A173" s="13" t="inlineStr">
        <is>
          <t>Permutas</t>
        </is>
      </c>
    </row>
    <row r="174">
      <c r="A174" s="18" t="inlineStr">
        <is>
          <t>Permuta física residencial — área entregue</t>
        </is>
      </c>
      <c r="B174" s="22">
        <f>MAX(0,IF($B$48&lt;&gt;"",$B$48,IF($B$49&lt;&gt;"",$B$169*$B$49,0)))</f>
        <v/>
      </c>
      <c r="C174" s="20" t="inlineStr">
        <is>
          <t>m²</t>
        </is>
      </c>
      <c r="D174" s="21" t="inlineStr">
        <is>
          <t>calculado</t>
        </is>
      </c>
    </row>
    <row r="175">
      <c r="A175" s="18" t="inlineStr">
        <is>
          <t>Preço médio do catálogo residencial</t>
        </is>
      </c>
      <c r="B175" s="23">
        <f>IF($B$169&gt;0,$B$168/$B$169,0)</f>
        <v/>
      </c>
      <c r="C175" s="20" t="inlineStr">
        <is>
          <t>R$/m²</t>
        </is>
      </c>
      <c r="D175" s="21" t="inlineStr">
        <is>
          <t>calculado</t>
        </is>
      </c>
    </row>
    <row r="176">
      <c r="A176" s="18" t="inlineStr">
        <is>
          <t>VGV da permuta física residencial (limitado ao VGV bruto)</t>
        </is>
      </c>
      <c r="B176" s="23">
        <f>MIN($B$174*$B$175,$B$168)</f>
        <v/>
      </c>
      <c r="C176" s="20" t="inlineStr">
        <is>
          <t>R$</t>
        </is>
      </c>
      <c r="D176" s="21" t="inlineStr">
        <is>
          <t>calculado</t>
        </is>
      </c>
    </row>
    <row r="177">
      <c r="A177" s="18" t="inlineStr">
        <is>
          <t>Permuta física não residencial — área entregue</t>
        </is>
      </c>
      <c r="B177" s="22">
        <f>MAX(0,IF($B$54&lt;&gt;"",$B$54,IF($B$55&lt;&gt;"",$B$171*$B$55,0)))</f>
        <v/>
      </c>
      <c r="C177" s="20" t="inlineStr">
        <is>
          <t>m²</t>
        </is>
      </c>
      <c r="D177" s="21" t="inlineStr">
        <is>
          <t>calculado</t>
        </is>
      </c>
    </row>
    <row r="178">
      <c r="A178" s="18" t="inlineStr">
        <is>
          <t>Preço médio do catálogo não residencial</t>
        </is>
      </c>
      <c r="B178" s="23">
        <f>IF($B$171&gt;0,$B$170/$B$171,0)</f>
        <v/>
      </c>
      <c r="C178" s="20" t="inlineStr">
        <is>
          <t>R$/m²</t>
        </is>
      </c>
      <c r="D178" s="21" t="inlineStr">
        <is>
          <t>calculado</t>
        </is>
      </c>
    </row>
    <row r="179">
      <c r="A179" s="18" t="inlineStr">
        <is>
          <t>VGV da permuta física não residencial (limitado ao VGV bruto)</t>
        </is>
      </c>
      <c r="B179" s="23">
        <f>MIN($B$177*$B$178,$B$170)</f>
        <v/>
      </c>
      <c r="C179" s="20" t="inlineStr">
        <is>
          <t>R$</t>
        </is>
      </c>
      <c r="D179" s="21" t="inlineStr">
        <is>
          <t>calculado</t>
        </is>
      </c>
    </row>
    <row r="180">
      <c r="A180" s="18" t="inlineStr">
        <is>
          <t>VGV residencial (bruto − permuta física)</t>
        </is>
      </c>
      <c r="B180" s="23">
        <f>$B$168-$B$176</f>
        <v/>
      </c>
      <c r="C180" s="20" t="inlineStr">
        <is>
          <t>R$</t>
        </is>
      </c>
      <c r="D180" s="21" t="inlineStr">
        <is>
          <t>calculado</t>
        </is>
      </c>
    </row>
    <row r="181">
      <c r="A181" s="18" t="inlineStr">
        <is>
          <t>VGV não residencial (bruto − permuta física)</t>
        </is>
      </c>
      <c r="B181" s="23">
        <f>$B$170-$B$179</f>
        <v/>
      </c>
      <c r="C181" s="20" t="inlineStr">
        <is>
          <t>R$</t>
        </is>
      </c>
      <c r="D181" s="21" t="inlineStr">
        <is>
          <t>calculado</t>
        </is>
      </c>
    </row>
    <row r="182">
      <c r="A182" s="18" t="inlineStr">
        <is>
          <t>VGV (receita bruta do incorporador)</t>
        </is>
      </c>
      <c r="B182" s="23">
        <f>$B$180+$B$181</f>
        <v/>
      </c>
      <c r="C182" s="20" t="inlineStr">
        <is>
          <t>R$</t>
        </is>
      </c>
      <c r="D182" s="21" t="inlineStr">
        <is>
          <t>calculado</t>
        </is>
      </c>
    </row>
    <row r="183">
      <c r="A183" s="18" t="inlineStr">
        <is>
          <t>Área total permutada fisicamente</t>
        </is>
      </c>
      <c r="B183" s="22">
        <f>$B$174+$B$177</f>
        <v/>
      </c>
      <c r="C183" s="20" t="inlineStr">
        <is>
          <t>m²</t>
        </is>
      </c>
      <c r="D183" s="21" t="inlineStr">
        <is>
          <t>calculado</t>
        </is>
      </c>
    </row>
    <row r="184">
      <c r="A184" s="18" t="inlineStr">
        <is>
          <t>Área vendável líquida (vendável − permuta física)</t>
        </is>
      </c>
      <c r="B184" s="22">
        <f>$B$132-$B$183</f>
        <v/>
      </c>
      <c r="C184" s="20" t="inlineStr">
        <is>
          <t>m²</t>
        </is>
      </c>
      <c r="D184" s="21" t="inlineStr">
        <is>
          <t>calculado</t>
        </is>
      </c>
    </row>
    <row r="185">
      <c r="A185" s="18" t="inlineStr">
        <is>
          <t>Permuta financeira residencial</t>
        </is>
      </c>
      <c r="B185" s="23">
        <f>IF($B$52&lt;&gt;"",$B$52,$B$180*N($B$51))</f>
        <v/>
      </c>
      <c r="C185" s="20" t="inlineStr">
        <is>
          <t>R$</t>
        </is>
      </c>
      <c r="D185" s="21" t="inlineStr">
        <is>
          <t>calculado</t>
        </is>
      </c>
    </row>
    <row r="186">
      <c r="A186" s="18" t="inlineStr">
        <is>
          <t>Permuta financeira não residencial</t>
        </is>
      </c>
      <c r="B186" s="23">
        <f>IF($B$58&lt;&gt;"",$B$58,$B$181*N($B$57))</f>
        <v/>
      </c>
      <c r="C186" s="20" t="inlineStr">
        <is>
          <t>R$</t>
        </is>
      </c>
      <c r="D186" s="21" t="inlineStr">
        <is>
          <t>calculado</t>
        </is>
      </c>
    </row>
    <row r="187">
      <c r="A187" s="13" t="inlineStr">
        <is>
          <t>Deduções da receita</t>
        </is>
      </c>
    </row>
    <row r="188">
      <c r="A188" s="18" t="inlineStr">
        <is>
          <t>Alíquota de imposto aplicada</t>
        </is>
      </c>
      <c r="B188" s="19">
        <f>IF($B$42="Sim",$B$127,N($B$43))</f>
        <v/>
      </c>
      <c r="C188" s="20" t="inlineStr">
        <is>
          <t>% do VGV</t>
        </is>
      </c>
      <c r="D188" s="21" t="inlineStr">
        <is>
          <t>calculado</t>
        </is>
      </c>
    </row>
    <row r="189">
      <c r="A189" s="18" t="inlineStr">
        <is>
          <t>Imposto</t>
        </is>
      </c>
      <c r="B189" s="23">
        <f>$B$182*$B$188</f>
        <v/>
      </c>
      <c r="C189" s="20" t="inlineStr">
        <is>
          <t>R$</t>
        </is>
      </c>
      <c r="D189" s="21" t="inlineStr">
        <is>
          <t>calculado</t>
        </is>
      </c>
    </row>
    <row r="190">
      <c r="A190" s="18" t="inlineStr">
        <is>
          <t>Corretagem</t>
        </is>
      </c>
      <c r="B190" s="23">
        <f>$B$182*N($B$44)</f>
        <v/>
      </c>
      <c r="C190" s="20" t="inlineStr">
        <is>
          <t>R$</t>
        </is>
      </c>
      <c r="D190" s="21" t="inlineStr">
        <is>
          <t>calculado</t>
        </is>
      </c>
    </row>
    <row r="191">
      <c r="A191" s="18" t="inlineStr">
        <is>
          <t>Marketing</t>
        </is>
      </c>
      <c r="B191" s="23">
        <f>$B$182*N($B$45)</f>
        <v/>
      </c>
      <c r="C191" s="20" t="inlineStr">
        <is>
          <t>R$</t>
        </is>
      </c>
      <c r="D191" s="21" t="inlineStr">
        <is>
          <t>calculado</t>
        </is>
      </c>
    </row>
    <row r="192">
      <c r="A192" s="18" t="inlineStr">
        <is>
          <t>Receita líquida (VGV − deduções)</t>
        </is>
      </c>
      <c r="B192" s="23">
        <f>$B$182-$B$189-$B$190-$B$191-($B$185+$B$186)</f>
        <v/>
      </c>
      <c r="C192" s="20" t="inlineStr">
        <is>
          <t>R$</t>
        </is>
      </c>
      <c r="D192" s="21" t="inlineStr">
        <is>
          <t>calculado</t>
        </is>
      </c>
    </row>
    <row r="193">
      <c r="A193" s="13" t="inlineStr">
        <is>
          <t>Custos diretos</t>
        </is>
      </c>
    </row>
    <row r="194">
      <c r="A194" s="18" t="inlineStr">
        <is>
          <t>Custo do terreno</t>
        </is>
      </c>
      <c r="B194" s="23">
        <f>IF($B$24="Não",0,N($B$27)*$B$129)</f>
        <v/>
      </c>
      <c r="C194" s="20" t="inlineStr">
        <is>
          <t>R$</t>
        </is>
      </c>
      <c r="D194" s="21" t="inlineStr">
        <is>
          <t>calculado</t>
        </is>
      </c>
    </row>
    <row r="195">
      <c r="A195" s="18" t="inlineStr">
        <is>
          <t>Construção</t>
        </is>
      </c>
      <c r="B195" s="23">
        <f>IF($B$30&lt;&gt;"",$B$30,N($B$29)*$B$130)</f>
        <v/>
      </c>
      <c r="C195" s="20" t="inlineStr">
        <is>
          <t>R$</t>
        </is>
      </c>
      <c r="D195" s="21" t="inlineStr">
        <is>
          <t>calculado</t>
        </is>
      </c>
    </row>
    <row r="196">
      <c r="A196" s="18" t="inlineStr">
        <is>
          <t>Decoração</t>
        </is>
      </c>
      <c r="B196" s="23">
        <f>N($B$36)*$B$130</f>
        <v/>
      </c>
      <c r="C196" s="20" t="inlineStr">
        <is>
          <t>R$</t>
        </is>
      </c>
      <c r="D196" s="21" t="inlineStr">
        <is>
          <t>calculado</t>
        </is>
      </c>
    </row>
    <row r="197">
      <c r="A197" s="18" t="inlineStr">
        <is>
          <t>Gestão da construção</t>
        </is>
      </c>
      <c r="B197" s="23">
        <f>($B$195+$B$196)*N($B$37)</f>
        <v/>
      </c>
      <c r="C197" s="20" t="inlineStr">
        <is>
          <t>R$</t>
        </is>
      </c>
      <c r="D197" s="21" t="inlineStr">
        <is>
          <t>calculado</t>
        </is>
      </c>
    </row>
    <row r="198">
      <c r="A198" s="18" t="inlineStr">
        <is>
          <t>Custo de obras (construção + decoração + gestão)</t>
        </is>
      </c>
      <c r="B198" s="23">
        <f>$B$195+$B$196+$B$197</f>
        <v/>
      </c>
      <c r="C198" s="20" t="inlineStr">
        <is>
          <t>R$</t>
        </is>
      </c>
      <c r="D198" s="21" t="inlineStr">
        <is>
          <t>calculado</t>
        </is>
      </c>
    </row>
    <row r="199">
      <c r="A199" s="18" t="inlineStr">
        <is>
          <t>Projetos</t>
        </is>
      </c>
      <c r="B199" s="23">
        <f>IF($B$33&lt;&gt;"",$B$33,IF($B$34&lt;&gt;"",$B$198*$B$34,$B$182*N($B$32)))</f>
        <v/>
      </c>
      <c r="C199" s="20" t="inlineStr">
        <is>
          <t>R$</t>
        </is>
      </c>
      <c r="D199" s="21" t="inlineStr">
        <is>
          <t>calculado</t>
        </is>
      </c>
    </row>
    <row r="200">
      <c r="A200" s="18" t="inlineStr">
        <is>
          <t>Incorporação e registro</t>
        </is>
      </c>
      <c r="B200" s="23">
        <f>$B$182*N($B$38)</f>
        <v/>
      </c>
      <c r="C200" s="20" t="inlineStr">
        <is>
          <t>R$</t>
        </is>
      </c>
      <c r="D200" s="21" t="inlineStr">
        <is>
          <t>calculado</t>
        </is>
      </c>
    </row>
    <row r="201">
      <c r="A201" s="18" t="inlineStr">
        <is>
          <t>Manutenção pós-obra</t>
        </is>
      </c>
      <c r="B201" s="23">
        <f>$B$182*N($B$39)</f>
        <v/>
      </c>
      <c r="C201" s="20" t="inlineStr">
        <is>
          <t>R$</t>
        </is>
      </c>
      <c r="D201" s="21" t="inlineStr">
        <is>
          <t>calculado</t>
        </is>
      </c>
    </row>
    <row r="202">
      <c r="A202" s="18" t="inlineStr">
        <is>
          <t>Contingências</t>
        </is>
      </c>
      <c r="B202" s="23">
        <f>IF($B$26="Não",0,$B$182*N($B$40))</f>
        <v/>
      </c>
      <c r="C202" s="20" t="inlineStr">
        <is>
          <t>R$</t>
        </is>
      </c>
      <c r="D202" s="21" t="inlineStr">
        <is>
          <t>calculado</t>
        </is>
      </c>
    </row>
    <row r="203">
      <c r="A203" s="18" t="inlineStr">
        <is>
          <t>Custo direto total</t>
        </is>
      </c>
      <c r="B203" s="23">
        <f>$B$194+$B$199+$B$201+$B$202+$B$195+$B$197+$B$196+$B$200</f>
        <v/>
      </c>
      <c r="C203" s="20" t="inlineStr">
        <is>
          <t>R$</t>
        </is>
      </c>
      <c r="D203" s="21" t="inlineStr">
        <is>
          <t>calculado</t>
        </is>
      </c>
    </row>
    <row r="204">
      <c r="A204" s="13" t="inlineStr">
        <is>
          <t>Custos indiretos e resultado</t>
        </is>
      </c>
    </row>
    <row r="205">
      <c r="A205" s="18" t="inlineStr">
        <is>
          <t>Gestão e outros custos indiretos</t>
        </is>
      </c>
      <c r="B205" s="23">
        <f>IF($B$25="Não",0,$B$182*N($B$41))</f>
        <v/>
      </c>
      <c r="C205" s="20" t="inlineStr">
        <is>
          <t>R$</t>
        </is>
      </c>
      <c r="D205" s="21" t="inlineStr">
        <is>
          <t>calculado</t>
        </is>
      </c>
    </row>
    <row r="206">
      <c r="A206" s="18" t="inlineStr">
        <is>
          <t>Custo indireto total</t>
        </is>
      </c>
      <c r="B206" s="23">
        <f>$B$205</f>
        <v/>
      </c>
      <c r="C206" s="20" t="inlineStr">
        <is>
          <t>R$</t>
        </is>
      </c>
      <c r="D206" s="21" t="inlineStr">
        <is>
          <t>calculado</t>
        </is>
      </c>
    </row>
    <row r="207">
      <c r="A207" s="18" t="inlineStr">
        <is>
          <t>Receita operacional (receita líquida − custo direto)</t>
        </is>
      </c>
      <c r="B207" s="23">
        <f>$B$192-$B$203</f>
        <v/>
      </c>
      <c r="C207" s="20" t="inlineStr">
        <is>
          <t>R$</t>
        </is>
      </c>
      <c r="D207" s="21" t="inlineStr">
        <is>
          <t>calculado</t>
        </is>
      </c>
    </row>
    <row r="208">
      <c r="A208" s="18" t="inlineStr">
        <is>
          <t>RESULTADO</t>
        </is>
      </c>
      <c r="B208" s="23">
        <f>$B$207-$B$206</f>
        <v/>
      </c>
      <c r="C208" s="20" t="inlineStr">
        <is>
          <t>R$</t>
        </is>
      </c>
      <c r="D208" s="21" t="inlineStr">
        <is>
          <t>calculado</t>
        </is>
      </c>
    </row>
    <row r="209">
      <c r="A209" s="18" t="inlineStr">
        <is>
          <t>Margem sobre VGV</t>
        </is>
      </c>
      <c r="B209" s="19">
        <f>IF($B$182&gt;0,$B$208/$B$182,"")</f>
        <v/>
      </c>
      <c r="C209" s="20" t="inlineStr">
        <is>
          <t>% do VGV</t>
        </is>
      </c>
      <c r="D209" s="21" t="inlineStr">
        <is>
          <t>calculado</t>
        </is>
      </c>
    </row>
    <row r="210">
      <c r="A210" s="18" t="inlineStr">
        <is>
          <t>Custo de obras ÷ VGV</t>
        </is>
      </c>
      <c r="B210" s="19">
        <f>IF($B$182&gt;0,$B$198/$B$182,"")</f>
        <v/>
      </c>
      <c r="C210" s="20" t="inlineStr">
        <is>
          <t>% do VGV</t>
        </is>
      </c>
      <c r="D210" s="21" t="inlineStr">
        <is>
          <t>calculado</t>
        </is>
      </c>
    </row>
    <row r="211">
      <c r="A211" s="18" t="inlineStr">
        <is>
          <t>Receita líquida ÷ VGV</t>
        </is>
      </c>
      <c r="B211" s="19">
        <f>IF($B$182&gt;0,$B$192/$B$182,"")</f>
        <v/>
      </c>
      <c r="C211" s="20" t="inlineStr">
        <is>
          <t>% do VGV</t>
        </is>
      </c>
      <c r="D211" s="21" t="inlineStr">
        <is>
          <t>calculado</t>
        </is>
      </c>
    </row>
    <row r="212">
      <c r="A212" s="18" t="inlineStr">
        <is>
          <t>Investimento total (direto + indireto)</t>
        </is>
      </c>
      <c r="B212" s="23">
        <f>$B$203+$B$206</f>
        <v/>
      </c>
      <c r="C212" s="20" t="inlineStr">
        <is>
          <t>R$</t>
        </is>
      </c>
      <c r="D212" s="21" t="inlineStr">
        <is>
          <t>calculado</t>
        </is>
      </c>
    </row>
    <row r="213">
      <c r="A213" s="18" t="inlineStr">
        <is>
          <t>ROI (resultado ÷ investimento)</t>
        </is>
      </c>
      <c r="B213" s="19">
        <f>IF($B$212&gt;0,$B$208/$B$212,"")</f>
        <v/>
      </c>
      <c r="C213" s="20" t="inlineStr">
        <is>
          <t>%</t>
        </is>
      </c>
      <c r="D213" s="21" t="inlineStr">
        <is>
          <t>calculado</t>
        </is>
      </c>
    </row>
    <row r="214">
      <c r="A214" s="18" t="inlineStr">
        <is>
          <t>Preço médio por unidade</t>
        </is>
      </c>
      <c r="B214" s="23">
        <f>IF($B$172&gt;0,$B$182/$B$172,"")</f>
        <v/>
      </c>
      <c r="C214" s="20" t="inlineStr">
        <is>
          <t>R$</t>
        </is>
      </c>
      <c r="D214" s="21" t="inlineStr">
        <is>
          <t>calculado</t>
        </is>
      </c>
    </row>
    <row r="215">
      <c r="A215" s="13" t="inlineStr">
        <is>
          <t>Equivalências de unidade (referência) — mesmo valor em outras unidades</t>
        </is>
      </c>
    </row>
    <row r="216">
      <c r="A216" s="18" t="inlineStr">
        <is>
          <t>Construção em R$/m² de área privativa</t>
        </is>
      </c>
      <c r="B216" s="23">
        <f>IF($B$130&gt;0,$B$195/$B$130,"")</f>
        <v/>
      </c>
      <c r="C216" s="20" t="inlineStr">
        <is>
          <t>R$/m² priv. total</t>
        </is>
      </c>
      <c r="D216" s="21" t="inlineStr">
        <is>
          <t>calculado</t>
        </is>
      </c>
    </row>
    <row r="217">
      <c r="A217" s="18" t="inlineStr">
        <is>
          <t>Construção em % do VGV</t>
        </is>
      </c>
      <c r="B217" s="19">
        <f>IF($B$182&gt;0,$B$195/$B$182,"")</f>
        <v/>
      </c>
      <c r="C217" s="20" t="inlineStr">
        <is>
          <t>% do VGV</t>
        </is>
      </c>
      <c r="D217" s="21" t="inlineStr">
        <is>
          <t>calculado</t>
        </is>
      </c>
    </row>
    <row r="218">
      <c r="A218" s="18" t="inlineStr">
        <is>
          <t>Projetos em % do VGV</t>
        </is>
      </c>
      <c r="B218" s="19">
        <f>IF($B$182&gt;0,$B$199/$B$182,"")</f>
        <v/>
      </c>
      <c r="C218" s="20" t="inlineStr">
        <is>
          <t>% do VGV</t>
        </is>
      </c>
      <c r="D218" s="21" t="inlineStr">
        <is>
          <t>calculado</t>
        </is>
      </c>
    </row>
    <row r="219">
      <c r="A219" s="18" t="inlineStr">
        <is>
          <t>Custo do terreno em R$ por m² vendável</t>
        </is>
      </c>
      <c r="B219" s="23">
        <f>IF($B$132&gt;0,$B$194/$B$132,"")</f>
        <v/>
      </c>
      <c r="C219" s="20" t="inlineStr">
        <is>
          <t>R$/m² vendável</t>
        </is>
      </c>
      <c r="D219" s="21" t="inlineStr">
        <is>
          <t>calculado</t>
        </is>
      </c>
    </row>
    <row r="220">
      <c r="A220" s="18" t="inlineStr">
        <is>
          <t>Permuta física em % da área de venda</t>
        </is>
      </c>
      <c r="B220" s="19">
        <f>IF($B$132&gt;0,$B$183/$B$132,"")</f>
        <v/>
      </c>
      <c r="C220" s="20" t="inlineStr">
        <is>
          <t>% da área de venda</t>
        </is>
      </c>
      <c r="D220" s="21" t="inlineStr">
        <is>
          <t>calculado</t>
        </is>
      </c>
    </row>
    <row r="221">
      <c r="A221" s="18" t="inlineStr">
        <is>
          <t>Permuta financeira total em % do VGV</t>
        </is>
      </c>
      <c r="B221" s="19">
        <f>IF($B$182&gt;0,($B$185+$B$186)/$B$182,"")</f>
        <v/>
      </c>
      <c r="C221" s="20" t="inlineStr">
        <is>
          <t>% do VGV</t>
        </is>
      </c>
      <c r="D221" s="21" t="inlineStr">
        <is>
          <t>calculado</t>
        </is>
      </c>
    </row>
    <row r="222">
      <c r="A222" s="13" t="inlineStr">
        <is>
          <t>Conferências</t>
        </is>
      </c>
    </row>
    <row r="223">
      <c r="A223" s="18" t="inlineStr">
        <is>
          <t>Σ % dos produtos</t>
        </is>
      </c>
      <c r="B223" s="25">
        <f>IF($B$167=0,"sem produtos",IF(ABS($B$167-1)&lt;0.00005,"OK","⚠ Σ ≠ 100% (o app recusa salvar)"))</f>
        <v/>
      </c>
      <c r="C223" s="20" t="inlineStr">
        <is>
          <t>alerta</t>
        </is>
      </c>
      <c r="D223" s="21" t="inlineStr">
        <is>
          <t>calculado</t>
        </is>
      </c>
    </row>
    <row r="224">
      <c r="A224" s="18" t="inlineStr">
        <is>
          <t>Unidades em duplicidade — Construção</t>
        </is>
      </c>
      <c r="B224" s="25">
        <f>IF(COUNTA($B$29,$B$30)&gt;1,"⚠ mais de uma unidade preenchida","OK")</f>
        <v/>
      </c>
      <c r="C224" s="20" t="inlineStr">
        <is>
          <t>alerta</t>
        </is>
      </c>
      <c r="D224" s="21" t="inlineStr">
        <is>
          <t>calculado</t>
        </is>
      </c>
    </row>
    <row r="225">
      <c r="A225" s="18" t="inlineStr">
        <is>
          <t>Unidades em duplicidade — Projetos</t>
        </is>
      </c>
      <c r="B225" s="25">
        <f>IF(COUNTA($B$32,$B$33,$B$34)&gt;1,"⚠ mais de uma unidade preenchida","OK")</f>
        <v/>
      </c>
      <c r="C225" s="20" t="inlineStr">
        <is>
          <t>alerta</t>
        </is>
      </c>
      <c r="D225" s="21" t="inlineStr">
        <is>
          <t>calculado</t>
        </is>
      </c>
    </row>
    <row r="226">
      <c r="A226" s="18" t="inlineStr">
        <is>
          <t>Unidades em duplicidade — Permuta física R</t>
        </is>
      </c>
      <c r="B226" s="25">
        <f>IF(COUNTA($B$48,$B$49)&gt;1,"⚠ mais de uma unidade preenchida","OK")</f>
        <v/>
      </c>
      <c r="C226" s="20" t="inlineStr">
        <is>
          <t>alerta</t>
        </is>
      </c>
      <c r="D226" s="21" t="inlineStr">
        <is>
          <t>calculado</t>
        </is>
      </c>
    </row>
    <row r="227">
      <c r="A227" s="18" t="inlineStr">
        <is>
          <t>Unidades em duplicidade — Permuta financeira R</t>
        </is>
      </c>
      <c r="B227" s="25">
        <f>IF(COUNTA($B$51,$B$52)&gt;1,"⚠ mais de uma unidade preenchida","OK")</f>
        <v/>
      </c>
      <c r="C227" s="20" t="inlineStr">
        <is>
          <t>alerta</t>
        </is>
      </c>
      <c r="D227" s="21" t="inlineStr">
        <is>
          <t>calculado</t>
        </is>
      </c>
    </row>
    <row r="228">
      <c r="A228" s="18" t="inlineStr">
        <is>
          <t>Unidades em duplicidade — Permuta física NR</t>
        </is>
      </c>
      <c r="B228" s="25">
        <f>IF(COUNTA($B$54,$B$55)&gt;1,"⚠ mais de uma unidade preenchida","OK")</f>
        <v/>
      </c>
      <c r="C228" s="20" t="inlineStr">
        <is>
          <t>alerta</t>
        </is>
      </c>
      <c r="D228" s="21" t="inlineStr">
        <is>
          <t>calculado</t>
        </is>
      </c>
    </row>
    <row r="229">
      <c r="A229" s="18" t="inlineStr">
        <is>
          <t>Unidades em duplicidade — Permuta financeira NR</t>
        </is>
      </c>
      <c r="B229" s="25">
        <f>IF(COUNTA($B$57,$B$58)&gt;1,"⚠ mais de uma unidade preenchida","OK")</f>
        <v/>
      </c>
      <c r="C229" s="20" t="inlineStr">
        <is>
          <t>alerta</t>
        </is>
      </c>
      <c r="D229" s="21" t="inlineStr">
        <is>
          <t>calculado</t>
        </is>
      </c>
    </row>
    <row r="230">
      <c r="A230" s="18" t="inlineStr">
        <is>
          <t>Aproveitamento do coeficiente</t>
        </is>
      </c>
      <c r="B230" s="25">
        <f>IF(ISNUMBER($B$134),IF($B$134&gt;1,"⚠ área privativa acima do teto","OK"),"sem coeficiente máximo")</f>
        <v/>
      </c>
      <c r="C230" s="20" t="inlineStr">
        <is>
          <t>alerta</t>
        </is>
      </c>
      <c r="D230" s="21" t="inlineStr">
        <is>
          <t>calculado</t>
        </is>
      </c>
    </row>
    <row r="231">
      <c r="A231" s="18" t="inlineStr">
        <is>
          <t>Permuta física limitada ao VGV bruto</t>
        </is>
      </c>
      <c r="B231" s="25">
        <f>IF(OR($B$174*$B$175&gt;$B$168+0.005,$B$177*$B$178&gt;$B$170+0.005),"⚠ permuta acima da base: o app corta no VGV bruto","OK")</f>
        <v/>
      </c>
      <c r="C231" s="20" t="inlineStr">
        <is>
          <t>alerta</t>
        </is>
      </c>
      <c r="D231" s="21" t="inlineStr">
        <is>
          <t>calculado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6">
    <mergeCell ref="A23:D23"/>
    <mergeCell ref="A126:D126"/>
    <mergeCell ref="A215:D215"/>
    <mergeCell ref="A53:D53"/>
    <mergeCell ref="A35:D35"/>
    <mergeCell ref="A4:D4"/>
    <mergeCell ref="A125:D125"/>
    <mergeCell ref="A63:D63"/>
    <mergeCell ref="A28:D28"/>
    <mergeCell ref="A173:D173"/>
    <mergeCell ref="A31:D31"/>
    <mergeCell ref="A77:D77"/>
    <mergeCell ref="A83:D83"/>
    <mergeCell ref="A64:D64"/>
    <mergeCell ref="A59:D59"/>
    <mergeCell ref="A11:D11"/>
    <mergeCell ref="A107:D107"/>
    <mergeCell ref="A222:D222"/>
    <mergeCell ref="A1:D1"/>
    <mergeCell ref="A119:D119"/>
    <mergeCell ref="A187:D187"/>
    <mergeCell ref="A65:D65"/>
    <mergeCell ref="A128:D128"/>
    <mergeCell ref="A46:D46"/>
    <mergeCell ref="A193:D193"/>
    <mergeCell ref="A56:D56"/>
    <mergeCell ref="A89:D89"/>
    <mergeCell ref="A136:D136"/>
    <mergeCell ref="A50:D50"/>
    <mergeCell ref="A101:D101"/>
    <mergeCell ref="A95:D95"/>
    <mergeCell ref="A113:D113"/>
    <mergeCell ref="A2:D2"/>
    <mergeCell ref="A71:D71"/>
    <mergeCell ref="A204:D204"/>
    <mergeCell ref="A47:D47"/>
  </mergeCells>
  <dataValidations count="10">
    <dataValidation sqref="B5 B12" showDropDown="0" showInputMessage="0" showErrorMessage="0" allowBlank="1" error="No máximo 200 caracteres." type="textLength" errorStyle="warning" operator="lessThanOrEqual">
      <formula1>200</formula1>
    </dataValidation>
    <dataValidation sqref="B8" showDropDown="0" showInputMessage="0" showErrorMessage="0" allowBlank="1" errorTitle="Valor inválido" error="Escolha um valor da lista." type="list">
      <formula1>"manual,nucleo"</formula1>
    </dataValidation>
    <dataValidation sqref="B9" showDropDown="0" showInputMessage="0" showErrorMessage="0" allowBlank="1" error="No máximo 2 caracteres." type="textLength" errorStyle="warning" operator="lessThanOrEqual">
      <formula1>2</formula1>
    </dataValidation>
    <dataValidation sqref="B13 B15 B16 B17 B18 B19 B20 B21 B27 B29 B30 B33 B36 B48 B52 B54 B58 B70 B76 B82 B88 B94 B100 B106 B112 B118 B124" showDropDown="0" showInputMessage="0" showErrorMessage="0" allowBlank="1" errorTitle="Confira o valor" error="Valor fora da faixa esperada (0 a 1000000000000.0)." type="decimal" errorStyle="warning" operator="between">
      <formula1>0</formula1>
      <formula2>1000000000000.0</formula2>
    </dataValidation>
    <dataValidation sqref="B24 B25 B26 B42" showDropDown="0" showInputMessage="0" showErrorMessage="0" allowBlank="1" errorTitle="Valor inválido" error="Escolha um valor da lista." type="list">
      <formula1>"Sim,Não"</formula1>
    </dataValidation>
    <dataValidation sqref="B32 B34 B37 B38 B39 B40 B41 B43 B44 B45 B49 B51 B55 B57 B68 B74 B80 B86 B92 B98 B104 B110 B116 B122" showDropDown="0" showInputMessage="0" showErrorMessage="0" allowBlank="1" errorTitle="Confira o valor" error="Valor fora da faixa esperada (0 a 1)." type="decimal" errorStyle="warning" operator="between">
      <formula1>0</formula1>
      <formula2>1</formula2>
    </dataValidation>
    <dataValidation sqref="B61" showDropDown="0" showInputMessage="0" showErrorMessage="0" allowBlank="1" errorTitle="Valor inválido" error="Escolha um valor da lista." type="list">
      <formula1>"anuncios,populacao,mercado,outro"</formula1>
    </dataValidation>
    <dataValidation sqref="B66 B72 B78 B84 B90 B96 B102 B108 B114 B120" showDropDown="0" showInputMessage="0" showErrorMessage="0" allowBlank="1" error="No máximo 100 caracteres." type="textLength" errorStyle="warning" operator="lessThanOrEqual">
      <formula1>100</formula1>
    </dataValidation>
    <dataValidation sqref="B67 B73 B79 B85 B91 B97 B103 B109 B115 B121" showDropDown="0" showInputMessage="0" showErrorMessage="0" allowBlank="1" errorTitle="Valor inválido" error="Escolha um valor da lista." type="list">
      <formula1>"residencial,nao_residencial"</formula1>
    </dataValidation>
    <dataValidation sqref="B69 B75 B81 B87 B93 B99 B105 B111 B117 B123" showDropDown="0" showInputMessage="0" showErrorMessage="0" allowBlank="1" errorTitle="Confira o valor" error="Valor fora da faixa esperada (0 a 1000000000000.0)." type="whole" errorStyle="warning" operator="between">
      <formula1>0</formula1>
      <formula2>1000000000000.0</formula2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2026-10-13T21:21:09Z</dcterms:created>
  <dcterms:modified xmlns:dcterms="http://purl.org/dc/terms/" xmlns:xsi="http://www.w3.org/2001/XMLSchema-instance" xsi:type="dcterms:W3CDTF">2026-10-13T21:21:09Z</dcterms:modified>
</cp:coreProperties>
</file>