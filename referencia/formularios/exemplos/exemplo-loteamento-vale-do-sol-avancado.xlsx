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ulário" sheetId="1" state="visible" r:id="rId1"/>
  </sheets>
  <definedNames>
    <definedName name="_xlnm.Print_Titles" localSheetId="0">'Formulário'!$3:$3</definedName>
  </definedNames>
  <calcPr calcId="124519" fullCalcOnLoad="1"/>
</workbook>
</file>

<file path=xl/styles.xml><?xml version="1.0" encoding="utf-8"?>
<styleSheet xmlns="http://schemas.openxmlformats.org/spreadsheetml/2006/main">
  <numFmts count="2">
    <numFmt numFmtId="164" formatCode="mmm/yyyy"/>
    <numFmt numFmtId="165" formatCode="&quot;R$&quot; #,##0.00"/>
  </numFmts>
  <fonts count="10">
    <font>
      <name val="Calibri"/>
      <family val="2"/>
      <color theme="1"/>
      <sz val="11"/>
      <scheme val="minor"/>
    </font>
    <font>
      <b val="1"/>
      <color rgb="00FFFFFF"/>
      <sz val="14"/>
    </font>
    <font>
      <sz val="9"/>
    </font>
    <font>
      <b val="1"/>
      <color rgb="00FFFFFF"/>
    </font>
    <font>
      <b val="1"/>
      <color rgb="00FFFFFF"/>
      <sz val="11"/>
    </font>
    <font>
      <color rgb="007F7F7F"/>
      <sz val="8"/>
    </font>
    <font>
      <b val="1"/>
    </font>
    <font>
      <i val="1"/>
      <color rgb="00595959"/>
      <sz val="9"/>
    </font>
    <font>
      <b val="1"/>
      <i val="1"/>
    </font>
    <font>
      <i val="1"/>
    </font>
  </fonts>
  <fills count="9">
    <fill>
      <patternFill/>
    </fill>
    <fill>
      <patternFill patternType="gray125"/>
    </fill>
    <fill>
      <patternFill patternType="solid">
        <fgColor rgb="001F3864"/>
      </patternFill>
    </fill>
    <fill>
      <patternFill patternType="solid">
        <fgColor rgb="002F5597"/>
      </patternFill>
    </fill>
    <fill>
      <patternFill patternType="solid">
        <fgColor rgb="00FFF2CC"/>
      </patternFill>
    </fill>
    <fill>
      <patternFill patternType="solid">
        <fgColor rgb="00E7E6E6"/>
      </patternFill>
    </fill>
    <fill>
      <patternFill patternType="solid">
        <fgColor rgb="00D9E2F3"/>
      </patternFill>
    </fill>
    <fill>
      <patternFill patternType="solid">
        <fgColor rgb="00595959"/>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0" pivotButton="0" quotePrefix="0" xfId="0"/>
    <xf numFmtId="0" fontId="4" fillId="3" borderId="0" pivotButton="0" quotePrefix="0" xfId="0"/>
    <xf numFmtId="0" fontId="0" fillId="0" borderId="1" applyAlignment="1" pivotButton="0" quotePrefix="0" xfId="0">
      <alignment vertical="center" wrapText="1"/>
    </xf>
    <xf numFmtId="49" fontId="0" fillId="4" borderId="1" applyAlignment="1" applyProtection="1" pivotButton="0" quotePrefix="0" xfId="0">
      <alignment horizontal="right" vertical="center" wrapText="1"/>
      <protection locked="0" hidden="0"/>
    </xf>
    <xf numFmtId="0" fontId="2" fillId="0" borderId="1" applyAlignment="1" pivotButton="0" quotePrefix="0" xfId="0">
      <alignment vertical="center" wrapText="1"/>
    </xf>
    <xf numFmtId="0" fontId="5" fillId="0" borderId="1" applyAlignment="1" pivotButton="0" quotePrefix="0" xfId="0">
      <alignment vertical="center" wrapText="1"/>
    </xf>
    <xf numFmtId="49" fontId="6" fillId="5" borderId="1" applyAlignment="1" pivotButton="0" quotePrefix="0" xfId="0">
      <alignment horizontal="right" vertical="center" wrapText="1"/>
    </xf>
    <xf numFmtId="4" fontId="0" fillId="4" borderId="1" applyAlignment="1" applyProtection="1" pivotButton="0" quotePrefix="0" xfId="0">
      <alignment horizontal="right" vertical="center" wrapText="1"/>
      <protection locked="0" hidden="0"/>
    </xf>
    <xf numFmtId="10" fontId="0" fillId="4" borderId="1" applyAlignment="1" applyProtection="1" pivotButton="0" quotePrefix="0" xfId="0">
      <alignment horizontal="right" vertical="center" wrapText="1"/>
      <protection locked="0" hidden="0"/>
    </xf>
    <xf numFmtId="0" fontId="7" fillId="0" borderId="0" applyAlignment="1" pivotButton="0" quotePrefix="0" xfId="0">
      <alignment vertical="top" wrapText="1"/>
    </xf>
    <xf numFmtId="164" fontId="0" fillId="4" borderId="1" applyAlignment="1" applyProtection="1" pivotButton="0" quotePrefix="0" xfId="0">
      <alignment horizontal="right" vertical="center" wrapText="1"/>
      <protection locked="0" hidden="0"/>
    </xf>
    <xf numFmtId="1" fontId="0" fillId="4" borderId="1" applyAlignment="1" applyProtection="1" pivotButton="0" quotePrefix="0" xfId="0">
      <alignment horizontal="right" vertical="center" wrapText="1"/>
      <protection locked="0" hidden="0"/>
    </xf>
    <xf numFmtId="0" fontId="8" fillId="6" borderId="0" pivotButton="0" quotePrefix="0" xfId="0"/>
    <xf numFmtId="165" fontId="0" fillId="4" borderId="1" applyAlignment="1" applyProtection="1" pivotButton="0" quotePrefix="0" xfId="0">
      <alignment horizontal="right" vertical="center" wrapText="1"/>
      <protection locked="0" hidden="0"/>
    </xf>
    <xf numFmtId="0" fontId="4" fillId="7" borderId="0" pivotButton="0" quotePrefix="0" xfId="0"/>
    <xf numFmtId="0" fontId="0" fillId="8" borderId="1" applyAlignment="1" pivotButton="0" quotePrefix="0" xfId="0">
      <alignment vertical="center" wrapText="1"/>
    </xf>
    <xf numFmtId="1" fontId="9" fillId="8" borderId="1" applyAlignment="1" pivotButton="0" quotePrefix="0" xfId="0">
      <alignment horizontal="right" vertical="center"/>
    </xf>
    <xf numFmtId="0" fontId="2" fillId="8" borderId="1" applyAlignment="1" pivotButton="0" quotePrefix="0" xfId="0">
      <alignment vertical="center" wrapText="1"/>
    </xf>
    <xf numFmtId="0" fontId="5" fillId="8" borderId="1" applyAlignment="1" pivotButton="0" quotePrefix="0" xfId="0">
      <alignment vertical="center" wrapText="1"/>
    </xf>
    <xf numFmtId="164" fontId="9" fillId="8" borderId="1" applyAlignment="1" pivotButton="0" quotePrefix="0" xfId="0">
      <alignment horizontal="right" vertical="center"/>
    </xf>
    <xf numFmtId="0" fontId="9" fillId="8" borderId="1" applyAlignment="1" pivotButton="0" quotePrefix="0" xfId="0">
      <alignment horizontal="right" vertical="center"/>
    </xf>
    <xf numFmtId="165" fontId="9" fillId="8" borderId="1" applyAlignment="1" pivotButton="0" quotePrefix="0" xfId="0">
      <alignment horizontal="right" vertical="center"/>
    </xf>
    <xf numFmtId="4" fontId="9" fillId="8" borderId="1" applyAlignment="1" pivotButton="0" quotePrefix="0" xfId="0">
      <alignment horizontal="right" vertical="center"/>
    </xf>
    <xf numFmtId="10" fontId="9" fillId="8"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597"/>
    <outlinePr summaryBelow="1" summaryRight="1"/>
    <pageSetUpPr fitToPage="1"/>
  </sheetPr>
  <dimension ref="A1:F966"/>
  <sheetViews>
    <sheetView showGridLines="0" workbookViewId="0">
      <pane ySplit="3" topLeftCell="A4" activePane="bottomLeft" state="frozen"/>
      <selection pane="bottomLeft" activeCell="A1" sqref="A1"/>
    </sheetView>
  </sheetViews>
  <sheetFormatPr baseColWidth="8" defaultRowHeight="15"/>
  <cols>
    <col width="58" customWidth="1" min="1" max="1"/>
    <col width="30" customWidth="1" min="2" max="2"/>
    <col width="36" customWidth="1" min="3" max="3"/>
    <col width="46" customWidth="1" min="4" max="4"/>
    <col hidden="1" width="13" customWidth="1" min="6" max="6"/>
  </cols>
  <sheetData>
    <row r="1" ht="26" customHeight="1">
      <c r="A1" s="1" t="inlineStr">
        <is>
          <t>Formulário de estudo — Avançado · Loteamento</t>
        </is>
      </c>
    </row>
    <row r="2" ht="92" customHeight="1">
      <c r="A2" s="2" t="inlineStr">
        <is>
          <t>Como preencher: só as células AMARELAS da coluna B. Cinza-claro com valor em negrito = fixo do tipo de estudo (não editar); cinza com itálico = calculado pelo Excel, só para conferir (não editar). * = obrigatório. PERCENTUAL: digite com o símbolo % (4%), nunca só o número. O Excel guarda 0,04; a API do app espera pontos (4) e o importador converte pelo FORMATO da célula — por isso não troque o formato das células. Números sem separador de milhar e com ponto decimal quando digitados fora do Excel. CAMPO COM VÁRIAS UNIDADES: há uma linha por unidade — preencha UMA só e deixe as outras em branco; o Excel não converte uma na outra. Listas (produtos, custos…) têm vagas numeradas; vaga totalmente em branco = sem item. Meses: 0 = mês da data de início do projeto.</t>
        </is>
      </c>
    </row>
    <row r="3">
      <c r="A3" s="3" t="inlineStr">
        <is>
          <t>Campo</t>
        </is>
      </c>
      <c r="B3" s="3" t="inlineStr">
        <is>
          <t>Valor</t>
        </is>
      </c>
      <c r="C3" s="3" t="inlineStr">
        <is>
          <t>Unidade</t>
        </is>
      </c>
      <c r="D3" s="3" t="inlineStr">
        <is>
          <t>Chave técnica (leitura por máquina)</t>
        </is>
      </c>
    </row>
    <row r="4" ht="20" customHeight="1">
      <c r="A4" s="4" t="inlineStr">
        <is>
          <t>1 · Criação do estudo</t>
        </is>
      </c>
    </row>
    <row r="5">
      <c r="A5" s="5" t="inlineStr">
        <is>
          <t>Nome do estudo *</t>
        </is>
      </c>
      <c r="B5" s="6" t="inlineStr">
        <is>
          <t>Loteamento Vale do Sol — Goiânia</t>
        </is>
      </c>
      <c r="C5" s="7" t="inlineStr">
        <is>
          <t>texto (até 200)</t>
        </is>
      </c>
      <c r="D5" s="8" t="inlineStr">
        <is>
          <t>estudos.nome</t>
        </is>
      </c>
    </row>
    <row r="6">
      <c r="A6" s="5" t="inlineStr">
        <is>
          <t>Tipo de empreendimento</t>
        </is>
      </c>
      <c r="B6" s="9" t="inlineStr">
        <is>
          <t>loteamento</t>
        </is>
      </c>
      <c r="C6" s="7" t="inlineStr">
        <is>
          <t>fixo deste formulário</t>
        </is>
      </c>
      <c r="D6" s="8" t="inlineStr">
        <is>
          <t>estudos.tipo_empreendimento</t>
        </is>
      </c>
    </row>
    <row r="7">
      <c r="A7" s="5" t="inlineStr">
        <is>
          <t>Nível de análise</t>
        </is>
      </c>
      <c r="B7" s="9" t="inlineStr">
        <is>
          <t>avancado</t>
        </is>
      </c>
      <c r="C7" s="7" t="inlineStr">
        <is>
          <t>fixo deste formulário</t>
        </is>
      </c>
      <c r="D7" s="8" t="inlineStr">
        <is>
          <t>estudos.nivel_analise</t>
        </is>
      </c>
    </row>
    <row r="8">
      <c r="A8" s="5" t="inlineStr">
        <is>
          <t>Origem do terreno *</t>
        </is>
      </c>
      <c r="B8" s="6" t="inlineStr">
        <is>
          <t>manual</t>
        </is>
      </c>
      <c r="C8" s="7" t="inlineStr">
        <is>
          <t>lista: manual (inserir novo) | nucleo (buscar terreno — o importador só aceita manual)</t>
        </is>
      </c>
      <c r="D8" s="8" t="inlineStr">
        <is>
          <t>estudos.origem_terreno</t>
        </is>
      </c>
    </row>
    <row r="9">
      <c r="A9" s="5" t="inlineStr">
        <is>
          <t>UF (recomendado)</t>
        </is>
      </c>
      <c r="B9" s="6" t="inlineStr">
        <is>
          <t>GO</t>
        </is>
      </c>
      <c r="C9" s="7" t="inlineStr">
        <is>
          <t>texto, 2 letras</t>
        </is>
      </c>
      <c r="D9" s="8" t="inlineStr">
        <is>
          <t>estudos.uf</t>
        </is>
      </c>
    </row>
    <row r="10">
      <c r="A10" s="5" t="inlineStr">
        <is>
          <t>Notas</t>
        </is>
      </c>
      <c r="B10" s="6" t="inlineStr">
        <is>
          <t>Loteamento aberto em duas etapas, com faixa comercial na avenida de acesso. Projeto fictício de QA (mesmo projeto nos dois níveis).</t>
        </is>
      </c>
      <c r="C10" s="7" t="inlineStr">
        <is>
          <t>texto livre (só pela API)</t>
        </is>
      </c>
      <c r="D10" s="8" t="inlineStr">
        <is>
          <t>estudos.notas</t>
        </is>
      </c>
    </row>
    <row r="11" ht="20" customHeight="1">
      <c r="A11" s="4" t="inlineStr">
        <is>
          <t>2 · Empreendimento › Informações</t>
        </is>
      </c>
    </row>
    <row r="12">
      <c r="A12" s="5" t="inlineStr">
        <is>
          <t>Matrícula</t>
        </is>
      </c>
      <c r="B12" s="6" t="inlineStr">
        <is>
          <t>Matrícula 52.108 — 1º CRI de Goiânia</t>
        </is>
      </c>
      <c r="C12" s="7" t="inlineStr">
        <is>
          <t>texto (até 100)</t>
        </is>
      </c>
      <c r="D12" s="8" t="inlineStr">
        <is>
          <t>estudos.matricula</t>
        </is>
      </c>
    </row>
    <row r="13">
      <c r="A13" s="5" t="inlineStr">
        <is>
          <t>Descrição</t>
        </is>
      </c>
      <c r="B13" s="6" t="inlineStr">
        <is>
          <t>Loteamento aberto em duas etapas com 1.000 lotes (975 residenciais de 250 a 400 m² e 25 comerciais) e áreas verdes.</t>
        </is>
      </c>
      <c r="C13" s="7" t="inlineStr">
        <is>
          <t>texto longo</t>
        </is>
      </c>
      <c r="D13" s="8" t="inlineStr">
        <is>
          <t>estudos.descricao</t>
        </is>
      </c>
    </row>
    <row r="14">
      <c r="A14" s="5" t="inlineStr">
        <is>
          <t>Nome do terreno (origem = manual)</t>
        </is>
      </c>
      <c r="B14" s="6" t="inlineStr">
        <is>
          <t>Gleba Fazenda Vale do Sol (50 ha)</t>
        </is>
      </c>
      <c r="C14" s="7" t="inlineStr">
        <is>
          <t>texto (até 200)</t>
        </is>
      </c>
      <c r="D14" s="8" t="inlineStr">
        <is>
          <t>estudos.terreno_manual_nome</t>
        </is>
      </c>
    </row>
    <row r="15">
      <c r="A15" s="5" t="inlineStr">
        <is>
          <t>Área do terreno *</t>
        </is>
      </c>
      <c r="B15" s="10" t="n">
        <v>500000</v>
      </c>
      <c r="C15" s="7" t="inlineStr">
        <is>
          <t>m² (&gt; 0; base de "R$/m² de terreno")</t>
        </is>
      </c>
      <c r="D15" s="8" t="inlineStr">
        <is>
          <t>estudos.terreno_manual_area</t>
        </is>
      </c>
    </row>
    <row r="16">
      <c r="A16" s="5" t="inlineStr">
        <is>
          <t>Imóvel do Núcleo (vínculo — só se origem = nucleo)</t>
        </is>
      </c>
      <c r="B16" s="6" t="n"/>
      <c r="C16" s="7" t="inlineStr">
        <is>
          <t>id do imóvel</t>
        </is>
      </c>
      <c r="D16" s="8" t="inlineStr">
        <is>
          <t>estudo_imoveis.imovel_nucleo_id</t>
        </is>
      </c>
    </row>
    <row r="17">
      <c r="A17" s="5" t="inlineStr">
        <is>
          <t>Imagem principal / render / planta (nome do arquivo; envio à parte)</t>
        </is>
      </c>
      <c r="B17" s="6" t="n"/>
      <c r="C17" s="7" t="inlineStr">
        <is>
          <t>png/jpeg/webp/pdf ≤ 25 MB</t>
        </is>
      </c>
      <c r="D17" s="8" t="inlineStr">
        <is>
          <t>estudo_documentos</t>
        </is>
      </c>
    </row>
    <row r="18" ht="20" customHeight="1">
      <c r="A18" s="4" t="inlineStr">
        <is>
          <t>3 · Viabilidade › Financeiro e tributação</t>
        </is>
      </c>
    </row>
    <row r="19">
      <c r="A19" s="5" t="inlineStr">
        <is>
          <t>Juros de tabela *</t>
        </is>
      </c>
      <c r="B19" s="11" t="n">
        <v>0.1268</v>
      </c>
      <c r="C19" s="7" t="inlineStr">
        <is>
          <t>% a.a. (0 a 999,99; vale p/ todos os grupos)</t>
        </is>
      </c>
      <c r="D19" s="8" t="inlineStr">
        <is>
          <t>estudos.juros_tabela_aa_padrao</t>
        </is>
      </c>
    </row>
    <row r="20">
      <c r="A20" s="5" t="inlineStr">
        <is>
          <t>Taxa de desconto p/ VP *</t>
        </is>
      </c>
      <c r="B20" s="11" t="n">
        <v>0.15</v>
      </c>
      <c r="C20" s="7" t="inlineStr">
        <is>
          <t>% a.a. (0 a 100)</t>
        </is>
      </c>
      <c r="D20" s="8" t="inlineStr">
        <is>
          <t>estudos.taxa_desconto_aa</t>
        </is>
      </c>
    </row>
    <row r="21">
      <c r="A21" s="5" t="inlineStr">
        <is>
          <t>Corretagem incide sobre a permuta física *</t>
        </is>
      </c>
      <c r="B21" s="6" t="inlineStr">
        <is>
          <t>Não</t>
        </is>
      </c>
      <c r="C21" s="7" t="inlineStr">
        <is>
          <t>Sim/Não</t>
        </is>
      </c>
      <c r="D21" s="8" t="inlineStr">
        <is>
          <t>estudos.corretagem_sobre_permuta_fisica</t>
        </is>
      </c>
    </row>
    <row r="22">
      <c r="A22" s="5" t="inlineStr">
        <is>
          <t>RET (Regime Especial de Tributação) *</t>
        </is>
      </c>
      <c r="B22" s="6" t="inlineStr">
        <is>
          <t>Sim</t>
        </is>
      </c>
      <c r="C22" s="7" t="inlineStr">
        <is>
          <t>Sim/Não (único imposto aplicado pelo Avançado)</t>
        </is>
      </c>
      <c r="D22" s="8" t="inlineStr">
        <is>
          <t>parametros.considerar_ret</t>
        </is>
      </c>
    </row>
    <row r="23">
      <c r="A23" s="5" t="inlineStr">
        <is>
          <t>Alíquota RET *</t>
        </is>
      </c>
      <c r="B23" s="11" t="n">
        <v>0.0673</v>
      </c>
      <c r="C23" s="7" t="inlineStr">
        <is>
          <t>% da receita (0 a 100; em loteamento use a alíquota efetiva)</t>
        </is>
      </c>
      <c r="D23" s="8" t="inlineStr">
        <is>
          <t>parametros.ret_pct</t>
        </is>
      </c>
    </row>
    <row r="24" ht="20" customHeight="1">
      <c r="A24" s="4" t="inlineStr">
        <is>
          <t>4 · Cronograma (meses a partir do mês 0)</t>
        </is>
      </c>
    </row>
    <row r="25" ht="26" customHeight="1">
      <c r="A25" s="12" t="inlineStr">
        <is>
          <t>Pré-lançamento, Lançamento e Pós-obras começam no FIM do evento anterior (travado no app): esses inícios estão na zona calculada, não são preenchidos. Informe "tem Pré-lançamento" ANTES de preencher o cronograma.</t>
        </is>
      </c>
    </row>
    <row r="26">
      <c r="A26" s="5" t="inlineStr">
        <is>
          <t>Data de início do projeto *</t>
        </is>
      </c>
      <c r="B26" s="13" t="n">
        <v>46447</v>
      </c>
      <c r="C26" s="7" t="inlineStr">
        <is>
          <t>data (mês/ano) — mês 0 do fluxo</t>
        </is>
      </c>
      <c r="D26" s="8" t="inlineStr">
        <is>
          <t>parametros.data_inicio_projeto</t>
        </is>
      </c>
    </row>
    <row r="27">
      <c r="A27" s="5" t="inlineStr">
        <is>
          <t>Este empreendimento tem Pré-lançamento *</t>
        </is>
      </c>
      <c r="B27" s="6" t="inlineStr">
        <is>
          <t>Não</t>
        </is>
      </c>
      <c r="C27" s="7" t="inlineStr">
        <is>
          <t>Sim/Não</t>
        </is>
      </c>
      <c r="D27" s="8" t="inlineStr">
        <is>
          <t>parametros.tem_pre_lancamento</t>
        </is>
      </c>
    </row>
    <row r="28">
      <c r="A28" s="5" t="inlineStr">
        <is>
          <t>Planejamento — Início *</t>
        </is>
      </c>
      <c r="B28" s="14" t="n">
        <v>0</v>
      </c>
      <c r="C28" s="7" t="inlineStr">
        <is>
          <t>mês (inteiro ≥ 0; 0 = início)</t>
        </is>
      </c>
      <c r="D28" s="8" t="inlineStr">
        <is>
          <t>cronograma.planejamento.inicio_mes</t>
        </is>
      </c>
    </row>
    <row r="29">
      <c r="A29" s="5" t="inlineStr">
        <is>
          <t>Planejamento — Duração *</t>
        </is>
      </c>
      <c r="B29" s="14" t="n">
        <v>12</v>
      </c>
      <c r="C29" s="7" t="inlineStr">
        <is>
          <t>meses (inteiro ≥ 1)</t>
        </is>
      </c>
      <c r="D29" s="8" t="inlineStr">
        <is>
          <t>cronograma.planejamento.duracao_meses</t>
        </is>
      </c>
    </row>
    <row r="30">
      <c r="A30" s="5" t="inlineStr">
        <is>
          <t>Pré-lançamento — Duração (só se tiver pré)</t>
        </is>
      </c>
      <c r="B30" s="14" t="n"/>
      <c r="C30" s="7" t="inlineStr">
        <is>
          <t>meses (inteiro ≥ 1)</t>
        </is>
      </c>
      <c r="D30" s="8" t="inlineStr">
        <is>
          <t>cronograma.pre_lancamento.duracao_meses</t>
        </is>
      </c>
    </row>
    <row r="31">
      <c r="A31" s="5" t="inlineStr">
        <is>
          <t>Lançamento — Duração *</t>
        </is>
      </c>
      <c r="B31" s="14" t="n">
        <v>1</v>
      </c>
      <c r="C31" s="7" t="inlineStr">
        <is>
          <t>meses (inteiro ≥ 1)</t>
        </is>
      </c>
      <c r="D31" s="8" t="inlineStr">
        <is>
          <t>cronograma.lancamento.duracao_meses</t>
        </is>
      </c>
    </row>
    <row r="32">
      <c r="A32" s="5" t="inlineStr">
        <is>
          <t>Obra — Início *</t>
        </is>
      </c>
      <c r="B32" s="14" t="n">
        <v>13</v>
      </c>
      <c r="C32" s="7" t="inlineStr">
        <is>
          <t>mês (inteiro ≥ 0)</t>
        </is>
      </c>
      <c r="D32" s="8" t="inlineStr">
        <is>
          <t>cronograma.obra.inicio_mes</t>
        </is>
      </c>
    </row>
    <row r="33">
      <c r="A33" s="5" t="inlineStr">
        <is>
          <t>Obra — Duração *</t>
        </is>
      </c>
      <c r="B33" s="14" t="n">
        <v>24</v>
      </c>
      <c r="C33" s="7" t="inlineStr">
        <is>
          <t>meses (inteiro ≥ 1)</t>
        </is>
      </c>
      <c r="D33" s="8" t="inlineStr">
        <is>
          <t>cronograma.obra.duracao_meses</t>
        </is>
      </c>
    </row>
    <row r="34">
      <c r="A34" s="5" t="inlineStr">
        <is>
          <t>Pós-obras — Duração *</t>
        </is>
      </c>
      <c r="B34" s="14" t="n">
        <v>12</v>
      </c>
      <c r="C34" s="7" t="inlineStr">
        <is>
          <t>meses (inteiro ≥ 1)</t>
        </is>
      </c>
      <c r="D34" s="8" t="inlineStr">
        <is>
          <t>cronograma.pos_obra.duracao_meses</t>
        </is>
      </c>
    </row>
    <row r="35" ht="20" customHeight="1">
      <c r="A35" s="4" t="inlineStr">
        <is>
          <t>Fases customizadas do cronograma (opcional) — 5 vagas; servem de âncora para custos e funding</t>
        </is>
      </c>
    </row>
    <row r="36">
      <c r="A36" s="5" t="inlineStr">
        <is>
          <t>Fase 1 — Nome</t>
        </is>
      </c>
      <c r="B36" s="6" t="inlineStr">
        <is>
          <t>Licenciamento ambiental e aprovação municipal</t>
        </is>
      </c>
      <c r="C36" s="7" t="inlineStr">
        <is>
          <t>texto</t>
        </is>
      </c>
      <c r="D36" s="8" t="inlineStr">
        <is>
          <t>fases[1].nome</t>
        </is>
      </c>
    </row>
    <row r="37">
      <c r="A37" s="5" t="inlineStr">
        <is>
          <t>Fase 1 — Início</t>
        </is>
      </c>
      <c r="B37" s="14" t="n">
        <v>0</v>
      </c>
      <c r="C37" s="7" t="inlineStr">
        <is>
          <t>mês (inteiro ≥ 0)</t>
        </is>
      </c>
      <c r="D37" s="8" t="inlineStr">
        <is>
          <t>fases[1].inicio_mes</t>
        </is>
      </c>
    </row>
    <row r="38">
      <c r="A38" s="5" t="inlineStr">
        <is>
          <t>Fase 1 — Duração</t>
        </is>
      </c>
      <c r="B38" s="14" t="n">
        <v>12</v>
      </c>
      <c r="C38" s="7" t="inlineStr">
        <is>
          <t>meses (inteiro ≥ 1)</t>
        </is>
      </c>
      <c r="D38" s="8" t="inlineStr">
        <is>
          <t>fases[1].duracao_meses</t>
        </is>
      </c>
    </row>
    <row r="39">
      <c r="A39" s="5" t="inlineStr">
        <is>
          <t>Fase 2 — Nome</t>
        </is>
      </c>
      <c r="B39" s="6" t="n"/>
      <c r="C39" s="7" t="inlineStr">
        <is>
          <t>texto</t>
        </is>
      </c>
      <c r="D39" s="8" t="inlineStr">
        <is>
          <t>fases[2].nome</t>
        </is>
      </c>
    </row>
    <row r="40">
      <c r="A40" s="5" t="inlineStr">
        <is>
          <t>Fase 2 — Início</t>
        </is>
      </c>
      <c r="B40" s="14" t="n"/>
      <c r="C40" s="7" t="inlineStr">
        <is>
          <t>mês (inteiro ≥ 0)</t>
        </is>
      </c>
      <c r="D40" s="8" t="inlineStr">
        <is>
          <t>fases[2].inicio_mes</t>
        </is>
      </c>
    </row>
    <row r="41">
      <c r="A41" s="5" t="inlineStr">
        <is>
          <t>Fase 2 — Duração</t>
        </is>
      </c>
      <c r="B41" s="14" t="n"/>
      <c r="C41" s="7" t="inlineStr">
        <is>
          <t>meses (inteiro ≥ 1)</t>
        </is>
      </c>
      <c r="D41" s="8" t="inlineStr">
        <is>
          <t>fases[2].duracao_meses</t>
        </is>
      </c>
    </row>
    <row r="42">
      <c r="A42" s="5" t="inlineStr">
        <is>
          <t>Fase 3 — Nome</t>
        </is>
      </c>
      <c r="B42" s="6" t="n"/>
      <c r="C42" s="7" t="inlineStr">
        <is>
          <t>texto</t>
        </is>
      </c>
      <c r="D42" s="8" t="inlineStr">
        <is>
          <t>fases[3].nome</t>
        </is>
      </c>
    </row>
    <row r="43">
      <c r="A43" s="5" t="inlineStr">
        <is>
          <t>Fase 3 — Início</t>
        </is>
      </c>
      <c r="B43" s="14" t="n"/>
      <c r="C43" s="7" t="inlineStr">
        <is>
          <t>mês (inteiro ≥ 0)</t>
        </is>
      </c>
      <c r="D43" s="8" t="inlineStr">
        <is>
          <t>fases[3].inicio_mes</t>
        </is>
      </c>
    </row>
    <row r="44">
      <c r="A44" s="5" t="inlineStr">
        <is>
          <t>Fase 3 — Duração</t>
        </is>
      </c>
      <c r="B44" s="14" t="n"/>
      <c r="C44" s="7" t="inlineStr">
        <is>
          <t>meses (inteiro ≥ 1)</t>
        </is>
      </c>
      <c r="D44" s="8" t="inlineStr">
        <is>
          <t>fases[3].duracao_meses</t>
        </is>
      </c>
    </row>
    <row r="45">
      <c r="A45" s="5" t="inlineStr">
        <is>
          <t>Fase 4 — Nome</t>
        </is>
      </c>
      <c r="B45" s="6" t="n"/>
      <c r="C45" s="7" t="inlineStr">
        <is>
          <t>texto</t>
        </is>
      </c>
      <c r="D45" s="8" t="inlineStr">
        <is>
          <t>fases[4].nome</t>
        </is>
      </c>
    </row>
    <row r="46">
      <c r="A46" s="5" t="inlineStr">
        <is>
          <t>Fase 4 — Início</t>
        </is>
      </c>
      <c r="B46" s="14" t="n"/>
      <c r="C46" s="7" t="inlineStr">
        <is>
          <t>mês (inteiro ≥ 0)</t>
        </is>
      </c>
      <c r="D46" s="8" t="inlineStr">
        <is>
          <t>fases[4].inicio_mes</t>
        </is>
      </c>
    </row>
    <row r="47">
      <c r="A47" s="5" t="inlineStr">
        <is>
          <t>Fase 4 — Duração</t>
        </is>
      </c>
      <c r="B47" s="14" t="n"/>
      <c r="C47" s="7" t="inlineStr">
        <is>
          <t>meses (inteiro ≥ 1)</t>
        </is>
      </c>
      <c r="D47" s="8" t="inlineStr">
        <is>
          <t>fases[4].duracao_meses</t>
        </is>
      </c>
    </row>
    <row r="48">
      <c r="A48" s="5" t="inlineStr">
        <is>
          <t>Fase 5 — Nome</t>
        </is>
      </c>
      <c r="B48" s="6" t="n"/>
      <c r="C48" s="7" t="inlineStr">
        <is>
          <t>texto</t>
        </is>
      </c>
      <c r="D48" s="8" t="inlineStr">
        <is>
          <t>fases[5].nome</t>
        </is>
      </c>
    </row>
    <row r="49">
      <c r="A49" s="5" t="inlineStr">
        <is>
          <t>Fase 5 — Início</t>
        </is>
      </c>
      <c r="B49" s="14" t="n"/>
      <c r="C49" s="7" t="inlineStr">
        <is>
          <t>mês (inteiro ≥ 0)</t>
        </is>
      </c>
      <c r="D49" s="8" t="inlineStr">
        <is>
          <t>fases[5].inicio_mes</t>
        </is>
      </c>
    </row>
    <row r="50">
      <c r="A50" s="5" t="inlineStr">
        <is>
          <t>Fase 5 — Duração</t>
        </is>
      </c>
      <c r="B50" s="14" t="n"/>
      <c r="C50" s="7" t="inlineStr">
        <is>
          <t>meses (inteiro ≥ 1)</t>
        </is>
      </c>
      <c r="D50" s="8" t="inlineStr">
        <is>
          <t>fases[5].duracao_meses</t>
        </is>
      </c>
    </row>
    <row r="51" ht="20" customHeight="1">
      <c r="A51" s="4" t="inlineStr">
        <is>
          <t>Análise de Mercado (opcional)</t>
        </is>
      </c>
    </row>
    <row r="52">
      <c r="A52" s="5" t="inlineStr">
        <is>
          <t>Região de mercado</t>
        </is>
      </c>
      <c r="B52" s="6" t="n"/>
      <c r="C52" s="7" t="inlineStr">
        <is>
          <t>nome de região cadastrada na instância</t>
        </is>
      </c>
      <c r="D52" s="8" t="inlineStr">
        <is>
          <t>estudos.regiao_mercado_id</t>
        </is>
      </c>
    </row>
    <row r="53">
      <c r="A53" s="5" t="inlineStr">
        <is>
          <t>Apelo comercial — tipo de dado</t>
        </is>
      </c>
      <c r="B53" s="6" t="n"/>
      <c r="C53" s="7" t="inlineStr">
        <is>
          <t>lista: anuncios | populacao | mercado | outro</t>
        </is>
      </c>
      <c r="D53" s="8" t="inlineStr">
        <is>
          <t>apelo_comercial_documentos.tipo_dado</t>
        </is>
      </c>
    </row>
    <row r="54">
      <c r="A54" s="5" t="inlineStr">
        <is>
          <t>Apelo comercial — texto adicional</t>
        </is>
      </c>
      <c r="B54" s="6" t="n"/>
      <c r="C54" s="7" t="inlineStr">
        <is>
          <t>texto livre (ou envie arquivo pdf/docx/xlsx à parte)</t>
        </is>
      </c>
      <c r="D54" s="8" t="inlineStr">
        <is>
          <t>apelo_comercial_documentos.texto_adicional</t>
        </is>
      </c>
    </row>
    <row r="55" ht="20" customHeight="1">
      <c r="A55" s="4" t="inlineStr">
        <is>
          <t>5 · Lotes (Empreendimento › Tipologias) — 10 vagas</t>
        </is>
      </c>
    </row>
    <row r="56" ht="13" customHeight="1">
      <c r="A56" s="12" t="inlineStr">
        <is>
          <t>Em Loteamento o tipo é sempre "lote"; a tela não mostra Tipo, Dormitórios e Vagas.</t>
        </is>
      </c>
    </row>
    <row r="57">
      <c r="A57" s="15" t="inlineStr">
        <is>
          <t>Lote 1</t>
        </is>
      </c>
    </row>
    <row r="58">
      <c r="A58" s="5" t="inlineStr">
        <is>
          <t>Lote 1 — Nome</t>
        </is>
      </c>
      <c r="B58" s="6" t="inlineStr">
        <is>
          <t>Lote 300 m²</t>
        </is>
      </c>
      <c r="C58" s="7" t="inlineStr">
        <is>
          <t>texto (até 100)</t>
        </is>
      </c>
      <c r="D58" s="8" t="inlineStr">
        <is>
          <t>tipologias[1].nome</t>
        </is>
      </c>
    </row>
    <row r="59">
      <c r="A59" s="5" t="inlineStr">
        <is>
          <t>Lote 1 — Área privativa (fechada)</t>
        </is>
      </c>
      <c r="B59" s="10" t="n">
        <v>300</v>
      </c>
      <c r="C59" s="7" t="inlineStr">
        <is>
          <t>m²</t>
        </is>
      </c>
      <c r="D59" s="8" t="inlineStr">
        <is>
          <t>tipologias[1].area_privativa_m2</t>
        </is>
      </c>
    </row>
    <row r="60">
      <c r="A60" s="5" t="inlineStr">
        <is>
          <t>Lote 1 — Área aberta</t>
        </is>
      </c>
      <c r="B60" s="10" t="n">
        <v>0</v>
      </c>
      <c r="C60" s="7" t="inlineStr">
        <is>
          <t>m² (entra no VGV)</t>
        </is>
      </c>
      <c r="D60" s="8" t="inlineStr">
        <is>
          <t>tipologias[1].area_privativa_aberta_m2</t>
        </is>
      </c>
    </row>
    <row r="61">
      <c r="A61" s="5" t="inlineStr">
        <is>
          <t>Lote 1 — Unidades</t>
        </is>
      </c>
      <c r="B61" s="14" t="n">
        <v>600</v>
      </c>
      <c r="C61" s="7" t="inlineStr">
        <is>
          <t>unidades (inteiro &gt; 0)</t>
        </is>
      </c>
      <c r="D61" s="8" t="inlineStr">
        <is>
          <t>tipologias[1].quantidade</t>
        </is>
      </c>
    </row>
    <row r="62">
      <c r="A62" s="5" t="inlineStr">
        <is>
          <t>Lote 1 — Preço/m² sugerido</t>
        </is>
      </c>
      <c r="B62" s="16" t="n">
        <v>750</v>
      </c>
      <c r="C62" s="7" t="inlineStr">
        <is>
          <t>R$/m² (preço padrão da alocação)</t>
        </is>
      </c>
      <c r="D62" s="8" t="inlineStr">
        <is>
          <t>tipologias[1].preco_m2</t>
        </is>
      </c>
    </row>
    <row r="63">
      <c r="A63" s="15" t="inlineStr">
        <is>
          <t>Lote 2</t>
        </is>
      </c>
    </row>
    <row r="64">
      <c r="A64" s="5" t="inlineStr">
        <is>
          <t>Lote 2 — Nome</t>
        </is>
      </c>
      <c r="B64" s="6" t="inlineStr">
        <is>
          <t>Lote 250 m²</t>
        </is>
      </c>
      <c r="C64" s="7" t="inlineStr">
        <is>
          <t>texto (até 100)</t>
        </is>
      </c>
      <c r="D64" s="8" t="inlineStr">
        <is>
          <t>tipologias[2].nome</t>
        </is>
      </c>
    </row>
    <row r="65">
      <c r="A65" s="5" t="inlineStr">
        <is>
          <t>Lote 2 — Área privativa (fechada)</t>
        </is>
      </c>
      <c r="B65" s="10" t="n">
        <v>250</v>
      </c>
      <c r="C65" s="7" t="inlineStr">
        <is>
          <t>m²</t>
        </is>
      </c>
      <c r="D65" s="8" t="inlineStr">
        <is>
          <t>tipologias[2].area_privativa_m2</t>
        </is>
      </c>
    </row>
    <row r="66">
      <c r="A66" s="5" t="inlineStr">
        <is>
          <t>Lote 2 — Área aberta</t>
        </is>
      </c>
      <c r="B66" s="10" t="n">
        <v>0</v>
      </c>
      <c r="C66" s="7" t="inlineStr">
        <is>
          <t>m² (entra no VGV)</t>
        </is>
      </c>
      <c r="D66" s="8" t="inlineStr">
        <is>
          <t>tipologias[2].area_privativa_aberta_m2</t>
        </is>
      </c>
    </row>
    <row r="67">
      <c r="A67" s="5" t="inlineStr">
        <is>
          <t>Lote 2 — Unidades</t>
        </is>
      </c>
      <c r="B67" s="14" t="n">
        <v>300</v>
      </c>
      <c r="C67" s="7" t="inlineStr">
        <is>
          <t>unidades (inteiro &gt; 0)</t>
        </is>
      </c>
      <c r="D67" s="8" t="inlineStr">
        <is>
          <t>tipologias[2].quantidade</t>
        </is>
      </c>
    </row>
    <row r="68">
      <c r="A68" s="5" t="inlineStr">
        <is>
          <t>Lote 2 — Preço/m² sugerido</t>
        </is>
      </c>
      <c r="B68" s="16" t="n">
        <v>800</v>
      </c>
      <c r="C68" s="7" t="inlineStr">
        <is>
          <t>R$/m² (preço padrão da alocação)</t>
        </is>
      </c>
      <c r="D68" s="8" t="inlineStr">
        <is>
          <t>tipologias[2].preco_m2</t>
        </is>
      </c>
    </row>
    <row r="69">
      <c r="A69" s="15" t="inlineStr">
        <is>
          <t>Lote 3</t>
        </is>
      </c>
    </row>
    <row r="70">
      <c r="A70" s="5" t="inlineStr">
        <is>
          <t>Lote 3 — Nome</t>
        </is>
      </c>
      <c r="B70" s="6" t="inlineStr">
        <is>
          <t>Lote 400 m²</t>
        </is>
      </c>
      <c r="C70" s="7" t="inlineStr">
        <is>
          <t>texto (até 100)</t>
        </is>
      </c>
      <c r="D70" s="8" t="inlineStr">
        <is>
          <t>tipologias[3].nome</t>
        </is>
      </c>
    </row>
    <row r="71">
      <c r="A71" s="5" t="inlineStr">
        <is>
          <t>Lote 3 — Área privativa (fechada)</t>
        </is>
      </c>
      <c r="B71" s="10" t="n">
        <v>400</v>
      </c>
      <c r="C71" s="7" t="inlineStr">
        <is>
          <t>m²</t>
        </is>
      </c>
      <c r="D71" s="8" t="inlineStr">
        <is>
          <t>tipologias[3].area_privativa_m2</t>
        </is>
      </c>
    </row>
    <row r="72">
      <c r="A72" s="5" t="inlineStr">
        <is>
          <t>Lote 3 — Área aberta</t>
        </is>
      </c>
      <c r="B72" s="10" t="n">
        <v>0</v>
      </c>
      <c r="C72" s="7" t="inlineStr">
        <is>
          <t>m² (entra no VGV)</t>
        </is>
      </c>
      <c r="D72" s="8" t="inlineStr">
        <is>
          <t>tipologias[3].area_privativa_aberta_m2</t>
        </is>
      </c>
    </row>
    <row r="73">
      <c r="A73" s="5" t="inlineStr">
        <is>
          <t>Lote 3 — Unidades</t>
        </is>
      </c>
      <c r="B73" s="14" t="n">
        <v>75</v>
      </c>
      <c r="C73" s="7" t="inlineStr">
        <is>
          <t>unidades (inteiro &gt; 0)</t>
        </is>
      </c>
      <c r="D73" s="8" t="inlineStr">
        <is>
          <t>tipologias[3].quantidade</t>
        </is>
      </c>
    </row>
    <row r="74">
      <c r="A74" s="5" t="inlineStr">
        <is>
          <t>Lote 3 — Preço/m² sugerido</t>
        </is>
      </c>
      <c r="B74" s="16" t="n">
        <v>700</v>
      </c>
      <c r="C74" s="7" t="inlineStr">
        <is>
          <t>R$/m² (preço padrão da alocação)</t>
        </is>
      </c>
      <c r="D74" s="8" t="inlineStr">
        <is>
          <t>tipologias[3].preco_m2</t>
        </is>
      </c>
    </row>
    <row r="75">
      <c r="A75" s="15" t="inlineStr">
        <is>
          <t>Lote 4</t>
        </is>
      </c>
    </row>
    <row r="76">
      <c r="A76" s="5" t="inlineStr">
        <is>
          <t>Lote 4 — Nome</t>
        </is>
      </c>
      <c r="B76" s="6" t="inlineStr">
        <is>
          <t>Lote comercial 600 m²</t>
        </is>
      </c>
      <c r="C76" s="7" t="inlineStr">
        <is>
          <t>texto (até 100)</t>
        </is>
      </c>
      <c r="D76" s="8" t="inlineStr">
        <is>
          <t>tipologias[4].nome</t>
        </is>
      </c>
    </row>
    <row r="77">
      <c r="A77" s="5" t="inlineStr">
        <is>
          <t>Lote 4 — Área privativa (fechada)</t>
        </is>
      </c>
      <c r="B77" s="10" t="n">
        <v>600</v>
      </c>
      <c r="C77" s="7" t="inlineStr">
        <is>
          <t>m²</t>
        </is>
      </c>
      <c r="D77" s="8" t="inlineStr">
        <is>
          <t>tipologias[4].area_privativa_m2</t>
        </is>
      </c>
    </row>
    <row r="78">
      <c r="A78" s="5" t="inlineStr">
        <is>
          <t>Lote 4 — Área aberta</t>
        </is>
      </c>
      <c r="B78" s="10" t="n">
        <v>0</v>
      </c>
      <c r="C78" s="7" t="inlineStr">
        <is>
          <t>m² (entra no VGV)</t>
        </is>
      </c>
      <c r="D78" s="8" t="inlineStr">
        <is>
          <t>tipologias[4].area_privativa_aberta_m2</t>
        </is>
      </c>
    </row>
    <row r="79">
      <c r="A79" s="5" t="inlineStr">
        <is>
          <t>Lote 4 — Unidades</t>
        </is>
      </c>
      <c r="B79" s="14" t="n">
        <v>25</v>
      </c>
      <c r="C79" s="7" t="inlineStr">
        <is>
          <t>unidades (inteiro &gt; 0)</t>
        </is>
      </c>
      <c r="D79" s="8" t="inlineStr">
        <is>
          <t>tipologias[4].quantidade</t>
        </is>
      </c>
    </row>
    <row r="80">
      <c r="A80" s="5" t="inlineStr">
        <is>
          <t>Lote 4 — Preço/m² sugerido</t>
        </is>
      </c>
      <c r="B80" s="16" t="n">
        <v>1100</v>
      </c>
      <c r="C80" s="7" t="inlineStr">
        <is>
          <t>R$/m² (preço padrão da alocação)</t>
        </is>
      </c>
      <c r="D80" s="8" t="inlineStr">
        <is>
          <t>tipologias[4].preco_m2</t>
        </is>
      </c>
    </row>
    <row r="81">
      <c r="A81" s="15" t="inlineStr">
        <is>
          <t>Lote 5</t>
        </is>
      </c>
    </row>
    <row r="82">
      <c r="A82" s="5" t="inlineStr">
        <is>
          <t>Lote 5 — Nome</t>
        </is>
      </c>
      <c r="B82" s="6" t="n"/>
      <c r="C82" s="7" t="inlineStr">
        <is>
          <t>texto (até 100)</t>
        </is>
      </c>
      <c r="D82" s="8" t="inlineStr">
        <is>
          <t>tipologias[5].nome</t>
        </is>
      </c>
    </row>
    <row r="83">
      <c r="A83" s="5" t="inlineStr">
        <is>
          <t>Lote 5 — Área privativa (fechada)</t>
        </is>
      </c>
      <c r="B83" s="10" t="n"/>
      <c r="C83" s="7" t="inlineStr">
        <is>
          <t>m²</t>
        </is>
      </c>
      <c r="D83" s="8" t="inlineStr">
        <is>
          <t>tipologias[5].area_privativa_m2</t>
        </is>
      </c>
    </row>
    <row r="84">
      <c r="A84" s="5" t="inlineStr">
        <is>
          <t>Lote 5 — Área aberta</t>
        </is>
      </c>
      <c r="B84" s="10" t="n"/>
      <c r="C84" s="7" t="inlineStr">
        <is>
          <t>m² (entra no VGV)</t>
        </is>
      </c>
      <c r="D84" s="8" t="inlineStr">
        <is>
          <t>tipologias[5].area_privativa_aberta_m2</t>
        </is>
      </c>
    </row>
    <row r="85">
      <c r="A85" s="5" t="inlineStr">
        <is>
          <t>Lote 5 — Unidades</t>
        </is>
      </c>
      <c r="B85" s="14" t="n"/>
      <c r="C85" s="7" t="inlineStr">
        <is>
          <t>unidades (inteiro &gt; 0)</t>
        </is>
      </c>
      <c r="D85" s="8" t="inlineStr">
        <is>
          <t>tipologias[5].quantidade</t>
        </is>
      </c>
    </row>
    <row r="86">
      <c r="A86" s="5" t="inlineStr">
        <is>
          <t>Lote 5 — Preço/m² sugerido</t>
        </is>
      </c>
      <c r="B86" s="16" t="n"/>
      <c r="C86" s="7" t="inlineStr">
        <is>
          <t>R$/m² (preço padrão da alocação)</t>
        </is>
      </c>
      <c r="D86" s="8" t="inlineStr">
        <is>
          <t>tipologias[5].preco_m2</t>
        </is>
      </c>
    </row>
    <row r="87">
      <c r="A87" s="15" t="inlineStr">
        <is>
          <t>Lote 6</t>
        </is>
      </c>
    </row>
    <row r="88">
      <c r="A88" s="5" t="inlineStr">
        <is>
          <t>Lote 6 — Nome</t>
        </is>
      </c>
      <c r="B88" s="6" t="n"/>
      <c r="C88" s="7" t="inlineStr">
        <is>
          <t>texto (até 100)</t>
        </is>
      </c>
      <c r="D88" s="8" t="inlineStr">
        <is>
          <t>tipologias[6].nome</t>
        </is>
      </c>
    </row>
    <row r="89">
      <c r="A89" s="5" t="inlineStr">
        <is>
          <t>Lote 6 — Área privativa (fechada)</t>
        </is>
      </c>
      <c r="B89" s="10" t="n"/>
      <c r="C89" s="7" t="inlineStr">
        <is>
          <t>m²</t>
        </is>
      </c>
      <c r="D89" s="8" t="inlineStr">
        <is>
          <t>tipologias[6].area_privativa_m2</t>
        </is>
      </c>
    </row>
    <row r="90">
      <c r="A90" s="5" t="inlineStr">
        <is>
          <t>Lote 6 — Área aberta</t>
        </is>
      </c>
      <c r="B90" s="10" t="n"/>
      <c r="C90" s="7" t="inlineStr">
        <is>
          <t>m² (entra no VGV)</t>
        </is>
      </c>
      <c r="D90" s="8" t="inlineStr">
        <is>
          <t>tipologias[6].area_privativa_aberta_m2</t>
        </is>
      </c>
    </row>
    <row r="91">
      <c r="A91" s="5" t="inlineStr">
        <is>
          <t>Lote 6 — Unidades</t>
        </is>
      </c>
      <c r="B91" s="14" t="n"/>
      <c r="C91" s="7" t="inlineStr">
        <is>
          <t>unidades (inteiro &gt; 0)</t>
        </is>
      </c>
      <c r="D91" s="8" t="inlineStr">
        <is>
          <t>tipologias[6].quantidade</t>
        </is>
      </c>
    </row>
    <row r="92">
      <c r="A92" s="5" t="inlineStr">
        <is>
          <t>Lote 6 — Preço/m² sugerido</t>
        </is>
      </c>
      <c r="B92" s="16" t="n"/>
      <c r="C92" s="7" t="inlineStr">
        <is>
          <t>R$/m² (preço padrão da alocação)</t>
        </is>
      </c>
      <c r="D92" s="8" t="inlineStr">
        <is>
          <t>tipologias[6].preco_m2</t>
        </is>
      </c>
    </row>
    <row r="93">
      <c r="A93" s="15" t="inlineStr">
        <is>
          <t>Lote 7</t>
        </is>
      </c>
    </row>
    <row r="94">
      <c r="A94" s="5" t="inlineStr">
        <is>
          <t>Lote 7 — Nome</t>
        </is>
      </c>
      <c r="B94" s="6" t="n"/>
      <c r="C94" s="7" t="inlineStr">
        <is>
          <t>texto (até 100)</t>
        </is>
      </c>
      <c r="D94" s="8" t="inlineStr">
        <is>
          <t>tipologias[7].nome</t>
        </is>
      </c>
    </row>
    <row r="95">
      <c r="A95" s="5" t="inlineStr">
        <is>
          <t>Lote 7 — Área privativa (fechada)</t>
        </is>
      </c>
      <c r="B95" s="10" t="n"/>
      <c r="C95" s="7" t="inlineStr">
        <is>
          <t>m²</t>
        </is>
      </c>
      <c r="D95" s="8" t="inlineStr">
        <is>
          <t>tipologias[7].area_privativa_m2</t>
        </is>
      </c>
    </row>
    <row r="96">
      <c r="A96" s="5" t="inlineStr">
        <is>
          <t>Lote 7 — Área aberta</t>
        </is>
      </c>
      <c r="B96" s="10" t="n"/>
      <c r="C96" s="7" t="inlineStr">
        <is>
          <t>m² (entra no VGV)</t>
        </is>
      </c>
      <c r="D96" s="8" t="inlineStr">
        <is>
          <t>tipologias[7].area_privativa_aberta_m2</t>
        </is>
      </c>
    </row>
    <row r="97">
      <c r="A97" s="5" t="inlineStr">
        <is>
          <t>Lote 7 — Unidades</t>
        </is>
      </c>
      <c r="B97" s="14" t="n"/>
      <c r="C97" s="7" t="inlineStr">
        <is>
          <t>unidades (inteiro &gt; 0)</t>
        </is>
      </c>
      <c r="D97" s="8" t="inlineStr">
        <is>
          <t>tipologias[7].quantidade</t>
        </is>
      </c>
    </row>
    <row r="98">
      <c r="A98" s="5" t="inlineStr">
        <is>
          <t>Lote 7 — Preço/m² sugerido</t>
        </is>
      </c>
      <c r="B98" s="16" t="n"/>
      <c r="C98" s="7" t="inlineStr">
        <is>
          <t>R$/m² (preço padrão da alocação)</t>
        </is>
      </c>
      <c r="D98" s="8" t="inlineStr">
        <is>
          <t>tipologias[7].preco_m2</t>
        </is>
      </c>
    </row>
    <row r="99">
      <c r="A99" s="15" t="inlineStr">
        <is>
          <t>Lote 8</t>
        </is>
      </c>
    </row>
    <row r="100">
      <c r="A100" s="5" t="inlineStr">
        <is>
          <t>Lote 8 — Nome</t>
        </is>
      </c>
      <c r="B100" s="6" t="n"/>
      <c r="C100" s="7" t="inlineStr">
        <is>
          <t>texto (até 100)</t>
        </is>
      </c>
      <c r="D100" s="8" t="inlineStr">
        <is>
          <t>tipologias[8].nome</t>
        </is>
      </c>
    </row>
    <row r="101">
      <c r="A101" s="5" t="inlineStr">
        <is>
          <t>Lote 8 — Área privativa (fechada)</t>
        </is>
      </c>
      <c r="B101" s="10" t="n"/>
      <c r="C101" s="7" t="inlineStr">
        <is>
          <t>m²</t>
        </is>
      </c>
      <c r="D101" s="8" t="inlineStr">
        <is>
          <t>tipologias[8].area_privativa_m2</t>
        </is>
      </c>
    </row>
    <row r="102">
      <c r="A102" s="5" t="inlineStr">
        <is>
          <t>Lote 8 — Área aberta</t>
        </is>
      </c>
      <c r="B102" s="10" t="n"/>
      <c r="C102" s="7" t="inlineStr">
        <is>
          <t>m² (entra no VGV)</t>
        </is>
      </c>
      <c r="D102" s="8" t="inlineStr">
        <is>
          <t>tipologias[8].area_privativa_aberta_m2</t>
        </is>
      </c>
    </row>
    <row r="103">
      <c r="A103" s="5" t="inlineStr">
        <is>
          <t>Lote 8 — Unidades</t>
        </is>
      </c>
      <c r="B103" s="14" t="n"/>
      <c r="C103" s="7" t="inlineStr">
        <is>
          <t>unidades (inteiro &gt; 0)</t>
        </is>
      </c>
      <c r="D103" s="8" t="inlineStr">
        <is>
          <t>tipologias[8].quantidade</t>
        </is>
      </c>
    </row>
    <row r="104">
      <c r="A104" s="5" t="inlineStr">
        <is>
          <t>Lote 8 — Preço/m² sugerido</t>
        </is>
      </c>
      <c r="B104" s="16" t="n"/>
      <c r="C104" s="7" t="inlineStr">
        <is>
          <t>R$/m² (preço padrão da alocação)</t>
        </is>
      </c>
      <c r="D104" s="8" t="inlineStr">
        <is>
          <t>tipologias[8].preco_m2</t>
        </is>
      </c>
    </row>
    <row r="105">
      <c r="A105" s="15" t="inlineStr">
        <is>
          <t>Lote 9</t>
        </is>
      </c>
    </row>
    <row r="106">
      <c r="A106" s="5" t="inlineStr">
        <is>
          <t>Lote 9 — Nome</t>
        </is>
      </c>
      <c r="B106" s="6" t="n"/>
      <c r="C106" s="7" t="inlineStr">
        <is>
          <t>texto (até 100)</t>
        </is>
      </c>
      <c r="D106" s="8" t="inlineStr">
        <is>
          <t>tipologias[9].nome</t>
        </is>
      </c>
    </row>
    <row r="107">
      <c r="A107" s="5" t="inlineStr">
        <is>
          <t>Lote 9 — Área privativa (fechada)</t>
        </is>
      </c>
      <c r="B107" s="10" t="n"/>
      <c r="C107" s="7" t="inlineStr">
        <is>
          <t>m²</t>
        </is>
      </c>
      <c r="D107" s="8" t="inlineStr">
        <is>
          <t>tipologias[9].area_privativa_m2</t>
        </is>
      </c>
    </row>
    <row r="108">
      <c r="A108" s="5" t="inlineStr">
        <is>
          <t>Lote 9 — Área aberta</t>
        </is>
      </c>
      <c r="B108" s="10" t="n"/>
      <c r="C108" s="7" t="inlineStr">
        <is>
          <t>m² (entra no VGV)</t>
        </is>
      </c>
      <c r="D108" s="8" t="inlineStr">
        <is>
          <t>tipologias[9].area_privativa_aberta_m2</t>
        </is>
      </c>
    </row>
    <row r="109">
      <c r="A109" s="5" t="inlineStr">
        <is>
          <t>Lote 9 — Unidades</t>
        </is>
      </c>
      <c r="B109" s="14" t="n"/>
      <c r="C109" s="7" t="inlineStr">
        <is>
          <t>unidades (inteiro &gt; 0)</t>
        </is>
      </c>
      <c r="D109" s="8" t="inlineStr">
        <is>
          <t>tipologias[9].quantidade</t>
        </is>
      </c>
    </row>
    <row r="110">
      <c r="A110" s="5" t="inlineStr">
        <is>
          <t>Lote 9 — Preço/m² sugerido</t>
        </is>
      </c>
      <c r="B110" s="16" t="n"/>
      <c r="C110" s="7" t="inlineStr">
        <is>
          <t>R$/m² (preço padrão da alocação)</t>
        </is>
      </c>
      <c r="D110" s="8" t="inlineStr">
        <is>
          <t>tipologias[9].preco_m2</t>
        </is>
      </c>
    </row>
    <row r="111">
      <c r="A111" s="15" t="inlineStr">
        <is>
          <t>Lote 10</t>
        </is>
      </c>
    </row>
    <row r="112">
      <c r="A112" s="5" t="inlineStr">
        <is>
          <t>Lote 10 — Nome</t>
        </is>
      </c>
      <c r="B112" s="6" t="n"/>
      <c r="C112" s="7" t="inlineStr">
        <is>
          <t>texto (até 100)</t>
        </is>
      </c>
      <c r="D112" s="8" t="inlineStr">
        <is>
          <t>tipologias[10].nome</t>
        </is>
      </c>
    </row>
    <row r="113">
      <c r="A113" s="5" t="inlineStr">
        <is>
          <t>Lote 10 — Área privativa (fechada)</t>
        </is>
      </c>
      <c r="B113" s="10" t="n"/>
      <c r="C113" s="7" t="inlineStr">
        <is>
          <t>m²</t>
        </is>
      </c>
      <c r="D113" s="8" t="inlineStr">
        <is>
          <t>tipologias[10].area_privativa_m2</t>
        </is>
      </c>
    </row>
    <row r="114">
      <c r="A114" s="5" t="inlineStr">
        <is>
          <t>Lote 10 — Área aberta</t>
        </is>
      </c>
      <c r="B114" s="10" t="n"/>
      <c r="C114" s="7" t="inlineStr">
        <is>
          <t>m² (entra no VGV)</t>
        </is>
      </c>
      <c r="D114" s="8" t="inlineStr">
        <is>
          <t>tipologias[10].area_privativa_aberta_m2</t>
        </is>
      </c>
    </row>
    <row r="115">
      <c r="A115" s="5" t="inlineStr">
        <is>
          <t>Lote 10 — Unidades</t>
        </is>
      </c>
      <c r="B115" s="14" t="n"/>
      <c r="C115" s="7" t="inlineStr">
        <is>
          <t>unidades (inteiro &gt; 0)</t>
        </is>
      </c>
      <c r="D115" s="8" t="inlineStr">
        <is>
          <t>tipologias[10].quantidade</t>
        </is>
      </c>
    </row>
    <row r="116">
      <c r="A116" s="5" t="inlineStr">
        <is>
          <t>Lote 10 — Preço/m² sugerido</t>
        </is>
      </c>
      <c r="B116" s="16" t="n"/>
      <c r="C116" s="7" t="inlineStr">
        <is>
          <t>R$/m² (preço padrão da alocação)</t>
        </is>
      </c>
      <c r="D116" s="8" t="inlineStr">
        <is>
          <t>tipologias[10].preco_m2</t>
        </is>
      </c>
    </row>
    <row r="117" ht="20" customHeight="1">
      <c r="A117" s="4" t="inlineStr">
        <is>
          <t>6 · Grupos de venda (Viabilidade › Receitas) — 5 vagas; absorção = % das unidades vendido em cada período</t>
        </is>
      </c>
    </row>
    <row r="118" ht="26" customHeight="1">
      <c r="A118" s="12" t="inlineStr">
        <is>
          <t>Pós-chaves = 100% − Pré − Lançamento − Obra e Repasse = 100% − Σ % do grupo na seção de Pagamento: ambos calculados (zona de referência). Sem pré-lançamento, deixe a absorção de pré em branco.</t>
        </is>
      </c>
    </row>
    <row r="119" ht="39" customHeight="1">
      <c r="A119" s="12" t="inlineStr">
        <is>
          <t>Saldo de chaves = o Repasse acima. "Repasse bancário" é a parte dele paga pelo banco no mês seguinte ao fim da obra (vazio = 100%, tudo no banco). O resto vira carteira própria: a empresa financia o comprador em N parcelas mensais Price com os Juros de tabela, a partir do mês seguinte ao fim da obra + a carência (nunca antes do mês seguinte à venda): também a venda feita depois da entrega tem essa parte financiada. Loteamento sem banco: 0%.</t>
        </is>
      </c>
    </row>
    <row r="120">
      <c r="A120" s="15" t="inlineStr">
        <is>
          <t>Grupo de venda 1</t>
        </is>
      </c>
    </row>
    <row r="121">
      <c r="A121" s="5" t="inlineStr">
        <is>
          <t>Grupo 1 — Nome</t>
        </is>
      </c>
      <c r="B121" s="6" t="inlineStr">
        <is>
          <t>Etapa 1</t>
        </is>
      </c>
      <c r="C121" s="7" t="inlineStr">
        <is>
          <t>texto</t>
        </is>
      </c>
      <c r="D121" s="8" t="inlineStr">
        <is>
          <t>grupos[1].nome</t>
        </is>
      </c>
    </row>
    <row r="122">
      <c r="A122" s="5" t="inlineStr">
        <is>
          <t>Grupo 1 — Absorção no Pré-lançamento (só com pré)</t>
        </is>
      </c>
      <c r="B122" s="11" t="n"/>
      <c r="C122" s="7" t="inlineStr">
        <is>
          <t>% das unidades</t>
        </is>
      </c>
      <c r="D122" s="8" t="inlineStr">
        <is>
          <t>grupos[1].pre_lancamento_pct</t>
        </is>
      </c>
    </row>
    <row r="123">
      <c r="A123" s="5" t="inlineStr">
        <is>
          <t>Grupo 1 — Absorção no Lançamento</t>
        </is>
      </c>
      <c r="B123" s="11" t="n">
        <v>0.25</v>
      </c>
      <c r="C123" s="7" t="inlineStr">
        <is>
          <t>% das unidades</t>
        </is>
      </c>
      <c r="D123" s="8" t="inlineStr">
        <is>
          <t>grupos[1].lancamento_pct</t>
        </is>
      </c>
    </row>
    <row r="124">
      <c r="A124" s="5" t="inlineStr">
        <is>
          <t>Grupo 1 — Absorção Durante a obra</t>
        </is>
      </c>
      <c r="B124" s="11" t="n">
        <v>0.6</v>
      </c>
      <c r="C124" s="7" t="inlineStr">
        <is>
          <t>% das unidades</t>
        </is>
      </c>
      <c r="D124" s="8" t="inlineStr">
        <is>
          <t>grupos[1].obra_pct</t>
        </is>
      </c>
    </row>
    <row r="125">
      <c r="A125" s="5" t="inlineStr">
        <is>
          <t>Grupo 1 — Janela pós-chaves</t>
        </is>
      </c>
      <c r="B125" s="14" t="n">
        <v>12</v>
      </c>
      <c r="C125" s="7" t="inlineStr">
        <is>
          <t>meses (1 a 12)</t>
        </is>
      </c>
      <c r="D125" s="8" t="inlineStr">
        <is>
          <t>grupos[1].pos_chaves_meses</t>
        </is>
      </c>
    </row>
    <row r="126">
      <c r="A126" s="5" t="inlineStr">
        <is>
          <t>Grupo 1 — Correção de estoque</t>
        </is>
      </c>
      <c r="B126" s="6" t="inlineStr">
        <is>
          <t>Não</t>
        </is>
      </c>
      <c r="C126" s="7" t="inlineStr">
        <is>
          <t>Sim/Não</t>
        </is>
      </c>
      <c r="D126" s="8" t="inlineStr">
        <is>
          <t>grupos[1].correcao_estoque</t>
        </is>
      </c>
    </row>
    <row r="127">
      <c r="A127" s="5" t="inlineStr">
        <is>
          <t>Grupo 1 — Resíduo sem prazo</t>
        </is>
      </c>
      <c r="B127" s="6" t="inlineStr">
        <is>
          <t>imediato</t>
        </is>
      </c>
      <c r="C127" s="7" t="inlineStr">
        <is>
          <t>lista: imediato | concentrado</t>
        </is>
      </c>
      <c r="D127" s="8" t="inlineStr">
        <is>
          <t>grupos[1].residuo_sem_prazo</t>
        </is>
      </c>
    </row>
    <row r="128">
      <c r="A128" s="5" t="inlineStr">
        <is>
          <t>Grupo 1 — Repasse bancário</t>
        </is>
      </c>
      <c r="B128" s="11" t="n"/>
      <c r="C128" s="7" t="inlineStr">
        <is>
          <t>% do saldo de chaves (vazio = 100%)</t>
        </is>
      </c>
      <c r="D128" s="8" t="inlineStr">
        <is>
          <t>grupos[1].repasse_banco_pct</t>
        </is>
      </c>
    </row>
    <row r="129">
      <c r="A129" s="5" t="inlineStr">
        <is>
          <t>Grupo 1 — Carteira própria: nº de parcelas (só com repasse &lt; 100%)</t>
        </is>
      </c>
      <c r="B129" s="14" t="n"/>
      <c r="C129" s="7" t="inlineStr">
        <is>
          <t>inteiro (≥ 1)</t>
        </is>
      </c>
      <c r="D129" s="8" t="inlineStr">
        <is>
          <t>grupos[1].carteira_parcelas</t>
        </is>
      </c>
    </row>
    <row r="130">
      <c r="A130" s="5" t="inlineStr">
        <is>
          <t>Grupo 1 — Carteira própria: carência após a entrega</t>
        </is>
      </c>
      <c r="B130" s="14" t="n"/>
      <c r="C130" s="7" t="inlineStr">
        <is>
          <t>meses (inteiro ≥ 0; vazio = 0)</t>
        </is>
      </c>
      <c r="D130" s="8" t="inlineStr">
        <is>
          <t>grupos[1].carteira_carencia_meses</t>
        </is>
      </c>
    </row>
    <row r="131">
      <c r="A131" s="15" t="inlineStr">
        <is>
          <t>Grupo de venda 2</t>
        </is>
      </c>
    </row>
    <row r="132">
      <c r="A132" s="5" t="inlineStr">
        <is>
          <t>Grupo 2 — Nome</t>
        </is>
      </c>
      <c r="B132" s="6" t="inlineStr">
        <is>
          <t>Etapa 2</t>
        </is>
      </c>
      <c r="C132" s="7" t="inlineStr">
        <is>
          <t>texto</t>
        </is>
      </c>
      <c r="D132" s="8" t="inlineStr">
        <is>
          <t>grupos[2].nome</t>
        </is>
      </c>
    </row>
    <row r="133">
      <c r="A133" s="5" t="inlineStr">
        <is>
          <t>Grupo 2 — Absorção no Pré-lançamento (só com pré)</t>
        </is>
      </c>
      <c r="B133" s="11" t="n"/>
      <c r="C133" s="7" t="inlineStr">
        <is>
          <t>% das unidades</t>
        </is>
      </c>
      <c r="D133" s="8" t="inlineStr">
        <is>
          <t>grupos[2].pre_lancamento_pct</t>
        </is>
      </c>
    </row>
    <row r="134">
      <c r="A134" s="5" t="inlineStr">
        <is>
          <t>Grupo 2 — Absorção no Lançamento</t>
        </is>
      </c>
      <c r="B134" s="11" t="n">
        <v>0</v>
      </c>
      <c r="C134" s="7" t="inlineStr">
        <is>
          <t>% das unidades</t>
        </is>
      </c>
      <c r="D134" s="8" t="inlineStr">
        <is>
          <t>grupos[2].lancamento_pct</t>
        </is>
      </c>
    </row>
    <row r="135">
      <c r="A135" s="5" t="inlineStr">
        <is>
          <t>Grupo 2 — Absorção Durante a obra</t>
        </is>
      </c>
      <c r="B135" s="11" t="n">
        <v>0.5</v>
      </c>
      <c r="C135" s="7" t="inlineStr">
        <is>
          <t>% das unidades</t>
        </is>
      </c>
      <c r="D135" s="8" t="inlineStr">
        <is>
          <t>grupos[2].obra_pct</t>
        </is>
      </c>
    </row>
    <row r="136">
      <c r="A136" s="5" t="inlineStr">
        <is>
          <t>Grupo 2 — Janela pós-chaves</t>
        </is>
      </c>
      <c r="B136" s="14" t="n">
        <v>12</v>
      </c>
      <c r="C136" s="7" t="inlineStr">
        <is>
          <t>meses (1 a 12)</t>
        </is>
      </c>
      <c r="D136" s="8" t="inlineStr">
        <is>
          <t>grupos[2].pos_chaves_meses</t>
        </is>
      </c>
    </row>
    <row r="137">
      <c r="A137" s="5" t="inlineStr">
        <is>
          <t>Grupo 2 — Correção de estoque</t>
        </is>
      </c>
      <c r="B137" s="6" t="inlineStr">
        <is>
          <t>Não</t>
        </is>
      </c>
      <c r="C137" s="7" t="inlineStr">
        <is>
          <t>Sim/Não</t>
        </is>
      </c>
      <c r="D137" s="8" t="inlineStr">
        <is>
          <t>grupos[2].correcao_estoque</t>
        </is>
      </c>
    </row>
    <row r="138">
      <c r="A138" s="5" t="inlineStr">
        <is>
          <t>Grupo 2 — Resíduo sem prazo</t>
        </is>
      </c>
      <c r="B138" s="6" t="inlineStr">
        <is>
          <t>imediato</t>
        </is>
      </c>
      <c r="C138" s="7" t="inlineStr">
        <is>
          <t>lista: imediato | concentrado</t>
        </is>
      </c>
      <c r="D138" s="8" t="inlineStr">
        <is>
          <t>grupos[2].residuo_sem_prazo</t>
        </is>
      </c>
    </row>
    <row r="139">
      <c r="A139" s="5" t="inlineStr">
        <is>
          <t>Grupo 2 — Repasse bancário</t>
        </is>
      </c>
      <c r="B139" s="11" t="n"/>
      <c r="C139" s="7" t="inlineStr">
        <is>
          <t>% do saldo de chaves (vazio = 100%)</t>
        </is>
      </c>
      <c r="D139" s="8" t="inlineStr">
        <is>
          <t>grupos[2].repasse_banco_pct</t>
        </is>
      </c>
    </row>
    <row r="140">
      <c r="A140" s="5" t="inlineStr">
        <is>
          <t>Grupo 2 — Carteira própria: nº de parcelas (só com repasse &lt; 100%)</t>
        </is>
      </c>
      <c r="B140" s="14" t="n"/>
      <c r="C140" s="7" t="inlineStr">
        <is>
          <t>inteiro (≥ 1)</t>
        </is>
      </c>
      <c r="D140" s="8" t="inlineStr">
        <is>
          <t>grupos[2].carteira_parcelas</t>
        </is>
      </c>
    </row>
    <row r="141">
      <c r="A141" s="5" t="inlineStr">
        <is>
          <t>Grupo 2 — Carteira própria: carência após a entrega</t>
        </is>
      </c>
      <c r="B141" s="14" t="n"/>
      <c r="C141" s="7" t="inlineStr">
        <is>
          <t>meses (inteiro ≥ 0; vazio = 0)</t>
        </is>
      </c>
      <c r="D141" s="8" t="inlineStr">
        <is>
          <t>grupos[2].carteira_carencia_meses</t>
        </is>
      </c>
    </row>
    <row r="142">
      <c r="A142" s="15" t="inlineStr">
        <is>
          <t>Grupo de venda 3</t>
        </is>
      </c>
    </row>
    <row r="143">
      <c r="A143" s="5" t="inlineStr">
        <is>
          <t>Grupo 3 — Nome</t>
        </is>
      </c>
      <c r="B143" s="6" t="n"/>
      <c r="C143" s="7" t="inlineStr">
        <is>
          <t>texto</t>
        </is>
      </c>
      <c r="D143" s="8" t="inlineStr">
        <is>
          <t>grupos[3].nome</t>
        </is>
      </c>
    </row>
    <row r="144">
      <c r="A144" s="5" t="inlineStr">
        <is>
          <t>Grupo 3 — Absorção no Pré-lançamento (só com pré)</t>
        </is>
      </c>
      <c r="B144" s="11" t="n"/>
      <c r="C144" s="7" t="inlineStr">
        <is>
          <t>% das unidades</t>
        </is>
      </c>
      <c r="D144" s="8" t="inlineStr">
        <is>
          <t>grupos[3].pre_lancamento_pct</t>
        </is>
      </c>
    </row>
    <row r="145">
      <c r="A145" s="5" t="inlineStr">
        <is>
          <t>Grupo 3 — Absorção no Lançamento</t>
        </is>
      </c>
      <c r="B145" s="11" t="n"/>
      <c r="C145" s="7" t="inlineStr">
        <is>
          <t>% das unidades</t>
        </is>
      </c>
      <c r="D145" s="8" t="inlineStr">
        <is>
          <t>grupos[3].lancamento_pct</t>
        </is>
      </c>
    </row>
    <row r="146">
      <c r="A146" s="5" t="inlineStr">
        <is>
          <t>Grupo 3 — Absorção Durante a obra</t>
        </is>
      </c>
      <c r="B146" s="11" t="n"/>
      <c r="C146" s="7" t="inlineStr">
        <is>
          <t>% das unidades</t>
        </is>
      </c>
      <c r="D146" s="8" t="inlineStr">
        <is>
          <t>grupos[3].obra_pct</t>
        </is>
      </c>
    </row>
    <row r="147">
      <c r="A147" s="5" t="inlineStr">
        <is>
          <t>Grupo 3 — Janela pós-chaves</t>
        </is>
      </c>
      <c r="B147" s="14" t="n"/>
      <c r="C147" s="7" t="inlineStr">
        <is>
          <t>meses (1 a 12)</t>
        </is>
      </c>
      <c r="D147" s="8" t="inlineStr">
        <is>
          <t>grupos[3].pos_chaves_meses</t>
        </is>
      </c>
    </row>
    <row r="148">
      <c r="A148" s="5" t="inlineStr">
        <is>
          <t>Grupo 3 — Correção de estoque</t>
        </is>
      </c>
      <c r="B148" s="6" t="n"/>
      <c r="C148" s="7" t="inlineStr">
        <is>
          <t>Sim/Não</t>
        </is>
      </c>
      <c r="D148" s="8" t="inlineStr">
        <is>
          <t>grupos[3].correcao_estoque</t>
        </is>
      </c>
    </row>
    <row r="149">
      <c r="A149" s="5" t="inlineStr">
        <is>
          <t>Grupo 3 — Resíduo sem prazo</t>
        </is>
      </c>
      <c r="B149" s="6" t="n"/>
      <c r="C149" s="7" t="inlineStr">
        <is>
          <t>lista: imediato | concentrado</t>
        </is>
      </c>
      <c r="D149" s="8" t="inlineStr">
        <is>
          <t>grupos[3].residuo_sem_prazo</t>
        </is>
      </c>
    </row>
    <row r="150">
      <c r="A150" s="5" t="inlineStr">
        <is>
          <t>Grupo 3 — Repasse bancário</t>
        </is>
      </c>
      <c r="B150" s="11" t="n"/>
      <c r="C150" s="7" t="inlineStr">
        <is>
          <t>% do saldo de chaves (vazio = 100%)</t>
        </is>
      </c>
      <c r="D150" s="8" t="inlineStr">
        <is>
          <t>grupos[3].repasse_banco_pct</t>
        </is>
      </c>
    </row>
    <row r="151">
      <c r="A151" s="5" t="inlineStr">
        <is>
          <t>Grupo 3 — Carteira própria: nº de parcelas (só com repasse &lt; 100%)</t>
        </is>
      </c>
      <c r="B151" s="14" t="n"/>
      <c r="C151" s="7" t="inlineStr">
        <is>
          <t>inteiro (≥ 1)</t>
        </is>
      </c>
      <c r="D151" s="8" t="inlineStr">
        <is>
          <t>grupos[3].carteira_parcelas</t>
        </is>
      </c>
    </row>
    <row r="152">
      <c r="A152" s="5" t="inlineStr">
        <is>
          <t>Grupo 3 — Carteira própria: carência após a entrega</t>
        </is>
      </c>
      <c r="B152" s="14" t="n"/>
      <c r="C152" s="7" t="inlineStr">
        <is>
          <t>meses (inteiro ≥ 0; vazio = 0)</t>
        </is>
      </c>
      <c r="D152" s="8" t="inlineStr">
        <is>
          <t>grupos[3].carteira_carencia_meses</t>
        </is>
      </c>
    </row>
    <row r="153">
      <c r="A153" s="15" t="inlineStr">
        <is>
          <t>Grupo de venda 4</t>
        </is>
      </c>
    </row>
    <row r="154">
      <c r="A154" s="5" t="inlineStr">
        <is>
          <t>Grupo 4 — Nome</t>
        </is>
      </c>
      <c r="B154" s="6" t="n"/>
      <c r="C154" s="7" t="inlineStr">
        <is>
          <t>texto</t>
        </is>
      </c>
      <c r="D154" s="8" t="inlineStr">
        <is>
          <t>grupos[4].nome</t>
        </is>
      </c>
    </row>
    <row r="155">
      <c r="A155" s="5" t="inlineStr">
        <is>
          <t>Grupo 4 — Absorção no Pré-lançamento (só com pré)</t>
        </is>
      </c>
      <c r="B155" s="11" t="n"/>
      <c r="C155" s="7" t="inlineStr">
        <is>
          <t>% das unidades</t>
        </is>
      </c>
      <c r="D155" s="8" t="inlineStr">
        <is>
          <t>grupos[4].pre_lancamento_pct</t>
        </is>
      </c>
    </row>
    <row r="156">
      <c r="A156" s="5" t="inlineStr">
        <is>
          <t>Grupo 4 — Absorção no Lançamento</t>
        </is>
      </c>
      <c r="B156" s="11" t="n"/>
      <c r="C156" s="7" t="inlineStr">
        <is>
          <t>% das unidades</t>
        </is>
      </c>
      <c r="D156" s="8" t="inlineStr">
        <is>
          <t>grupos[4].lancamento_pct</t>
        </is>
      </c>
    </row>
    <row r="157">
      <c r="A157" s="5" t="inlineStr">
        <is>
          <t>Grupo 4 — Absorção Durante a obra</t>
        </is>
      </c>
      <c r="B157" s="11" t="n"/>
      <c r="C157" s="7" t="inlineStr">
        <is>
          <t>% das unidades</t>
        </is>
      </c>
      <c r="D157" s="8" t="inlineStr">
        <is>
          <t>grupos[4].obra_pct</t>
        </is>
      </c>
    </row>
    <row r="158">
      <c r="A158" s="5" t="inlineStr">
        <is>
          <t>Grupo 4 — Janela pós-chaves</t>
        </is>
      </c>
      <c r="B158" s="14" t="n"/>
      <c r="C158" s="7" t="inlineStr">
        <is>
          <t>meses (1 a 12)</t>
        </is>
      </c>
      <c r="D158" s="8" t="inlineStr">
        <is>
          <t>grupos[4].pos_chaves_meses</t>
        </is>
      </c>
    </row>
    <row r="159">
      <c r="A159" s="5" t="inlineStr">
        <is>
          <t>Grupo 4 — Correção de estoque</t>
        </is>
      </c>
      <c r="B159" s="6" t="n"/>
      <c r="C159" s="7" t="inlineStr">
        <is>
          <t>Sim/Não</t>
        </is>
      </c>
      <c r="D159" s="8" t="inlineStr">
        <is>
          <t>grupos[4].correcao_estoque</t>
        </is>
      </c>
    </row>
    <row r="160">
      <c r="A160" s="5" t="inlineStr">
        <is>
          <t>Grupo 4 — Resíduo sem prazo</t>
        </is>
      </c>
      <c r="B160" s="6" t="n"/>
      <c r="C160" s="7" t="inlineStr">
        <is>
          <t>lista: imediato | concentrado</t>
        </is>
      </c>
      <c r="D160" s="8" t="inlineStr">
        <is>
          <t>grupos[4].residuo_sem_prazo</t>
        </is>
      </c>
    </row>
    <row r="161">
      <c r="A161" s="5" t="inlineStr">
        <is>
          <t>Grupo 4 — Repasse bancário</t>
        </is>
      </c>
      <c r="B161" s="11" t="n"/>
      <c r="C161" s="7" t="inlineStr">
        <is>
          <t>% do saldo de chaves (vazio = 100%)</t>
        </is>
      </c>
      <c r="D161" s="8" t="inlineStr">
        <is>
          <t>grupos[4].repasse_banco_pct</t>
        </is>
      </c>
    </row>
    <row r="162">
      <c r="A162" s="5" t="inlineStr">
        <is>
          <t>Grupo 4 — Carteira própria: nº de parcelas (só com repasse &lt; 100%)</t>
        </is>
      </c>
      <c r="B162" s="14" t="n"/>
      <c r="C162" s="7" t="inlineStr">
        <is>
          <t>inteiro (≥ 1)</t>
        </is>
      </c>
      <c r="D162" s="8" t="inlineStr">
        <is>
          <t>grupos[4].carteira_parcelas</t>
        </is>
      </c>
    </row>
    <row r="163">
      <c r="A163" s="5" t="inlineStr">
        <is>
          <t>Grupo 4 — Carteira própria: carência após a entrega</t>
        </is>
      </c>
      <c r="B163" s="14" t="n"/>
      <c r="C163" s="7" t="inlineStr">
        <is>
          <t>meses (inteiro ≥ 0; vazio = 0)</t>
        </is>
      </c>
      <c r="D163" s="8" t="inlineStr">
        <is>
          <t>grupos[4].carteira_carencia_meses</t>
        </is>
      </c>
    </row>
    <row r="164">
      <c r="A164" s="15" t="inlineStr">
        <is>
          <t>Grupo de venda 5</t>
        </is>
      </c>
    </row>
    <row r="165">
      <c r="A165" s="5" t="inlineStr">
        <is>
          <t>Grupo 5 — Nome</t>
        </is>
      </c>
      <c r="B165" s="6" t="n"/>
      <c r="C165" s="7" t="inlineStr">
        <is>
          <t>texto</t>
        </is>
      </c>
      <c r="D165" s="8" t="inlineStr">
        <is>
          <t>grupos[5].nome</t>
        </is>
      </c>
    </row>
    <row r="166">
      <c r="A166" s="5" t="inlineStr">
        <is>
          <t>Grupo 5 — Absorção no Pré-lançamento (só com pré)</t>
        </is>
      </c>
      <c r="B166" s="11" t="n"/>
      <c r="C166" s="7" t="inlineStr">
        <is>
          <t>% das unidades</t>
        </is>
      </c>
      <c r="D166" s="8" t="inlineStr">
        <is>
          <t>grupos[5].pre_lancamento_pct</t>
        </is>
      </c>
    </row>
    <row r="167">
      <c r="A167" s="5" t="inlineStr">
        <is>
          <t>Grupo 5 — Absorção no Lançamento</t>
        </is>
      </c>
      <c r="B167" s="11" t="n"/>
      <c r="C167" s="7" t="inlineStr">
        <is>
          <t>% das unidades</t>
        </is>
      </c>
      <c r="D167" s="8" t="inlineStr">
        <is>
          <t>grupos[5].lancamento_pct</t>
        </is>
      </c>
    </row>
    <row r="168">
      <c r="A168" s="5" t="inlineStr">
        <is>
          <t>Grupo 5 — Absorção Durante a obra</t>
        </is>
      </c>
      <c r="B168" s="11" t="n"/>
      <c r="C168" s="7" t="inlineStr">
        <is>
          <t>% das unidades</t>
        </is>
      </c>
      <c r="D168" s="8" t="inlineStr">
        <is>
          <t>grupos[5].obra_pct</t>
        </is>
      </c>
    </row>
    <row r="169">
      <c r="A169" s="5" t="inlineStr">
        <is>
          <t>Grupo 5 — Janela pós-chaves</t>
        </is>
      </c>
      <c r="B169" s="14" t="n"/>
      <c r="C169" s="7" t="inlineStr">
        <is>
          <t>meses (1 a 12)</t>
        </is>
      </c>
      <c r="D169" s="8" t="inlineStr">
        <is>
          <t>grupos[5].pos_chaves_meses</t>
        </is>
      </c>
    </row>
    <row r="170">
      <c r="A170" s="5" t="inlineStr">
        <is>
          <t>Grupo 5 — Correção de estoque</t>
        </is>
      </c>
      <c r="B170" s="6" t="n"/>
      <c r="C170" s="7" t="inlineStr">
        <is>
          <t>Sim/Não</t>
        </is>
      </c>
      <c r="D170" s="8" t="inlineStr">
        <is>
          <t>grupos[5].correcao_estoque</t>
        </is>
      </c>
    </row>
    <row r="171">
      <c r="A171" s="5" t="inlineStr">
        <is>
          <t>Grupo 5 — Resíduo sem prazo</t>
        </is>
      </c>
      <c r="B171" s="6" t="n"/>
      <c r="C171" s="7" t="inlineStr">
        <is>
          <t>lista: imediato | concentrado</t>
        </is>
      </c>
      <c r="D171" s="8" t="inlineStr">
        <is>
          <t>grupos[5].residuo_sem_prazo</t>
        </is>
      </c>
    </row>
    <row r="172">
      <c r="A172" s="5" t="inlineStr">
        <is>
          <t>Grupo 5 — Repasse bancário</t>
        </is>
      </c>
      <c r="B172" s="11" t="n"/>
      <c r="C172" s="7" t="inlineStr">
        <is>
          <t>% do saldo de chaves (vazio = 100%)</t>
        </is>
      </c>
      <c r="D172" s="8" t="inlineStr">
        <is>
          <t>grupos[5].repasse_banco_pct</t>
        </is>
      </c>
    </row>
    <row r="173">
      <c r="A173" s="5" t="inlineStr">
        <is>
          <t>Grupo 5 — Carteira própria: nº de parcelas (só com repasse &lt; 100%)</t>
        </is>
      </c>
      <c r="B173" s="14" t="n"/>
      <c r="C173" s="7" t="inlineStr">
        <is>
          <t>inteiro (≥ 1)</t>
        </is>
      </c>
      <c r="D173" s="8" t="inlineStr">
        <is>
          <t>grupos[5].carteira_parcelas</t>
        </is>
      </c>
    </row>
    <row r="174">
      <c r="A174" s="5" t="inlineStr">
        <is>
          <t>Grupo 5 — Carteira própria: carência após a entrega</t>
        </is>
      </c>
      <c r="B174" s="14" t="n"/>
      <c r="C174" s="7" t="inlineStr">
        <is>
          <t>meses (inteiro ≥ 0; vazio = 0)</t>
        </is>
      </c>
      <c r="D174" s="8" t="inlineStr">
        <is>
          <t>grupos[5].carteira_carencia_meses</t>
        </is>
      </c>
    </row>
    <row r="175" ht="20" customHeight="1">
      <c r="A175" s="4" t="inlineStr">
        <is>
          <t>7 · Fluxo de pagamento por grupo — 10 vagas (uma linha por condição; até 4 de Parcelamento por grupo)</t>
        </is>
      </c>
    </row>
    <row r="176" ht="26" customHeight="1">
      <c r="A176" s="12" t="inlineStr">
        <is>
          <t>Os juros vêm do campo "Juros de tabela". Nome do grupo exatamente como na seção 6. Σ % do grupo ≤ 100%; o que sobrar é o saldo de chaves (banco × carteira própria: seção 6).</t>
        </is>
      </c>
    </row>
    <row r="177">
      <c r="A177" s="15" t="inlineStr">
        <is>
          <t>Condição de pagamento 1</t>
        </is>
      </c>
    </row>
    <row r="178">
      <c r="A178" s="5" t="inlineStr">
        <is>
          <t>Condição 1 — Grupo</t>
        </is>
      </c>
      <c r="B178" s="6" t="inlineStr">
        <is>
          <t>Etapa 1</t>
        </is>
      </c>
      <c r="C178" s="7" t="inlineStr">
        <is>
          <t>nome do grupo (seção 6)</t>
        </is>
      </c>
      <c r="D178" s="8" t="inlineStr">
        <is>
          <t>pagamento[1].grupo</t>
        </is>
      </c>
    </row>
    <row r="179">
      <c r="A179" s="5" t="inlineStr">
        <is>
          <t>Condição 1 — Linha</t>
        </is>
      </c>
      <c r="B179" s="6" t="inlineStr">
        <is>
          <t>Entrada</t>
        </is>
      </c>
      <c r="C179" s="7" t="inlineStr">
        <is>
          <t>lista: Entrada | Parcelamento</t>
        </is>
      </c>
      <c r="D179" s="8" t="inlineStr">
        <is>
          <t>pagamento[1].linha</t>
        </is>
      </c>
    </row>
    <row r="180">
      <c r="A180" s="5" t="inlineStr">
        <is>
          <t>Condição 1 — % do total</t>
        </is>
      </c>
      <c r="B180" s="11" t="n">
        <v>0.1</v>
      </c>
      <c r="C180" s="7" t="inlineStr">
        <is>
          <t>% do preço</t>
        </is>
      </c>
      <c r="D180" s="8" t="inlineStr">
        <is>
          <t>pagamento[1].pct</t>
        </is>
      </c>
    </row>
    <row r="181">
      <c r="A181" s="5" t="inlineStr">
        <is>
          <t>Condição 1 — Nº de parcelas</t>
        </is>
      </c>
      <c r="B181" s="14" t="n">
        <v>3</v>
      </c>
      <c r="C181" s="7" t="inlineStr">
        <is>
          <t>inteiro (vazio se ao longo da obra)</t>
        </is>
      </c>
      <c r="D181" s="8" t="inlineStr">
        <is>
          <t>pagamento[1].parcelas</t>
        </is>
      </c>
    </row>
    <row r="182">
      <c r="A182" s="5" t="inlineStr">
        <is>
          <t>Condição 1 — Desconto (só Entrada)</t>
        </is>
      </c>
      <c r="B182" s="11" t="n">
        <v>0</v>
      </c>
      <c r="C182" s="7" t="inlineStr">
        <is>
          <t>% sobre a entrada</t>
        </is>
      </c>
      <c r="D182" s="8" t="inlineStr">
        <is>
          <t>pagamento[1].desconto_pct</t>
        </is>
      </c>
    </row>
    <row r="183">
      <c r="A183" s="5" t="inlineStr">
        <is>
          <t>Condição 1 — Sinal (só Parcelamento)</t>
        </is>
      </c>
      <c r="B183" s="11" t="n"/>
      <c r="C183" s="7" t="inlineStr">
        <is>
          <t>% do parcelamento</t>
        </is>
      </c>
      <c r="D183" s="8" t="inlineStr">
        <is>
          <t>pagamento[1].sinal_pct</t>
        </is>
      </c>
    </row>
    <row r="184">
      <c r="A184" s="5" t="inlineStr">
        <is>
          <t>Condição 1 — Ao longo da obra (só Parcelamento)</t>
        </is>
      </c>
      <c r="B184" s="6" t="n"/>
      <c r="C184" s="7" t="inlineStr">
        <is>
          <t>Sim/Não</t>
        </is>
      </c>
      <c r="D184" s="8" t="inlineStr">
        <is>
          <t>pagamento[1].ao_longo_obra</t>
        </is>
      </c>
    </row>
    <row r="185">
      <c r="A185" s="15" t="inlineStr">
        <is>
          <t>Condição de pagamento 2</t>
        </is>
      </c>
    </row>
    <row r="186">
      <c r="A186" s="5" t="inlineStr">
        <is>
          <t>Condição 2 — Grupo</t>
        </is>
      </c>
      <c r="B186" s="6" t="inlineStr">
        <is>
          <t>Etapa 1</t>
        </is>
      </c>
      <c r="C186" s="7" t="inlineStr">
        <is>
          <t>nome do grupo (seção 6)</t>
        </is>
      </c>
      <c r="D186" s="8" t="inlineStr">
        <is>
          <t>pagamento[2].grupo</t>
        </is>
      </c>
    </row>
    <row r="187">
      <c r="A187" s="5" t="inlineStr">
        <is>
          <t>Condição 2 — Linha</t>
        </is>
      </c>
      <c r="B187" s="6" t="inlineStr">
        <is>
          <t>Parcelamento</t>
        </is>
      </c>
      <c r="C187" s="7" t="inlineStr">
        <is>
          <t>lista: Entrada | Parcelamento</t>
        </is>
      </c>
      <c r="D187" s="8" t="inlineStr">
        <is>
          <t>pagamento[2].linha</t>
        </is>
      </c>
    </row>
    <row r="188">
      <c r="A188" s="5" t="inlineStr">
        <is>
          <t>Condição 2 — % do total</t>
        </is>
      </c>
      <c r="B188" s="11" t="n">
        <v>0.9</v>
      </c>
      <c r="C188" s="7" t="inlineStr">
        <is>
          <t>% do preço</t>
        </is>
      </c>
      <c r="D188" s="8" t="inlineStr">
        <is>
          <t>pagamento[2].pct</t>
        </is>
      </c>
    </row>
    <row r="189">
      <c r="A189" s="5" t="inlineStr">
        <is>
          <t>Condição 2 — Nº de parcelas</t>
        </is>
      </c>
      <c r="B189" s="14" t="n">
        <v>120</v>
      </c>
      <c r="C189" s="7" t="inlineStr">
        <is>
          <t>inteiro (vazio se ao longo da obra)</t>
        </is>
      </c>
      <c r="D189" s="8" t="inlineStr">
        <is>
          <t>pagamento[2].parcelas</t>
        </is>
      </c>
    </row>
    <row r="190">
      <c r="A190" s="5" t="inlineStr">
        <is>
          <t>Condição 2 — Desconto (só Entrada)</t>
        </is>
      </c>
      <c r="B190" s="11" t="n"/>
      <c r="C190" s="7" t="inlineStr">
        <is>
          <t>% sobre a entrada</t>
        </is>
      </c>
      <c r="D190" s="8" t="inlineStr">
        <is>
          <t>pagamento[2].desconto_pct</t>
        </is>
      </c>
    </row>
    <row r="191">
      <c r="A191" s="5" t="inlineStr">
        <is>
          <t>Condição 2 — Sinal (só Parcelamento)</t>
        </is>
      </c>
      <c r="B191" s="11" t="n">
        <v>0</v>
      </c>
      <c r="C191" s="7" t="inlineStr">
        <is>
          <t>% do parcelamento</t>
        </is>
      </c>
      <c r="D191" s="8" t="inlineStr">
        <is>
          <t>pagamento[2].sinal_pct</t>
        </is>
      </c>
    </row>
    <row r="192">
      <c r="A192" s="5" t="inlineStr">
        <is>
          <t>Condição 2 — Ao longo da obra (só Parcelamento)</t>
        </is>
      </c>
      <c r="B192" s="6" t="inlineStr">
        <is>
          <t>Não</t>
        </is>
      </c>
      <c r="C192" s="7" t="inlineStr">
        <is>
          <t>Sim/Não</t>
        </is>
      </c>
      <c r="D192" s="8" t="inlineStr">
        <is>
          <t>pagamento[2].ao_longo_obra</t>
        </is>
      </c>
    </row>
    <row r="193">
      <c r="A193" s="15" t="inlineStr">
        <is>
          <t>Condição de pagamento 3</t>
        </is>
      </c>
    </row>
    <row r="194">
      <c r="A194" s="5" t="inlineStr">
        <is>
          <t>Condição 3 — Grupo</t>
        </is>
      </c>
      <c r="B194" s="6" t="inlineStr">
        <is>
          <t>Etapa 2</t>
        </is>
      </c>
      <c r="C194" s="7" t="inlineStr">
        <is>
          <t>nome do grupo (seção 6)</t>
        </is>
      </c>
      <c r="D194" s="8" t="inlineStr">
        <is>
          <t>pagamento[3].grupo</t>
        </is>
      </c>
    </row>
    <row r="195">
      <c r="A195" s="5" t="inlineStr">
        <is>
          <t>Condição 3 — Linha</t>
        </is>
      </c>
      <c r="B195" s="6" t="inlineStr">
        <is>
          <t>Entrada</t>
        </is>
      </c>
      <c r="C195" s="7" t="inlineStr">
        <is>
          <t>lista: Entrada | Parcelamento</t>
        </is>
      </c>
      <c r="D195" s="8" t="inlineStr">
        <is>
          <t>pagamento[3].linha</t>
        </is>
      </c>
    </row>
    <row r="196">
      <c r="A196" s="5" t="inlineStr">
        <is>
          <t>Condição 3 — % do total</t>
        </is>
      </c>
      <c r="B196" s="11" t="n">
        <v>0.2</v>
      </c>
      <c r="C196" s="7" t="inlineStr">
        <is>
          <t>% do preço</t>
        </is>
      </c>
      <c r="D196" s="8" t="inlineStr">
        <is>
          <t>pagamento[3].pct</t>
        </is>
      </c>
    </row>
    <row r="197">
      <c r="A197" s="5" t="inlineStr">
        <is>
          <t>Condição 3 — Nº de parcelas</t>
        </is>
      </c>
      <c r="B197" s="14" t="n">
        <v>1</v>
      </c>
      <c r="C197" s="7" t="inlineStr">
        <is>
          <t>inteiro (vazio se ao longo da obra)</t>
        </is>
      </c>
      <c r="D197" s="8" t="inlineStr">
        <is>
          <t>pagamento[3].parcelas</t>
        </is>
      </c>
    </row>
    <row r="198">
      <c r="A198" s="5" t="inlineStr">
        <is>
          <t>Condição 3 — Desconto (só Entrada)</t>
        </is>
      </c>
      <c r="B198" s="11" t="n">
        <v>0.05</v>
      </c>
      <c r="C198" s="7" t="inlineStr">
        <is>
          <t>% sobre a entrada</t>
        </is>
      </c>
      <c r="D198" s="8" t="inlineStr">
        <is>
          <t>pagamento[3].desconto_pct</t>
        </is>
      </c>
    </row>
    <row r="199">
      <c r="A199" s="5" t="inlineStr">
        <is>
          <t>Condição 3 — Sinal (só Parcelamento)</t>
        </is>
      </c>
      <c r="B199" s="11" t="n"/>
      <c r="C199" s="7" t="inlineStr">
        <is>
          <t>% do parcelamento</t>
        </is>
      </c>
      <c r="D199" s="8" t="inlineStr">
        <is>
          <t>pagamento[3].sinal_pct</t>
        </is>
      </c>
    </row>
    <row r="200">
      <c r="A200" s="5" t="inlineStr">
        <is>
          <t>Condição 3 — Ao longo da obra (só Parcelamento)</t>
        </is>
      </c>
      <c r="B200" s="6" t="n"/>
      <c r="C200" s="7" t="inlineStr">
        <is>
          <t>Sim/Não</t>
        </is>
      </c>
      <c r="D200" s="8" t="inlineStr">
        <is>
          <t>pagamento[3].ao_longo_obra</t>
        </is>
      </c>
    </row>
    <row r="201">
      <c r="A201" s="15" t="inlineStr">
        <is>
          <t>Condição de pagamento 4</t>
        </is>
      </c>
    </row>
    <row r="202">
      <c r="A202" s="5" t="inlineStr">
        <is>
          <t>Condição 4 — Grupo</t>
        </is>
      </c>
      <c r="B202" s="6" t="inlineStr">
        <is>
          <t>Etapa 2</t>
        </is>
      </c>
      <c r="C202" s="7" t="inlineStr">
        <is>
          <t>nome do grupo (seção 6)</t>
        </is>
      </c>
      <c r="D202" s="8" t="inlineStr">
        <is>
          <t>pagamento[4].grupo</t>
        </is>
      </c>
    </row>
    <row r="203">
      <c r="A203" s="5" t="inlineStr">
        <is>
          <t>Condição 4 — Linha</t>
        </is>
      </c>
      <c r="B203" s="6" t="inlineStr">
        <is>
          <t>Parcelamento</t>
        </is>
      </c>
      <c r="C203" s="7" t="inlineStr">
        <is>
          <t>lista: Entrada | Parcelamento</t>
        </is>
      </c>
      <c r="D203" s="8" t="inlineStr">
        <is>
          <t>pagamento[4].linha</t>
        </is>
      </c>
    </row>
    <row r="204">
      <c r="A204" s="5" t="inlineStr">
        <is>
          <t>Condição 4 — % do total</t>
        </is>
      </c>
      <c r="B204" s="11" t="n">
        <v>0.8</v>
      </c>
      <c r="C204" s="7" t="inlineStr">
        <is>
          <t>% do preço</t>
        </is>
      </c>
      <c r="D204" s="8" t="inlineStr">
        <is>
          <t>pagamento[4].pct</t>
        </is>
      </c>
    </row>
    <row r="205">
      <c r="A205" s="5" t="inlineStr">
        <is>
          <t>Condição 4 — Nº de parcelas</t>
        </is>
      </c>
      <c r="B205" s="14" t="n">
        <v>60</v>
      </c>
      <c r="C205" s="7" t="inlineStr">
        <is>
          <t>inteiro (vazio se ao longo da obra)</t>
        </is>
      </c>
      <c r="D205" s="8" t="inlineStr">
        <is>
          <t>pagamento[4].parcelas</t>
        </is>
      </c>
    </row>
    <row r="206">
      <c r="A206" s="5" t="inlineStr">
        <is>
          <t>Condição 4 — Desconto (só Entrada)</t>
        </is>
      </c>
      <c r="B206" s="11" t="n"/>
      <c r="C206" s="7" t="inlineStr">
        <is>
          <t>% sobre a entrada</t>
        </is>
      </c>
      <c r="D206" s="8" t="inlineStr">
        <is>
          <t>pagamento[4].desconto_pct</t>
        </is>
      </c>
    </row>
    <row r="207">
      <c r="A207" s="5" t="inlineStr">
        <is>
          <t>Condição 4 — Sinal (só Parcelamento)</t>
        </is>
      </c>
      <c r="B207" s="11" t="n">
        <v>0</v>
      </c>
      <c r="C207" s="7" t="inlineStr">
        <is>
          <t>% do parcelamento</t>
        </is>
      </c>
      <c r="D207" s="8" t="inlineStr">
        <is>
          <t>pagamento[4].sinal_pct</t>
        </is>
      </c>
    </row>
    <row r="208">
      <c r="A208" s="5" t="inlineStr">
        <is>
          <t>Condição 4 — Ao longo da obra (só Parcelamento)</t>
        </is>
      </c>
      <c r="B208" s="6" t="inlineStr">
        <is>
          <t>Não</t>
        </is>
      </c>
      <c r="C208" s="7" t="inlineStr">
        <is>
          <t>Sim/Não</t>
        </is>
      </c>
      <c r="D208" s="8" t="inlineStr">
        <is>
          <t>pagamento[4].ao_longo_obra</t>
        </is>
      </c>
    </row>
    <row r="209">
      <c r="A209" s="15" t="inlineStr">
        <is>
          <t>Condição de pagamento 5</t>
        </is>
      </c>
    </row>
    <row r="210">
      <c r="A210" s="5" t="inlineStr">
        <is>
          <t>Condição 5 — Grupo</t>
        </is>
      </c>
      <c r="B210" s="6" t="n"/>
      <c r="C210" s="7" t="inlineStr">
        <is>
          <t>nome do grupo (seção 6)</t>
        </is>
      </c>
      <c r="D210" s="8" t="inlineStr">
        <is>
          <t>pagamento[5].grupo</t>
        </is>
      </c>
    </row>
    <row r="211">
      <c r="A211" s="5" t="inlineStr">
        <is>
          <t>Condição 5 — Linha</t>
        </is>
      </c>
      <c r="B211" s="6" t="n"/>
      <c r="C211" s="7" t="inlineStr">
        <is>
          <t>lista: Entrada | Parcelamento</t>
        </is>
      </c>
      <c r="D211" s="8" t="inlineStr">
        <is>
          <t>pagamento[5].linha</t>
        </is>
      </c>
    </row>
    <row r="212">
      <c r="A212" s="5" t="inlineStr">
        <is>
          <t>Condição 5 — % do total</t>
        </is>
      </c>
      <c r="B212" s="11" t="n"/>
      <c r="C212" s="7" t="inlineStr">
        <is>
          <t>% do preço</t>
        </is>
      </c>
      <c r="D212" s="8" t="inlineStr">
        <is>
          <t>pagamento[5].pct</t>
        </is>
      </c>
    </row>
    <row r="213">
      <c r="A213" s="5" t="inlineStr">
        <is>
          <t>Condição 5 — Nº de parcelas</t>
        </is>
      </c>
      <c r="B213" s="14" t="n"/>
      <c r="C213" s="7" t="inlineStr">
        <is>
          <t>inteiro (vazio se ao longo da obra)</t>
        </is>
      </c>
      <c r="D213" s="8" t="inlineStr">
        <is>
          <t>pagamento[5].parcelas</t>
        </is>
      </c>
    </row>
    <row r="214">
      <c r="A214" s="5" t="inlineStr">
        <is>
          <t>Condição 5 — Desconto (só Entrada)</t>
        </is>
      </c>
      <c r="B214" s="11" t="n"/>
      <c r="C214" s="7" t="inlineStr">
        <is>
          <t>% sobre a entrada</t>
        </is>
      </c>
      <c r="D214" s="8" t="inlineStr">
        <is>
          <t>pagamento[5].desconto_pct</t>
        </is>
      </c>
    </row>
    <row r="215">
      <c r="A215" s="5" t="inlineStr">
        <is>
          <t>Condição 5 — Sinal (só Parcelamento)</t>
        </is>
      </c>
      <c r="B215" s="11" t="n"/>
      <c r="C215" s="7" t="inlineStr">
        <is>
          <t>% do parcelamento</t>
        </is>
      </c>
      <c r="D215" s="8" t="inlineStr">
        <is>
          <t>pagamento[5].sinal_pct</t>
        </is>
      </c>
    </row>
    <row r="216">
      <c r="A216" s="5" t="inlineStr">
        <is>
          <t>Condição 5 — Ao longo da obra (só Parcelamento)</t>
        </is>
      </c>
      <c r="B216" s="6" t="n"/>
      <c r="C216" s="7" t="inlineStr">
        <is>
          <t>Sim/Não</t>
        </is>
      </c>
      <c r="D216" s="8" t="inlineStr">
        <is>
          <t>pagamento[5].ao_longo_obra</t>
        </is>
      </c>
    </row>
    <row r="217">
      <c r="A217" s="15" t="inlineStr">
        <is>
          <t>Condição de pagamento 6</t>
        </is>
      </c>
    </row>
    <row r="218">
      <c r="A218" s="5" t="inlineStr">
        <is>
          <t>Condição 6 — Grupo</t>
        </is>
      </c>
      <c r="B218" s="6" t="n"/>
      <c r="C218" s="7" t="inlineStr">
        <is>
          <t>nome do grupo (seção 6)</t>
        </is>
      </c>
      <c r="D218" s="8" t="inlineStr">
        <is>
          <t>pagamento[6].grupo</t>
        </is>
      </c>
    </row>
    <row r="219">
      <c r="A219" s="5" t="inlineStr">
        <is>
          <t>Condição 6 — Linha</t>
        </is>
      </c>
      <c r="B219" s="6" t="n"/>
      <c r="C219" s="7" t="inlineStr">
        <is>
          <t>lista: Entrada | Parcelamento</t>
        </is>
      </c>
      <c r="D219" s="8" t="inlineStr">
        <is>
          <t>pagamento[6].linha</t>
        </is>
      </c>
    </row>
    <row r="220">
      <c r="A220" s="5" t="inlineStr">
        <is>
          <t>Condição 6 — % do total</t>
        </is>
      </c>
      <c r="B220" s="11" t="n"/>
      <c r="C220" s="7" t="inlineStr">
        <is>
          <t>% do preço</t>
        </is>
      </c>
      <c r="D220" s="8" t="inlineStr">
        <is>
          <t>pagamento[6].pct</t>
        </is>
      </c>
    </row>
    <row r="221">
      <c r="A221" s="5" t="inlineStr">
        <is>
          <t>Condição 6 — Nº de parcelas</t>
        </is>
      </c>
      <c r="B221" s="14" t="n"/>
      <c r="C221" s="7" t="inlineStr">
        <is>
          <t>inteiro (vazio se ao longo da obra)</t>
        </is>
      </c>
      <c r="D221" s="8" t="inlineStr">
        <is>
          <t>pagamento[6].parcelas</t>
        </is>
      </c>
    </row>
    <row r="222">
      <c r="A222" s="5" t="inlineStr">
        <is>
          <t>Condição 6 — Desconto (só Entrada)</t>
        </is>
      </c>
      <c r="B222" s="11" t="n"/>
      <c r="C222" s="7" t="inlineStr">
        <is>
          <t>% sobre a entrada</t>
        </is>
      </c>
      <c r="D222" s="8" t="inlineStr">
        <is>
          <t>pagamento[6].desconto_pct</t>
        </is>
      </c>
    </row>
    <row r="223">
      <c r="A223" s="5" t="inlineStr">
        <is>
          <t>Condição 6 — Sinal (só Parcelamento)</t>
        </is>
      </c>
      <c r="B223" s="11" t="n"/>
      <c r="C223" s="7" t="inlineStr">
        <is>
          <t>% do parcelamento</t>
        </is>
      </c>
      <c r="D223" s="8" t="inlineStr">
        <is>
          <t>pagamento[6].sinal_pct</t>
        </is>
      </c>
    </row>
    <row r="224">
      <c r="A224" s="5" t="inlineStr">
        <is>
          <t>Condição 6 — Ao longo da obra (só Parcelamento)</t>
        </is>
      </c>
      <c r="B224" s="6" t="n"/>
      <c r="C224" s="7" t="inlineStr">
        <is>
          <t>Sim/Não</t>
        </is>
      </c>
      <c r="D224" s="8" t="inlineStr">
        <is>
          <t>pagamento[6].ao_longo_obra</t>
        </is>
      </c>
    </row>
    <row r="225">
      <c r="A225" s="15" t="inlineStr">
        <is>
          <t>Condição de pagamento 7</t>
        </is>
      </c>
    </row>
    <row r="226">
      <c r="A226" s="5" t="inlineStr">
        <is>
          <t>Condição 7 — Grupo</t>
        </is>
      </c>
      <c r="B226" s="6" t="n"/>
      <c r="C226" s="7" t="inlineStr">
        <is>
          <t>nome do grupo (seção 6)</t>
        </is>
      </c>
      <c r="D226" s="8" t="inlineStr">
        <is>
          <t>pagamento[7].grupo</t>
        </is>
      </c>
    </row>
    <row r="227">
      <c r="A227" s="5" t="inlineStr">
        <is>
          <t>Condição 7 — Linha</t>
        </is>
      </c>
      <c r="B227" s="6" t="n"/>
      <c r="C227" s="7" t="inlineStr">
        <is>
          <t>lista: Entrada | Parcelamento</t>
        </is>
      </c>
      <c r="D227" s="8" t="inlineStr">
        <is>
          <t>pagamento[7].linha</t>
        </is>
      </c>
    </row>
    <row r="228">
      <c r="A228" s="5" t="inlineStr">
        <is>
          <t>Condição 7 — % do total</t>
        </is>
      </c>
      <c r="B228" s="11" t="n"/>
      <c r="C228" s="7" t="inlineStr">
        <is>
          <t>% do preço</t>
        </is>
      </c>
      <c r="D228" s="8" t="inlineStr">
        <is>
          <t>pagamento[7].pct</t>
        </is>
      </c>
    </row>
    <row r="229">
      <c r="A229" s="5" t="inlineStr">
        <is>
          <t>Condição 7 — Nº de parcelas</t>
        </is>
      </c>
      <c r="B229" s="14" t="n"/>
      <c r="C229" s="7" t="inlineStr">
        <is>
          <t>inteiro (vazio se ao longo da obra)</t>
        </is>
      </c>
      <c r="D229" s="8" t="inlineStr">
        <is>
          <t>pagamento[7].parcelas</t>
        </is>
      </c>
    </row>
    <row r="230">
      <c r="A230" s="5" t="inlineStr">
        <is>
          <t>Condição 7 — Desconto (só Entrada)</t>
        </is>
      </c>
      <c r="B230" s="11" t="n"/>
      <c r="C230" s="7" t="inlineStr">
        <is>
          <t>% sobre a entrada</t>
        </is>
      </c>
      <c r="D230" s="8" t="inlineStr">
        <is>
          <t>pagamento[7].desconto_pct</t>
        </is>
      </c>
    </row>
    <row r="231">
      <c r="A231" s="5" t="inlineStr">
        <is>
          <t>Condição 7 — Sinal (só Parcelamento)</t>
        </is>
      </c>
      <c r="B231" s="11" t="n"/>
      <c r="C231" s="7" t="inlineStr">
        <is>
          <t>% do parcelamento</t>
        </is>
      </c>
      <c r="D231" s="8" t="inlineStr">
        <is>
          <t>pagamento[7].sinal_pct</t>
        </is>
      </c>
    </row>
    <row r="232">
      <c r="A232" s="5" t="inlineStr">
        <is>
          <t>Condição 7 — Ao longo da obra (só Parcelamento)</t>
        </is>
      </c>
      <c r="B232" s="6" t="n"/>
      <c r="C232" s="7" t="inlineStr">
        <is>
          <t>Sim/Não</t>
        </is>
      </c>
      <c r="D232" s="8" t="inlineStr">
        <is>
          <t>pagamento[7].ao_longo_obra</t>
        </is>
      </c>
    </row>
    <row r="233">
      <c r="A233" s="15" t="inlineStr">
        <is>
          <t>Condição de pagamento 8</t>
        </is>
      </c>
    </row>
    <row r="234">
      <c r="A234" s="5" t="inlineStr">
        <is>
          <t>Condição 8 — Grupo</t>
        </is>
      </c>
      <c r="B234" s="6" t="n"/>
      <c r="C234" s="7" t="inlineStr">
        <is>
          <t>nome do grupo (seção 6)</t>
        </is>
      </c>
      <c r="D234" s="8" t="inlineStr">
        <is>
          <t>pagamento[8].grupo</t>
        </is>
      </c>
    </row>
    <row r="235">
      <c r="A235" s="5" t="inlineStr">
        <is>
          <t>Condição 8 — Linha</t>
        </is>
      </c>
      <c r="B235" s="6" t="n"/>
      <c r="C235" s="7" t="inlineStr">
        <is>
          <t>lista: Entrada | Parcelamento</t>
        </is>
      </c>
      <c r="D235" s="8" t="inlineStr">
        <is>
          <t>pagamento[8].linha</t>
        </is>
      </c>
    </row>
    <row r="236">
      <c r="A236" s="5" t="inlineStr">
        <is>
          <t>Condição 8 — % do total</t>
        </is>
      </c>
      <c r="B236" s="11" t="n"/>
      <c r="C236" s="7" t="inlineStr">
        <is>
          <t>% do preço</t>
        </is>
      </c>
      <c r="D236" s="8" t="inlineStr">
        <is>
          <t>pagamento[8].pct</t>
        </is>
      </c>
    </row>
    <row r="237">
      <c r="A237" s="5" t="inlineStr">
        <is>
          <t>Condição 8 — Nº de parcelas</t>
        </is>
      </c>
      <c r="B237" s="14" t="n"/>
      <c r="C237" s="7" t="inlineStr">
        <is>
          <t>inteiro (vazio se ao longo da obra)</t>
        </is>
      </c>
      <c r="D237" s="8" t="inlineStr">
        <is>
          <t>pagamento[8].parcelas</t>
        </is>
      </c>
    </row>
    <row r="238">
      <c r="A238" s="5" t="inlineStr">
        <is>
          <t>Condição 8 — Desconto (só Entrada)</t>
        </is>
      </c>
      <c r="B238" s="11" t="n"/>
      <c r="C238" s="7" t="inlineStr">
        <is>
          <t>% sobre a entrada</t>
        </is>
      </c>
      <c r="D238" s="8" t="inlineStr">
        <is>
          <t>pagamento[8].desconto_pct</t>
        </is>
      </c>
    </row>
    <row r="239">
      <c r="A239" s="5" t="inlineStr">
        <is>
          <t>Condição 8 — Sinal (só Parcelamento)</t>
        </is>
      </c>
      <c r="B239" s="11" t="n"/>
      <c r="C239" s="7" t="inlineStr">
        <is>
          <t>% do parcelamento</t>
        </is>
      </c>
      <c r="D239" s="8" t="inlineStr">
        <is>
          <t>pagamento[8].sinal_pct</t>
        </is>
      </c>
    </row>
    <row r="240">
      <c r="A240" s="5" t="inlineStr">
        <is>
          <t>Condição 8 — Ao longo da obra (só Parcelamento)</t>
        </is>
      </c>
      <c r="B240" s="6" t="n"/>
      <c r="C240" s="7" t="inlineStr">
        <is>
          <t>Sim/Não</t>
        </is>
      </c>
      <c r="D240" s="8" t="inlineStr">
        <is>
          <t>pagamento[8].ao_longo_obra</t>
        </is>
      </c>
    </row>
    <row r="241">
      <c r="A241" s="15" t="inlineStr">
        <is>
          <t>Condição de pagamento 9</t>
        </is>
      </c>
    </row>
    <row r="242">
      <c r="A242" s="5" t="inlineStr">
        <is>
          <t>Condição 9 — Grupo</t>
        </is>
      </c>
      <c r="B242" s="6" t="n"/>
      <c r="C242" s="7" t="inlineStr">
        <is>
          <t>nome do grupo (seção 6)</t>
        </is>
      </c>
      <c r="D242" s="8" t="inlineStr">
        <is>
          <t>pagamento[9].grupo</t>
        </is>
      </c>
    </row>
    <row r="243">
      <c r="A243" s="5" t="inlineStr">
        <is>
          <t>Condição 9 — Linha</t>
        </is>
      </c>
      <c r="B243" s="6" t="n"/>
      <c r="C243" s="7" t="inlineStr">
        <is>
          <t>lista: Entrada | Parcelamento</t>
        </is>
      </c>
      <c r="D243" s="8" t="inlineStr">
        <is>
          <t>pagamento[9].linha</t>
        </is>
      </c>
    </row>
    <row r="244">
      <c r="A244" s="5" t="inlineStr">
        <is>
          <t>Condição 9 — % do total</t>
        </is>
      </c>
      <c r="B244" s="11" t="n"/>
      <c r="C244" s="7" t="inlineStr">
        <is>
          <t>% do preço</t>
        </is>
      </c>
      <c r="D244" s="8" t="inlineStr">
        <is>
          <t>pagamento[9].pct</t>
        </is>
      </c>
    </row>
    <row r="245">
      <c r="A245" s="5" t="inlineStr">
        <is>
          <t>Condição 9 — Nº de parcelas</t>
        </is>
      </c>
      <c r="B245" s="14" t="n"/>
      <c r="C245" s="7" t="inlineStr">
        <is>
          <t>inteiro (vazio se ao longo da obra)</t>
        </is>
      </c>
      <c r="D245" s="8" t="inlineStr">
        <is>
          <t>pagamento[9].parcelas</t>
        </is>
      </c>
    </row>
    <row r="246">
      <c r="A246" s="5" t="inlineStr">
        <is>
          <t>Condição 9 — Desconto (só Entrada)</t>
        </is>
      </c>
      <c r="B246" s="11" t="n"/>
      <c r="C246" s="7" t="inlineStr">
        <is>
          <t>% sobre a entrada</t>
        </is>
      </c>
      <c r="D246" s="8" t="inlineStr">
        <is>
          <t>pagamento[9].desconto_pct</t>
        </is>
      </c>
    </row>
    <row r="247">
      <c r="A247" s="5" t="inlineStr">
        <is>
          <t>Condição 9 — Sinal (só Parcelamento)</t>
        </is>
      </c>
      <c r="B247" s="11" t="n"/>
      <c r="C247" s="7" t="inlineStr">
        <is>
          <t>% do parcelamento</t>
        </is>
      </c>
      <c r="D247" s="8" t="inlineStr">
        <is>
          <t>pagamento[9].sinal_pct</t>
        </is>
      </c>
    </row>
    <row r="248">
      <c r="A248" s="5" t="inlineStr">
        <is>
          <t>Condição 9 — Ao longo da obra (só Parcelamento)</t>
        </is>
      </c>
      <c r="B248" s="6" t="n"/>
      <c r="C248" s="7" t="inlineStr">
        <is>
          <t>Sim/Não</t>
        </is>
      </c>
      <c r="D248" s="8" t="inlineStr">
        <is>
          <t>pagamento[9].ao_longo_obra</t>
        </is>
      </c>
    </row>
    <row r="249">
      <c r="A249" s="15" t="inlineStr">
        <is>
          <t>Condição de pagamento 10</t>
        </is>
      </c>
    </row>
    <row r="250">
      <c r="A250" s="5" t="inlineStr">
        <is>
          <t>Condição 10 — Grupo</t>
        </is>
      </c>
      <c r="B250" s="6" t="n"/>
      <c r="C250" s="7" t="inlineStr">
        <is>
          <t>nome do grupo (seção 6)</t>
        </is>
      </c>
      <c r="D250" s="8" t="inlineStr">
        <is>
          <t>pagamento[10].grupo</t>
        </is>
      </c>
    </row>
    <row r="251">
      <c r="A251" s="5" t="inlineStr">
        <is>
          <t>Condição 10 — Linha</t>
        </is>
      </c>
      <c r="B251" s="6" t="n"/>
      <c r="C251" s="7" t="inlineStr">
        <is>
          <t>lista: Entrada | Parcelamento</t>
        </is>
      </c>
      <c r="D251" s="8" t="inlineStr">
        <is>
          <t>pagamento[10].linha</t>
        </is>
      </c>
    </row>
    <row r="252">
      <c r="A252" s="5" t="inlineStr">
        <is>
          <t>Condição 10 — % do total</t>
        </is>
      </c>
      <c r="B252" s="11" t="n"/>
      <c r="C252" s="7" t="inlineStr">
        <is>
          <t>% do preço</t>
        </is>
      </c>
      <c r="D252" s="8" t="inlineStr">
        <is>
          <t>pagamento[10].pct</t>
        </is>
      </c>
    </row>
    <row r="253">
      <c r="A253" s="5" t="inlineStr">
        <is>
          <t>Condição 10 — Nº de parcelas</t>
        </is>
      </c>
      <c r="B253" s="14" t="n"/>
      <c r="C253" s="7" t="inlineStr">
        <is>
          <t>inteiro (vazio se ao longo da obra)</t>
        </is>
      </c>
      <c r="D253" s="8" t="inlineStr">
        <is>
          <t>pagamento[10].parcelas</t>
        </is>
      </c>
    </row>
    <row r="254">
      <c r="A254" s="5" t="inlineStr">
        <is>
          <t>Condição 10 — Desconto (só Entrada)</t>
        </is>
      </c>
      <c r="B254" s="11" t="n"/>
      <c r="C254" s="7" t="inlineStr">
        <is>
          <t>% sobre a entrada</t>
        </is>
      </c>
      <c r="D254" s="8" t="inlineStr">
        <is>
          <t>pagamento[10].desconto_pct</t>
        </is>
      </c>
    </row>
    <row r="255">
      <c r="A255" s="5" t="inlineStr">
        <is>
          <t>Condição 10 — Sinal (só Parcelamento)</t>
        </is>
      </c>
      <c r="B255" s="11" t="n"/>
      <c r="C255" s="7" t="inlineStr">
        <is>
          <t>% do parcelamento</t>
        </is>
      </c>
      <c r="D255" s="8" t="inlineStr">
        <is>
          <t>pagamento[10].sinal_pct</t>
        </is>
      </c>
    </row>
    <row r="256">
      <c r="A256" s="5" t="inlineStr">
        <is>
          <t>Condição 10 — Ao longo da obra (só Parcelamento)</t>
        </is>
      </c>
      <c r="B256" s="6" t="n"/>
      <c r="C256" s="7" t="inlineStr">
        <is>
          <t>Sim/Não</t>
        </is>
      </c>
      <c r="D256" s="8" t="inlineStr">
        <is>
          <t>pagamento[10].ao_longo_obra</t>
        </is>
      </c>
    </row>
    <row r="257" ht="20" customHeight="1">
      <c r="A257" s="4" t="inlineStr">
        <is>
          <t>8 · Alocações de venda (lote × grupo) — 10 vagas; Σ unidades alocadas por item ≤ catálogo</t>
        </is>
      </c>
    </row>
    <row r="258">
      <c r="A258" s="15" t="inlineStr">
        <is>
          <t>Alocação 1</t>
        </is>
      </c>
    </row>
    <row r="259">
      <c r="A259" s="5" t="inlineStr">
        <is>
          <t>Alocação 1 — Grupo</t>
        </is>
      </c>
      <c r="B259" s="6" t="inlineStr">
        <is>
          <t>Etapa 1</t>
        </is>
      </c>
      <c r="C259" s="7" t="inlineStr">
        <is>
          <t>nome do grupo (seção 6)</t>
        </is>
      </c>
      <c r="D259" s="8" t="inlineStr">
        <is>
          <t>alocacoes[1].grupo</t>
        </is>
      </c>
    </row>
    <row r="260">
      <c r="A260" s="5" t="inlineStr">
        <is>
          <t>Alocação 1 — Lote</t>
        </is>
      </c>
      <c r="B260" s="6" t="inlineStr">
        <is>
          <t>Lote 300 m²</t>
        </is>
      </c>
      <c r="C260" s="7" t="inlineStr">
        <is>
          <t>nome do lote (seção 5)</t>
        </is>
      </c>
      <c r="D260" s="8" t="inlineStr">
        <is>
          <t>alocacoes[1].tipologia</t>
        </is>
      </c>
    </row>
    <row r="261">
      <c r="A261" s="5" t="inlineStr">
        <is>
          <t>Alocação 1 — Unidades</t>
        </is>
      </c>
      <c r="B261" s="14" t="n">
        <v>350</v>
      </c>
      <c r="C261" s="7" t="inlineStr">
        <is>
          <t>unidades (inteiro)</t>
        </is>
      </c>
      <c r="D261" s="8" t="inlineStr">
        <is>
          <t>alocacoes[1].unidades</t>
        </is>
      </c>
    </row>
    <row r="262">
      <c r="A262" s="5" t="inlineStr">
        <is>
          <t>Alocação 1 — Preço</t>
        </is>
      </c>
      <c r="B262" s="16" t="n">
        <v>750</v>
      </c>
      <c r="C262" s="7" t="inlineStr">
        <is>
          <t>R$/m² (sobre privativa + aberta)</t>
        </is>
      </c>
      <c r="D262" s="8" t="inlineStr">
        <is>
          <t>alocacoes[1].preco_m2</t>
        </is>
      </c>
    </row>
    <row r="263">
      <c r="A263" s="15" t="inlineStr">
        <is>
          <t>Alocação 2</t>
        </is>
      </c>
    </row>
    <row r="264">
      <c r="A264" s="5" t="inlineStr">
        <is>
          <t>Alocação 2 — Grupo</t>
        </is>
      </c>
      <c r="B264" s="6" t="inlineStr">
        <is>
          <t>Etapa 1</t>
        </is>
      </c>
      <c r="C264" s="7" t="inlineStr">
        <is>
          <t>nome do grupo (seção 6)</t>
        </is>
      </c>
      <c r="D264" s="8" t="inlineStr">
        <is>
          <t>alocacoes[2].grupo</t>
        </is>
      </c>
    </row>
    <row r="265">
      <c r="A265" s="5" t="inlineStr">
        <is>
          <t>Alocação 2 — Lote</t>
        </is>
      </c>
      <c r="B265" s="6" t="inlineStr">
        <is>
          <t>Lote 250 m²</t>
        </is>
      </c>
      <c r="C265" s="7" t="inlineStr">
        <is>
          <t>nome do lote (seção 5)</t>
        </is>
      </c>
      <c r="D265" s="8" t="inlineStr">
        <is>
          <t>alocacoes[2].tipologia</t>
        </is>
      </c>
    </row>
    <row r="266">
      <c r="A266" s="5" t="inlineStr">
        <is>
          <t>Alocação 2 — Unidades</t>
        </is>
      </c>
      <c r="B266" s="14" t="n">
        <v>300</v>
      </c>
      <c r="C266" s="7" t="inlineStr">
        <is>
          <t>unidades (inteiro)</t>
        </is>
      </c>
      <c r="D266" s="8" t="inlineStr">
        <is>
          <t>alocacoes[2].unidades</t>
        </is>
      </c>
    </row>
    <row r="267">
      <c r="A267" s="5" t="inlineStr">
        <is>
          <t>Alocação 2 — Preço</t>
        </is>
      </c>
      <c r="B267" s="16" t="n">
        <v>800</v>
      </c>
      <c r="C267" s="7" t="inlineStr">
        <is>
          <t>R$/m² (sobre privativa + aberta)</t>
        </is>
      </c>
      <c r="D267" s="8" t="inlineStr">
        <is>
          <t>alocacoes[2].preco_m2</t>
        </is>
      </c>
    </row>
    <row r="268">
      <c r="A268" s="15" t="inlineStr">
        <is>
          <t>Alocação 3</t>
        </is>
      </c>
    </row>
    <row r="269">
      <c r="A269" s="5" t="inlineStr">
        <is>
          <t>Alocação 3 — Grupo</t>
        </is>
      </c>
      <c r="B269" s="6" t="inlineStr">
        <is>
          <t>Etapa 1</t>
        </is>
      </c>
      <c r="C269" s="7" t="inlineStr">
        <is>
          <t>nome do grupo (seção 6)</t>
        </is>
      </c>
      <c r="D269" s="8" t="inlineStr">
        <is>
          <t>alocacoes[3].grupo</t>
        </is>
      </c>
    </row>
    <row r="270">
      <c r="A270" s="5" t="inlineStr">
        <is>
          <t>Alocação 3 — Lote</t>
        </is>
      </c>
      <c r="B270" s="6" t="inlineStr">
        <is>
          <t>Lote comercial 600 m²</t>
        </is>
      </c>
      <c r="C270" s="7" t="inlineStr">
        <is>
          <t>nome do lote (seção 5)</t>
        </is>
      </c>
      <c r="D270" s="8" t="inlineStr">
        <is>
          <t>alocacoes[3].tipologia</t>
        </is>
      </c>
    </row>
    <row r="271">
      <c r="A271" s="5" t="inlineStr">
        <is>
          <t>Alocação 3 — Unidades</t>
        </is>
      </c>
      <c r="B271" s="14" t="n">
        <v>25</v>
      </c>
      <c r="C271" s="7" t="inlineStr">
        <is>
          <t>unidades (inteiro)</t>
        </is>
      </c>
      <c r="D271" s="8" t="inlineStr">
        <is>
          <t>alocacoes[3].unidades</t>
        </is>
      </c>
    </row>
    <row r="272">
      <c r="A272" s="5" t="inlineStr">
        <is>
          <t>Alocação 3 — Preço</t>
        </is>
      </c>
      <c r="B272" s="16" t="n">
        <v>1100</v>
      </c>
      <c r="C272" s="7" t="inlineStr">
        <is>
          <t>R$/m² (sobre privativa + aberta)</t>
        </is>
      </c>
      <c r="D272" s="8" t="inlineStr">
        <is>
          <t>alocacoes[3].preco_m2</t>
        </is>
      </c>
    </row>
    <row r="273">
      <c r="A273" s="15" t="inlineStr">
        <is>
          <t>Alocação 4</t>
        </is>
      </c>
    </row>
    <row r="274">
      <c r="A274" s="5" t="inlineStr">
        <is>
          <t>Alocação 4 — Grupo</t>
        </is>
      </c>
      <c r="B274" s="6" t="inlineStr">
        <is>
          <t>Etapa 2</t>
        </is>
      </c>
      <c r="C274" s="7" t="inlineStr">
        <is>
          <t>nome do grupo (seção 6)</t>
        </is>
      </c>
      <c r="D274" s="8" t="inlineStr">
        <is>
          <t>alocacoes[4].grupo</t>
        </is>
      </c>
    </row>
    <row r="275">
      <c r="A275" s="5" t="inlineStr">
        <is>
          <t>Alocação 4 — Lote</t>
        </is>
      </c>
      <c r="B275" s="6" t="inlineStr">
        <is>
          <t>Lote 300 m²</t>
        </is>
      </c>
      <c r="C275" s="7" t="inlineStr">
        <is>
          <t>nome do lote (seção 5)</t>
        </is>
      </c>
      <c r="D275" s="8" t="inlineStr">
        <is>
          <t>alocacoes[4].tipologia</t>
        </is>
      </c>
    </row>
    <row r="276">
      <c r="A276" s="5" t="inlineStr">
        <is>
          <t>Alocação 4 — Unidades</t>
        </is>
      </c>
      <c r="B276" s="14" t="n">
        <v>250</v>
      </c>
      <c r="C276" s="7" t="inlineStr">
        <is>
          <t>unidades (inteiro)</t>
        </is>
      </c>
      <c r="D276" s="8" t="inlineStr">
        <is>
          <t>alocacoes[4].unidades</t>
        </is>
      </c>
    </row>
    <row r="277">
      <c r="A277" s="5" t="inlineStr">
        <is>
          <t>Alocação 4 — Preço</t>
        </is>
      </c>
      <c r="B277" s="16" t="n">
        <v>750</v>
      </c>
      <c r="C277" s="7" t="inlineStr">
        <is>
          <t>R$/m² (sobre privativa + aberta)</t>
        </is>
      </c>
      <c r="D277" s="8" t="inlineStr">
        <is>
          <t>alocacoes[4].preco_m2</t>
        </is>
      </c>
    </row>
    <row r="278">
      <c r="A278" s="15" t="inlineStr">
        <is>
          <t>Alocação 5</t>
        </is>
      </c>
    </row>
    <row r="279">
      <c r="A279" s="5" t="inlineStr">
        <is>
          <t>Alocação 5 — Grupo</t>
        </is>
      </c>
      <c r="B279" s="6" t="inlineStr">
        <is>
          <t>Etapa 2</t>
        </is>
      </c>
      <c r="C279" s="7" t="inlineStr">
        <is>
          <t>nome do grupo (seção 6)</t>
        </is>
      </c>
      <c r="D279" s="8" t="inlineStr">
        <is>
          <t>alocacoes[5].grupo</t>
        </is>
      </c>
    </row>
    <row r="280">
      <c r="A280" s="5" t="inlineStr">
        <is>
          <t>Alocação 5 — Lote</t>
        </is>
      </c>
      <c r="B280" s="6" t="inlineStr">
        <is>
          <t>Lote 400 m²</t>
        </is>
      </c>
      <c r="C280" s="7" t="inlineStr">
        <is>
          <t>nome do lote (seção 5)</t>
        </is>
      </c>
      <c r="D280" s="8" t="inlineStr">
        <is>
          <t>alocacoes[5].tipologia</t>
        </is>
      </c>
    </row>
    <row r="281">
      <c r="A281" s="5" t="inlineStr">
        <is>
          <t>Alocação 5 — Unidades</t>
        </is>
      </c>
      <c r="B281" s="14" t="n">
        <v>75</v>
      </c>
      <c r="C281" s="7" t="inlineStr">
        <is>
          <t>unidades (inteiro)</t>
        </is>
      </c>
      <c r="D281" s="8" t="inlineStr">
        <is>
          <t>alocacoes[5].unidades</t>
        </is>
      </c>
    </row>
    <row r="282">
      <c r="A282" s="5" t="inlineStr">
        <is>
          <t>Alocação 5 — Preço</t>
        </is>
      </c>
      <c r="B282" s="16" t="n">
        <v>700</v>
      </c>
      <c r="C282" s="7" t="inlineStr">
        <is>
          <t>R$/m² (sobre privativa + aberta)</t>
        </is>
      </c>
      <c r="D282" s="8" t="inlineStr">
        <is>
          <t>alocacoes[5].preco_m2</t>
        </is>
      </c>
    </row>
    <row r="283">
      <c r="A283" s="15" t="inlineStr">
        <is>
          <t>Alocação 6</t>
        </is>
      </c>
    </row>
    <row r="284">
      <c r="A284" s="5" t="inlineStr">
        <is>
          <t>Alocação 6 — Grupo</t>
        </is>
      </c>
      <c r="B284" s="6" t="n"/>
      <c r="C284" s="7" t="inlineStr">
        <is>
          <t>nome do grupo (seção 6)</t>
        </is>
      </c>
      <c r="D284" s="8" t="inlineStr">
        <is>
          <t>alocacoes[6].grupo</t>
        </is>
      </c>
    </row>
    <row r="285">
      <c r="A285" s="5" t="inlineStr">
        <is>
          <t>Alocação 6 — Lote</t>
        </is>
      </c>
      <c r="B285" s="6" t="n"/>
      <c r="C285" s="7" t="inlineStr">
        <is>
          <t>nome do lote (seção 5)</t>
        </is>
      </c>
      <c r="D285" s="8" t="inlineStr">
        <is>
          <t>alocacoes[6].tipologia</t>
        </is>
      </c>
    </row>
    <row r="286">
      <c r="A286" s="5" t="inlineStr">
        <is>
          <t>Alocação 6 — Unidades</t>
        </is>
      </c>
      <c r="B286" s="14" t="n"/>
      <c r="C286" s="7" t="inlineStr">
        <is>
          <t>unidades (inteiro)</t>
        </is>
      </c>
      <c r="D286" s="8" t="inlineStr">
        <is>
          <t>alocacoes[6].unidades</t>
        </is>
      </c>
    </row>
    <row r="287">
      <c r="A287" s="5" t="inlineStr">
        <is>
          <t>Alocação 6 — Preço</t>
        </is>
      </c>
      <c r="B287" s="16" t="n"/>
      <c r="C287" s="7" t="inlineStr">
        <is>
          <t>R$/m² (sobre privativa + aberta)</t>
        </is>
      </c>
      <c r="D287" s="8" t="inlineStr">
        <is>
          <t>alocacoes[6].preco_m2</t>
        </is>
      </c>
    </row>
    <row r="288">
      <c r="A288" s="15" t="inlineStr">
        <is>
          <t>Alocação 7</t>
        </is>
      </c>
    </row>
    <row r="289">
      <c r="A289" s="5" t="inlineStr">
        <is>
          <t>Alocação 7 — Grupo</t>
        </is>
      </c>
      <c r="B289" s="6" t="n"/>
      <c r="C289" s="7" t="inlineStr">
        <is>
          <t>nome do grupo (seção 6)</t>
        </is>
      </c>
      <c r="D289" s="8" t="inlineStr">
        <is>
          <t>alocacoes[7].grupo</t>
        </is>
      </c>
    </row>
    <row r="290">
      <c r="A290" s="5" t="inlineStr">
        <is>
          <t>Alocação 7 — Lote</t>
        </is>
      </c>
      <c r="B290" s="6" t="n"/>
      <c r="C290" s="7" t="inlineStr">
        <is>
          <t>nome do lote (seção 5)</t>
        </is>
      </c>
      <c r="D290" s="8" t="inlineStr">
        <is>
          <t>alocacoes[7].tipologia</t>
        </is>
      </c>
    </row>
    <row r="291">
      <c r="A291" s="5" t="inlineStr">
        <is>
          <t>Alocação 7 — Unidades</t>
        </is>
      </c>
      <c r="B291" s="14" t="n"/>
      <c r="C291" s="7" t="inlineStr">
        <is>
          <t>unidades (inteiro)</t>
        </is>
      </c>
      <c r="D291" s="8" t="inlineStr">
        <is>
          <t>alocacoes[7].unidades</t>
        </is>
      </c>
    </row>
    <row r="292">
      <c r="A292" s="5" t="inlineStr">
        <is>
          <t>Alocação 7 — Preço</t>
        </is>
      </c>
      <c r="B292" s="16" t="n"/>
      <c r="C292" s="7" t="inlineStr">
        <is>
          <t>R$/m² (sobre privativa + aberta)</t>
        </is>
      </c>
      <c r="D292" s="8" t="inlineStr">
        <is>
          <t>alocacoes[7].preco_m2</t>
        </is>
      </c>
    </row>
    <row r="293">
      <c r="A293" s="15" t="inlineStr">
        <is>
          <t>Alocação 8</t>
        </is>
      </c>
    </row>
    <row r="294">
      <c r="A294" s="5" t="inlineStr">
        <is>
          <t>Alocação 8 — Grupo</t>
        </is>
      </c>
      <c r="B294" s="6" t="n"/>
      <c r="C294" s="7" t="inlineStr">
        <is>
          <t>nome do grupo (seção 6)</t>
        </is>
      </c>
      <c r="D294" s="8" t="inlineStr">
        <is>
          <t>alocacoes[8].grupo</t>
        </is>
      </c>
    </row>
    <row r="295">
      <c r="A295" s="5" t="inlineStr">
        <is>
          <t>Alocação 8 — Lote</t>
        </is>
      </c>
      <c r="B295" s="6" t="n"/>
      <c r="C295" s="7" t="inlineStr">
        <is>
          <t>nome do lote (seção 5)</t>
        </is>
      </c>
      <c r="D295" s="8" t="inlineStr">
        <is>
          <t>alocacoes[8].tipologia</t>
        </is>
      </c>
    </row>
    <row r="296">
      <c r="A296" s="5" t="inlineStr">
        <is>
          <t>Alocação 8 — Unidades</t>
        </is>
      </c>
      <c r="B296" s="14" t="n"/>
      <c r="C296" s="7" t="inlineStr">
        <is>
          <t>unidades (inteiro)</t>
        </is>
      </c>
      <c r="D296" s="8" t="inlineStr">
        <is>
          <t>alocacoes[8].unidades</t>
        </is>
      </c>
    </row>
    <row r="297">
      <c r="A297" s="5" t="inlineStr">
        <is>
          <t>Alocação 8 — Preço</t>
        </is>
      </c>
      <c r="B297" s="16" t="n"/>
      <c r="C297" s="7" t="inlineStr">
        <is>
          <t>R$/m² (sobre privativa + aberta)</t>
        </is>
      </c>
      <c r="D297" s="8" t="inlineStr">
        <is>
          <t>alocacoes[8].preco_m2</t>
        </is>
      </c>
    </row>
    <row r="298">
      <c r="A298" s="15" t="inlineStr">
        <is>
          <t>Alocação 9</t>
        </is>
      </c>
    </row>
    <row r="299">
      <c r="A299" s="5" t="inlineStr">
        <is>
          <t>Alocação 9 — Grupo</t>
        </is>
      </c>
      <c r="B299" s="6" t="n"/>
      <c r="C299" s="7" t="inlineStr">
        <is>
          <t>nome do grupo (seção 6)</t>
        </is>
      </c>
      <c r="D299" s="8" t="inlineStr">
        <is>
          <t>alocacoes[9].grupo</t>
        </is>
      </c>
    </row>
    <row r="300">
      <c r="A300" s="5" t="inlineStr">
        <is>
          <t>Alocação 9 — Lote</t>
        </is>
      </c>
      <c r="B300" s="6" t="n"/>
      <c r="C300" s="7" t="inlineStr">
        <is>
          <t>nome do lote (seção 5)</t>
        </is>
      </c>
      <c r="D300" s="8" t="inlineStr">
        <is>
          <t>alocacoes[9].tipologia</t>
        </is>
      </c>
    </row>
    <row r="301">
      <c r="A301" s="5" t="inlineStr">
        <is>
          <t>Alocação 9 — Unidades</t>
        </is>
      </c>
      <c r="B301" s="14" t="n"/>
      <c r="C301" s="7" t="inlineStr">
        <is>
          <t>unidades (inteiro)</t>
        </is>
      </c>
      <c r="D301" s="8" t="inlineStr">
        <is>
          <t>alocacoes[9].unidades</t>
        </is>
      </c>
    </row>
    <row r="302">
      <c r="A302" s="5" t="inlineStr">
        <is>
          <t>Alocação 9 — Preço</t>
        </is>
      </c>
      <c r="B302" s="16" t="n"/>
      <c r="C302" s="7" t="inlineStr">
        <is>
          <t>R$/m² (sobre privativa + aberta)</t>
        </is>
      </c>
      <c r="D302" s="8" t="inlineStr">
        <is>
          <t>alocacoes[9].preco_m2</t>
        </is>
      </c>
    </row>
    <row r="303">
      <c r="A303" s="15" t="inlineStr">
        <is>
          <t>Alocação 10</t>
        </is>
      </c>
    </row>
    <row r="304">
      <c r="A304" s="5" t="inlineStr">
        <is>
          <t>Alocação 10 — Grupo</t>
        </is>
      </c>
      <c r="B304" s="6" t="n"/>
      <c r="C304" s="7" t="inlineStr">
        <is>
          <t>nome do grupo (seção 6)</t>
        </is>
      </c>
      <c r="D304" s="8" t="inlineStr">
        <is>
          <t>alocacoes[10].grupo</t>
        </is>
      </c>
    </row>
    <row r="305">
      <c r="A305" s="5" t="inlineStr">
        <is>
          <t>Alocação 10 — Lote</t>
        </is>
      </c>
      <c r="B305" s="6" t="n"/>
      <c r="C305" s="7" t="inlineStr">
        <is>
          <t>nome do lote (seção 5)</t>
        </is>
      </c>
      <c r="D305" s="8" t="inlineStr">
        <is>
          <t>alocacoes[10].tipologia</t>
        </is>
      </c>
    </row>
    <row r="306">
      <c r="A306" s="5" t="inlineStr">
        <is>
          <t>Alocação 10 — Unidades</t>
        </is>
      </c>
      <c r="B306" s="14" t="n"/>
      <c r="C306" s="7" t="inlineStr">
        <is>
          <t>unidades (inteiro)</t>
        </is>
      </c>
      <c r="D306" s="8" t="inlineStr">
        <is>
          <t>alocacoes[10].unidades</t>
        </is>
      </c>
    </row>
    <row r="307">
      <c r="A307" s="5" t="inlineStr">
        <is>
          <t>Alocação 10 — Preço</t>
        </is>
      </c>
      <c r="B307" s="16" t="n"/>
      <c r="C307" s="7" t="inlineStr">
        <is>
          <t>R$/m² (sobre privativa + aberta)</t>
        </is>
      </c>
      <c r="D307" s="8" t="inlineStr">
        <is>
          <t>alocacoes[10].preco_m2</t>
        </is>
      </c>
    </row>
    <row r="308" ht="20" customHeight="1">
      <c r="A308" s="4" t="inlineStr">
        <is>
          <t>9 · Custos (Viabilidade › Custos) — 28 vagas + permutas do terreno</t>
        </is>
      </c>
    </row>
    <row r="309" ht="117" customHeight="1">
      <c r="A309" s="12" t="inlineStr">
        <is>
          <t>Categorias e unidades aceitas (rs = R$ · rs_m2_priv = R$/m² privativo · rs_m2_terreno · pct_vgv · pct_obra · pct_recebido · pct_constr). TERRENO: Preço (rs, rs_m2_terreno; permuta financeira: rs, pct_vgv) · Registro (rs, rs_m2_priv) · Outro (rs, pct_vgv). OBRA: Construção, Decoração (rs, rs_m2_priv) · Outorga, Contingência, Outro (rs, pct_vgv) · Gestão da obra (rs, pct_obra). DIRETOS: Marketing &amp; Publicidade, Manutenção pós-obra, Outro (rs, pct_vgv, pct_recebido) · Corretagem de vendas (pct_vgv) · Projetos (rs, rs_m2_priv, pct_constr) · Licenças e Aprovações (rs, rs_m2_priv). INDIRETO: Marketing global, Gestão, Outro (rs, pct_vgv, pct_recebido) · Stand de vendas (rs, pct_vgv). FINANCEIRO: Juros de financiamento, Taxas bancárias, Estruturação de dívida, Investidores, Outro (rs, pct_vgv). Cronograma padrão: terreno/Preço = customizado; terreno/demais, indireto = planejamento; obra/diretos/financeiro = obra; Manutenção pós-obra = pos_obra. Início e Duração só valem com cronograma = customizado; cronograma ancorado em fase customizada = escrever "fase: &lt;nome da fase&gt;". Corretagem sai no mês da venda e a permuta física na entrega das unidades (não escolhem distribuição). Obrigatórias: terreno/Preço, obra/Construção, diretos/Corretagem de vendas (% VGV).</t>
        </is>
      </c>
    </row>
    <row r="310" ht="39" customHeight="1">
      <c r="A310" s="12" t="inlineStr">
        <is>
          <t>Em cada vaga: escolha a Unidade e preencha o Valor na linha certa — "Valor (R$ ou R$/m²)" quando a unidade for rs, rs_m2_priv ou rs_m2_terreno; "Valor (%)" quando for pct_*. A coluna Unidade da linha de valor mostra o que a unidade escolhida significa. Vagas 1 a 3 já vêm com Grupo e Categoria obrigatórios (cinza).</t>
        </is>
      </c>
    </row>
    <row r="311">
      <c r="A311" s="15" t="inlineStr">
        <is>
          <t>Custo 1 — obrigatório: terreno / Preço</t>
        </is>
      </c>
    </row>
    <row r="312">
      <c r="A312" s="5" t="inlineStr">
        <is>
          <t>Custo 1 — Grupo</t>
        </is>
      </c>
      <c r="B312" s="9" t="inlineStr">
        <is>
          <t>terreno</t>
        </is>
      </c>
      <c r="C312" s="7" t="inlineStr">
        <is>
          <t>lista: terreno | obra | diretos | indireto | financeiro</t>
        </is>
      </c>
      <c r="D312" s="8" t="inlineStr">
        <is>
          <t>custos[1].grupo</t>
        </is>
      </c>
    </row>
    <row r="313">
      <c r="A313" s="5" t="inlineStr">
        <is>
          <t>Custo 1 — Categoria</t>
        </is>
      </c>
      <c r="B313" s="9" t="inlineStr">
        <is>
          <t>Preço</t>
        </is>
      </c>
      <c r="C313" s="7" t="inlineStr">
        <is>
          <t>ver tabela acima</t>
        </is>
      </c>
      <c r="D313" s="8" t="inlineStr">
        <is>
          <t>custos[1].categoria</t>
        </is>
      </c>
    </row>
    <row r="314">
      <c r="A314" s="5" t="inlineStr">
        <is>
          <t>Custo 1 — Subcategoria / descrição</t>
        </is>
      </c>
      <c r="B314" s="6" t="inlineStr">
        <is>
          <t>Valor à vista</t>
        </is>
      </c>
      <c r="C314" s="7" t="inlineStr">
        <is>
          <t>Preço: Valor à vista | Parcelado; Outro: texto</t>
        </is>
      </c>
      <c r="D314" s="8" t="inlineStr">
        <is>
          <t>custos[1].subcategoria</t>
        </is>
      </c>
    </row>
    <row r="315">
      <c r="A315" s="5" t="inlineStr">
        <is>
          <t>Custo 1 — Unidade</t>
        </is>
      </c>
      <c r="B315" s="6" t="inlineStr">
        <is>
          <t>rs_m2_terreno</t>
        </is>
      </c>
      <c r="C315" s="7" t="inlineStr">
        <is>
          <t>lista: rs | rs_m2_priv | rs_m2_terreno | pct_vgv | pct_obra | pct_recebido | pct_constr</t>
        </is>
      </c>
      <c r="D315" s="8" t="inlineStr">
        <is>
          <t>custos[1].unidade</t>
        </is>
      </c>
    </row>
    <row r="316">
      <c r="A316" s="5" t="inlineStr">
        <is>
          <t>Custo 1 — Valor (R$ ou R$/m²)</t>
        </is>
      </c>
      <c r="B316" s="16" t="n">
        <v>30</v>
      </c>
      <c r="C316" s="7">
        <f>IF($B$315="","escolha a Unidade acima",IF($B$315="rs","R$ (valor cheio)",IF($B$315="rs_m2_priv","R$/m² privativo (fechada+aberta)",IF($B$315="rs_m2_terreno","R$/m² de terreno",IF(LEFT($B$315,3)="pct","— (use a linha de %)","unidade inválida")))))</f>
        <v/>
      </c>
      <c r="D316" s="8" t="inlineStr">
        <is>
          <t>custos[1].valor_rs</t>
        </is>
      </c>
    </row>
    <row r="317">
      <c r="A317" s="5" t="inlineStr">
        <is>
          <t>Custo 1 — Valor (%)</t>
        </is>
      </c>
      <c r="B317" s="11" t="n"/>
      <c r="C317" s="7">
        <f>IF($B$315="","escolha a Unidade acima",IF($B$315="pct_vgv","% do VGV",IF($B$315="pct_receita","% da receita líquida (RET, sem juros)",IF($B$315="pct_obra","% da obra (grupo Obras inteiro)",IF($B$315="pct_recebido","% do recebido (com juros de tabela)",IF($B$315="pct_constr","% da construção (constr.+decor.+gestão da obra)",IF(LEFT($B$315,2)="rs","— (use a linha de R$)","unidade inválida"))))))</f>
        <v/>
      </c>
      <c r="D317" s="8" t="inlineStr">
        <is>
          <t>custos[1].valor_pct</t>
        </is>
      </c>
    </row>
    <row r="318">
      <c r="A318" s="5" t="inlineStr">
        <is>
          <t>Custo 1 — Distribuição</t>
        </is>
      </c>
      <c r="B318" s="6" t="inlineStr">
        <is>
          <t>Linear</t>
        </is>
      </c>
      <c r="C318" s="7" t="inlineStr">
        <is>
          <t>Linear | nome de uma curva do catálogo (ex.: Curva S) | unit_delivery | sales_revenue</t>
        </is>
      </c>
      <c r="D318" s="8" t="inlineStr">
        <is>
          <t>custos[1].distribuicao</t>
        </is>
      </c>
    </row>
    <row r="319">
      <c r="A319" s="5" t="inlineStr">
        <is>
          <t>Custo 1 — Cronograma</t>
        </is>
      </c>
      <c r="B319" s="6" t="inlineStr">
        <is>
          <t>customizado</t>
        </is>
      </c>
      <c r="C319" s="7" t="inlineStr">
        <is>
          <t>evento, customizado ou "fase: &lt;nome&gt;"</t>
        </is>
      </c>
      <c r="D319" s="8" t="inlineStr">
        <is>
          <t>custos[1].cronograma</t>
        </is>
      </c>
    </row>
    <row r="320">
      <c r="A320" s="5" t="inlineStr">
        <is>
          <t>Custo 1 — Início (só customizado)</t>
        </is>
      </c>
      <c r="B320" s="14" t="n">
        <v>0</v>
      </c>
      <c r="C320" s="7" t="inlineStr">
        <is>
          <t>mês (inteiro ≥ 0)</t>
        </is>
      </c>
      <c r="D320" s="8" t="inlineStr">
        <is>
          <t>custos[1].inicio_mes</t>
        </is>
      </c>
    </row>
    <row r="321">
      <c r="A321" s="5" t="inlineStr">
        <is>
          <t>Custo 1 — Duração (só customizado)</t>
        </is>
      </c>
      <c r="B321" s="14" t="n">
        <v>1</v>
      </c>
      <c r="C321" s="7" t="inlineStr">
        <is>
          <t>meses (inteiro ≥ 1)</t>
        </is>
      </c>
      <c r="D321" s="8" t="inlineStr">
        <is>
          <t>custos[1].duracao_meses</t>
        </is>
      </c>
    </row>
    <row r="322">
      <c r="A322" s="15" t="inlineStr">
        <is>
          <t>Custo 2 — obrigatório: obra / Construção</t>
        </is>
      </c>
    </row>
    <row r="323">
      <c r="A323" s="5" t="inlineStr">
        <is>
          <t>Custo 2 — Grupo</t>
        </is>
      </c>
      <c r="B323" s="9" t="inlineStr">
        <is>
          <t>obra</t>
        </is>
      </c>
      <c r="C323" s="7" t="inlineStr">
        <is>
          <t>lista: terreno | obra | diretos | indireto | financeiro</t>
        </is>
      </c>
      <c r="D323" s="8" t="inlineStr">
        <is>
          <t>custos[2].grupo</t>
        </is>
      </c>
    </row>
    <row r="324">
      <c r="A324" s="5" t="inlineStr">
        <is>
          <t>Custo 2 — Categoria</t>
        </is>
      </c>
      <c r="B324" s="9" t="inlineStr">
        <is>
          <t>Construção</t>
        </is>
      </c>
      <c r="C324" s="7" t="inlineStr">
        <is>
          <t>ver tabela acima</t>
        </is>
      </c>
      <c r="D324" s="8" t="inlineStr">
        <is>
          <t>custos[2].categoria</t>
        </is>
      </c>
    </row>
    <row r="325">
      <c r="A325" s="5" t="inlineStr">
        <is>
          <t>Custo 2 — Subcategoria / descrição</t>
        </is>
      </c>
      <c r="B325" s="6" t="n"/>
      <c r="C325" s="7" t="inlineStr">
        <is>
          <t>Preço: Valor à vista | Parcelado; Outro: texto</t>
        </is>
      </c>
      <c r="D325" s="8" t="inlineStr">
        <is>
          <t>custos[2].subcategoria</t>
        </is>
      </c>
    </row>
    <row r="326">
      <c r="A326" s="5" t="inlineStr">
        <is>
          <t>Custo 2 — Unidade</t>
        </is>
      </c>
      <c r="B326" s="6" t="inlineStr">
        <is>
          <t>rs_m2_priv</t>
        </is>
      </c>
      <c r="C326" s="7" t="inlineStr">
        <is>
          <t>lista: rs | rs_m2_priv | rs_m2_terreno | pct_vgv | pct_obra | pct_recebido | pct_constr</t>
        </is>
      </c>
      <c r="D326" s="8" t="inlineStr">
        <is>
          <t>custos[2].unidade</t>
        </is>
      </c>
    </row>
    <row r="327">
      <c r="A327" s="5" t="inlineStr">
        <is>
          <t>Custo 2 — Valor (R$ ou R$/m²)</t>
        </is>
      </c>
      <c r="B327" s="16" t="n">
        <v>190</v>
      </c>
      <c r="C327" s="7">
        <f>IF($B$326="","escolha a Unidade acima",IF($B$326="rs","R$ (valor cheio)",IF($B$326="rs_m2_priv","R$/m² privativo (fechada+aberta)",IF($B$326="rs_m2_terreno","R$/m² de terreno",IF(LEFT($B$326,3)="pct","— (use a linha de %)","unidade inválida")))))</f>
        <v/>
      </c>
      <c r="D327" s="8" t="inlineStr">
        <is>
          <t>custos[2].valor_rs</t>
        </is>
      </c>
    </row>
    <row r="328">
      <c r="A328" s="5" t="inlineStr">
        <is>
          <t>Custo 2 — Valor (%)</t>
        </is>
      </c>
      <c r="B328" s="11" t="n"/>
      <c r="C328" s="7">
        <f>IF($B$326="","escolha a Unidade acima",IF($B$326="pct_vgv","% do VGV",IF($B$326="pct_receita","% da receita líquida (RET, sem juros)",IF($B$326="pct_obra","% da obra (grupo Obras inteiro)",IF($B$326="pct_recebido","% do recebido (com juros de tabela)",IF($B$326="pct_constr","% da construção (constr.+decor.+gestão da obra)",IF(LEFT($B$326,2)="rs","— (use a linha de R$)","unidade inválida"))))))</f>
        <v/>
      </c>
      <c r="D328" s="8" t="inlineStr">
        <is>
          <t>custos[2].valor_pct</t>
        </is>
      </c>
    </row>
    <row r="329">
      <c r="A329" s="5" t="inlineStr">
        <is>
          <t>Custo 2 — Distribuição</t>
        </is>
      </c>
      <c r="B329" s="6" t="inlineStr">
        <is>
          <t>Curva S</t>
        </is>
      </c>
      <c r="C329" s="7" t="inlineStr">
        <is>
          <t>Linear | nome de uma curva do catálogo (ex.: Curva S) | unit_delivery | sales_revenue</t>
        </is>
      </c>
      <c r="D329" s="8" t="inlineStr">
        <is>
          <t>custos[2].distribuicao</t>
        </is>
      </c>
    </row>
    <row r="330">
      <c r="A330" s="5" t="inlineStr">
        <is>
          <t>Custo 2 — Cronograma</t>
        </is>
      </c>
      <c r="B330" s="6" t="inlineStr">
        <is>
          <t>obra</t>
        </is>
      </c>
      <c r="C330" s="7" t="inlineStr">
        <is>
          <t>evento, customizado ou "fase: &lt;nome&gt;"</t>
        </is>
      </c>
      <c r="D330" s="8" t="inlineStr">
        <is>
          <t>custos[2].cronograma</t>
        </is>
      </c>
    </row>
    <row r="331">
      <c r="A331" s="5" t="inlineStr">
        <is>
          <t>Custo 2 — Início (só customizado)</t>
        </is>
      </c>
      <c r="B331" s="14" t="n"/>
      <c r="C331" s="7" t="inlineStr">
        <is>
          <t>mês (inteiro ≥ 0)</t>
        </is>
      </c>
      <c r="D331" s="8" t="inlineStr">
        <is>
          <t>custos[2].inicio_mes</t>
        </is>
      </c>
    </row>
    <row r="332">
      <c r="A332" s="5" t="inlineStr">
        <is>
          <t>Custo 2 — Duração (só customizado)</t>
        </is>
      </c>
      <c r="B332" s="14" t="n"/>
      <c r="C332" s="7" t="inlineStr">
        <is>
          <t>meses (inteiro ≥ 1)</t>
        </is>
      </c>
      <c r="D332" s="8" t="inlineStr">
        <is>
          <t>custos[2].duracao_meses</t>
        </is>
      </c>
    </row>
    <row r="333">
      <c r="A333" s="15" t="inlineStr">
        <is>
          <t>Custo 3 — obrigatório: diretos / Corretagem de vendas (% VGV)</t>
        </is>
      </c>
    </row>
    <row r="334">
      <c r="A334" s="5" t="inlineStr">
        <is>
          <t>Custo 3 — Grupo</t>
        </is>
      </c>
      <c r="B334" s="9" t="inlineStr">
        <is>
          <t>diretos</t>
        </is>
      </c>
      <c r="C334" s="7" t="inlineStr">
        <is>
          <t>lista: terreno | obra | diretos | indireto | financeiro</t>
        </is>
      </c>
      <c r="D334" s="8" t="inlineStr">
        <is>
          <t>custos[3].grupo</t>
        </is>
      </c>
    </row>
    <row r="335">
      <c r="A335" s="5" t="inlineStr">
        <is>
          <t>Custo 3 — Categoria</t>
        </is>
      </c>
      <c r="B335" s="9" t="inlineStr">
        <is>
          <t>Corretagem de vendas</t>
        </is>
      </c>
      <c r="C335" s="7" t="inlineStr">
        <is>
          <t>ver tabela acima</t>
        </is>
      </c>
      <c r="D335" s="8" t="inlineStr">
        <is>
          <t>custos[3].categoria</t>
        </is>
      </c>
    </row>
    <row r="336">
      <c r="A336" s="5" t="inlineStr">
        <is>
          <t>Custo 3 — Subcategoria / descrição</t>
        </is>
      </c>
      <c r="B336" s="6" t="n"/>
      <c r="C336" s="7" t="inlineStr">
        <is>
          <t>Preço: Valor à vista | Parcelado; Outro: texto</t>
        </is>
      </c>
      <c r="D336" s="8" t="inlineStr">
        <is>
          <t>custos[3].subcategoria</t>
        </is>
      </c>
    </row>
    <row r="337">
      <c r="A337" s="5" t="inlineStr">
        <is>
          <t>Custo 3 — Unidade</t>
        </is>
      </c>
      <c r="B337" s="9" t="inlineStr">
        <is>
          <t>pct_vgv</t>
        </is>
      </c>
      <c r="C337" s="7" t="inlineStr">
        <is>
          <t>lista: rs | rs_m2_priv | rs_m2_terreno | pct_vgv | pct_obra | pct_recebido | pct_constr</t>
        </is>
      </c>
      <c r="D337" s="8" t="inlineStr">
        <is>
          <t>custos[3].unidade</t>
        </is>
      </c>
    </row>
    <row r="338">
      <c r="A338" s="5" t="inlineStr">
        <is>
          <t>Custo 3 — Valor (R$ ou R$/m²)</t>
        </is>
      </c>
      <c r="B338" s="16" t="n"/>
      <c r="C338" s="7">
        <f>IF($B$337="","escolha a Unidade acima",IF($B$337="rs","R$ (valor cheio)",IF($B$337="rs_m2_priv","R$/m² privativo (fechada+aberta)",IF($B$337="rs_m2_terreno","R$/m² de terreno",IF(LEFT($B$337,3)="pct","— (use a linha de %)","unidade inválida")))))</f>
        <v/>
      </c>
      <c r="D338" s="8" t="inlineStr">
        <is>
          <t>custos[3].valor_rs</t>
        </is>
      </c>
    </row>
    <row r="339">
      <c r="A339" s="5" t="inlineStr">
        <is>
          <t>Custo 3 — Valor (%)</t>
        </is>
      </c>
      <c r="B339" s="11" t="n">
        <v>0.05</v>
      </c>
      <c r="C339" s="7">
        <f>IF($B$337="","escolha a Unidade acima",IF($B$337="pct_vgv","% do VGV",IF($B$337="pct_receita","% da receita líquida (RET, sem juros)",IF($B$337="pct_obra","% da obra (grupo Obras inteiro)",IF($B$337="pct_recebido","% do recebido (com juros de tabela)",IF($B$337="pct_constr","% da construção (constr.+decor.+gestão da obra)",IF(LEFT($B$337,2)="rs","— (use a linha de R$)","unidade inválida"))))))</f>
        <v/>
      </c>
      <c r="D339" s="8" t="inlineStr">
        <is>
          <t>custos[3].valor_pct</t>
        </is>
      </c>
    </row>
    <row r="340">
      <c r="A340" s="5" t="inlineStr">
        <is>
          <t>Custo 3 — Distribuição</t>
        </is>
      </c>
      <c r="B340" s="6" t="n"/>
      <c r="C340" s="7" t="inlineStr">
        <is>
          <t>Linear | nome de uma curva do catálogo (ex.: Curva S) | unit_delivery | sales_revenue</t>
        </is>
      </c>
      <c r="D340" s="8" t="inlineStr">
        <is>
          <t>custos[3].distribuicao</t>
        </is>
      </c>
    </row>
    <row r="341">
      <c r="A341" s="5" t="inlineStr">
        <is>
          <t>Custo 3 — Cronograma</t>
        </is>
      </c>
      <c r="B341" s="6" t="n"/>
      <c r="C341" s="7" t="inlineStr">
        <is>
          <t>evento, customizado ou "fase: &lt;nome&gt;"</t>
        </is>
      </c>
      <c r="D341" s="8" t="inlineStr">
        <is>
          <t>custos[3].cronograma</t>
        </is>
      </c>
    </row>
    <row r="342">
      <c r="A342" s="5" t="inlineStr">
        <is>
          <t>Custo 3 — Início (só customizado)</t>
        </is>
      </c>
      <c r="B342" s="14" t="n"/>
      <c r="C342" s="7" t="inlineStr">
        <is>
          <t>mês (inteiro ≥ 0)</t>
        </is>
      </c>
      <c r="D342" s="8" t="inlineStr">
        <is>
          <t>custos[3].inicio_mes</t>
        </is>
      </c>
    </row>
    <row r="343">
      <c r="A343" s="5" t="inlineStr">
        <is>
          <t>Custo 3 — Duração (só customizado)</t>
        </is>
      </c>
      <c r="B343" s="14" t="n"/>
      <c r="C343" s="7" t="inlineStr">
        <is>
          <t>meses (inteiro ≥ 1)</t>
        </is>
      </c>
      <c r="D343" s="8" t="inlineStr">
        <is>
          <t>custos[3].duracao_meses</t>
        </is>
      </c>
    </row>
    <row r="344">
      <c r="A344" s="15" t="inlineStr">
        <is>
          <t>Custo 4</t>
        </is>
      </c>
    </row>
    <row r="345">
      <c r="A345" s="5" t="inlineStr">
        <is>
          <t>Custo 4 — Grupo</t>
        </is>
      </c>
      <c r="B345" s="6" t="inlineStr">
        <is>
          <t>diretos</t>
        </is>
      </c>
      <c r="C345" s="7" t="inlineStr">
        <is>
          <t>lista: terreno | obra | diretos | indireto | financeiro</t>
        </is>
      </c>
      <c r="D345" s="8" t="inlineStr">
        <is>
          <t>custos[4].grupo</t>
        </is>
      </c>
    </row>
    <row r="346">
      <c r="A346" s="5" t="inlineStr">
        <is>
          <t>Custo 4 — Categoria</t>
        </is>
      </c>
      <c r="B346" s="6" t="inlineStr">
        <is>
          <t>Marketing &amp; Publicidade</t>
        </is>
      </c>
      <c r="C346" s="7" t="inlineStr">
        <is>
          <t>ver tabela acima</t>
        </is>
      </c>
      <c r="D346" s="8" t="inlineStr">
        <is>
          <t>custos[4].categoria</t>
        </is>
      </c>
    </row>
    <row r="347">
      <c r="A347" s="5" t="inlineStr">
        <is>
          <t>Custo 4 — Subcategoria / descrição</t>
        </is>
      </c>
      <c r="B347" s="6" t="n"/>
      <c r="C347" s="7" t="inlineStr">
        <is>
          <t>Preço: Valor à vista | Parcelado; Outro: texto</t>
        </is>
      </c>
      <c r="D347" s="8" t="inlineStr">
        <is>
          <t>custos[4].subcategoria</t>
        </is>
      </c>
    </row>
    <row r="348">
      <c r="A348" s="5" t="inlineStr">
        <is>
          <t>Custo 4 — Unidade</t>
        </is>
      </c>
      <c r="B348" s="6" t="inlineStr">
        <is>
          <t>pct_vgv</t>
        </is>
      </c>
      <c r="C348" s="7" t="inlineStr">
        <is>
          <t>lista: rs | rs_m2_priv | rs_m2_terreno | pct_vgv | pct_obra | pct_recebido | pct_constr</t>
        </is>
      </c>
      <c r="D348" s="8" t="inlineStr">
        <is>
          <t>custos[4].unidade</t>
        </is>
      </c>
    </row>
    <row r="349">
      <c r="A349" s="5" t="inlineStr">
        <is>
          <t>Custo 4 — Valor (R$ ou R$/m²)</t>
        </is>
      </c>
      <c r="B349" s="16" t="n"/>
      <c r="C349" s="7">
        <f>IF($B$348="","escolha a Unidade acima",IF($B$348="rs","R$ (valor cheio)",IF($B$348="rs_m2_priv","R$/m² privativo (fechada+aberta)",IF($B$348="rs_m2_terreno","R$/m² de terreno",IF(LEFT($B$348,3)="pct","— (use a linha de %)","unidade inválida")))))</f>
        <v/>
      </c>
      <c r="D349" s="8" t="inlineStr">
        <is>
          <t>custos[4].valor_rs</t>
        </is>
      </c>
    </row>
    <row r="350">
      <c r="A350" s="5" t="inlineStr">
        <is>
          <t>Custo 4 — Valor (%)</t>
        </is>
      </c>
      <c r="B350" s="11" t="n">
        <v>0.02</v>
      </c>
      <c r="C350" s="7">
        <f>IF($B$348="","escolha a Unidade acima",IF($B$348="pct_vgv","% do VGV",IF($B$348="pct_receita","% da receita líquida (RET, sem juros)",IF($B$348="pct_obra","% da obra (grupo Obras inteiro)",IF($B$348="pct_recebido","% do recebido (com juros de tabela)",IF($B$348="pct_constr","% da construção (constr.+decor.+gestão da obra)",IF(LEFT($B$348,2)="rs","— (use a linha de R$)","unidade inválida"))))))</f>
        <v/>
      </c>
      <c r="D350" s="8" t="inlineStr">
        <is>
          <t>custos[4].valor_pct</t>
        </is>
      </c>
    </row>
    <row r="351">
      <c r="A351" s="5" t="inlineStr">
        <is>
          <t>Custo 4 — Distribuição</t>
        </is>
      </c>
      <c r="B351" s="6" t="inlineStr">
        <is>
          <t>Linear</t>
        </is>
      </c>
      <c r="C351" s="7" t="inlineStr">
        <is>
          <t>Linear | nome de uma curva do catálogo (ex.: Curva S) | unit_delivery | sales_revenue</t>
        </is>
      </c>
      <c r="D351" s="8" t="inlineStr">
        <is>
          <t>custos[4].distribuicao</t>
        </is>
      </c>
    </row>
    <row r="352">
      <c r="A352" s="5" t="inlineStr">
        <is>
          <t>Custo 4 — Cronograma</t>
        </is>
      </c>
      <c r="B352" s="6" t="inlineStr">
        <is>
          <t>customizado</t>
        </is>
      </c>
      <c r="C352" s="7" t="inlineStr">
        <is>
          <t>evento, customizado ou "fase: &lt;nome&gt;"</t>
        </is>
      </c>
      <c r="D352" s="8" t="inlineStr">
        <is>
          <t>custos[4].cronograma</t>
        </is>
      </c>
    </row>
    <row r="353">
      <c r="A353" s="5" t="inlineStr">
        <is>
          <t>Custo 4 — Início (só customizado)</t>
        </is>
      </c>
      <c r="B353" s="14" t="n">
        <v>11</v>
      </c>
      <c r="C353" s="7" t="inlineStr">
        <is>
          <t>mês (inteiro ≥ 0)</t>
        </is>
      </c>
      <c r="D353" s="8" t="inlineStr">
        <is>
          <t>custos[4].inicio_mes</t>
        </is>
      </c>
    </row>
    <row r="354">
      <c r="A354" s="5" t="inlineStr">
        <is>
          <t>Custo 4 — Duração (só customizado)</t>
        </is>
      </c>
      <c r="B354" s="14" t="n">
        <v>30</v>
      </c>
      <c r="C354" s="7" t="inlineStr">
        <is>
          <t>meses (inteiro ≥ 1)</t>
        </is>
      </c>
      <c r="D354" s="8" t="inlineStr">
        <is>
          <t>custos[4].duracao_meses</t>
        </is>
      </c>
    </row>
    <row r="355">
      <c r="A355" s="15" t="inlineStr">
        <is>
          <t>Custo 5</t>
        </is>
      </c>
    </row>
    <row r="356">
      <c r="A356" s="5" t="inlineStr">
        <is>
          <t>Custo 5 — Grupo</t>
        </is>
      </c>
      <c r="B356" s="6" t="inlineStr">
        <is>
          <t>diretos</t>
        </is>
      </c>
      <c r="C356" s="7" t="inlineStr">
        <is>
          <t>lista: terreno | obra | diretos | indireto | financeiro</t>
        </is>
      </c>
      <c r="D356" s="8" t="inlineStr">
        <is>
          <t>custos[5].grupo</t>
        </is>
      </c>
    </row>
    <row r="357">
      <c r="A357" s="5" t="inlineStr">
        <is>
          <t>Custo 5 — Categoria</t>
        </is>
      </c>
      <c r="B357" s="6" t="inlineStr">
        <is>
          <t>Projetos</t>
        </is>
      </c>
      <c r="C357" s="7" t="inlineStr">
        <is>
          <t>ver tabela acima</t>
        </is>
      </c>
      <c r="D357" s="8" t="inlineStr">
        <is>
          <t>custos[5].categoria</t>
        </is>
      </c>
    </row>
    <row r="358">
      <c r="A358" s="5" t="inlineStr">
        <is>
          <t>Custo 5 — Subcategoria / descrição</t>
        </is>
      </c>
      <c r="B358" s="6" t="n"/>
      <c r="C358" s="7" t="inlineStr">
        <is>
          <t>Preço: Valor à vista | Parcelado; Outro: texto</t>
        </is>
      </c>
      <c r="D358" s="8" t="inlineStr">
        <is>
          <t>custos[5].subcategoria</t>
        </is>
      </c>
    </row>
    <row r="359">
      <c r="A359" s="5" t="inlineStr">
        <is>
          <t>Custo 5 — Unidade</t>
        </is>
      </c>
      <c r="B359" s="6" t="inlineStr">
        <is>
          <t>rs</t>
        </is>
      </c>
      <c r="C359" s="7" t="inlineStr">
        <is>
          <t>lista: rs | rs_m2_priv | rs_m2_terreno | pct_vgv | pct_obra | pct_recebido | pct_constr</t>
        </is>
      </c>
      <c r="D359" s="8" t="inlineStr">
        <is>
          <t>custos[5].unidade</t>
        </is>
      </c>
    </row>
    <row r="360">
      <c r="A360" s="5" t="inlineStr">
        <is>
          <t>Custo 5 — Valor (R$ ou R$/m²)</t>
        </is>
      </c>
      <c r="B360" s="16" t="n">
        <v>3138750</v>
      </c>
      <c r="C360" s="7">
        <f>IF($B$359="","escolha a Unidade acima",IF($B$359="rs","R$ (valor cheio)",IF($B$359="rs_m2_priv","R$/m² privativo (fechada+aberta)",IF($B$359="rs_m2_terreno","R$/m² de terreno",IF(LEFT($B$359,3)="pct","— (use a linha de %)","unidade inválida")))))</f>
        <v/>
      </c>
      <c r="D360" s="8" t="inlineStr">
        <is>
          <t>custos[5].valor_rs</t>
        </is>
      </c>
    </row>
    <row r="361">
      <c r="A361" s="5" t="inlineStr">
        <is>
          <t>Custo 5 — Valor (%)</t>
        </is>
      </c>
      <c r="B361" s="11" t="n"/>
      <c r="C361" s="7">
        <f>IF($B$359="","escolha a Unidade acima",IF($B$359="pct_vgv","% do VGV",IF($B$359="pct_receita","% da receita líquida (RET, sem juros)",IF($B$359="pct_obra","% da obra (grupo Obras inteiro)",IF($B$359="pct_recebido","% do recebido (com juros de tabela)",IF($B$359="pct_constr","% da construção (constr.+decor.+gestão da obra)",IF(LEFT($B$359,2)="rs","— (use a linha de R$)","unidade inválida"))))))</f>
        <v/>
      </c>
      <c r="D361" s="8" t="inlineStr">
        <is>
          <t>custos[5].valor_pct</t>
        </is>
      </c>
    </row>
    <row r="362">
      <c r="A362" s="5" t="inlineStr">
        <is>
          <t>Custo 5 — Distribuição</t>
        </is>
      </c>
      <c r="B362" s="6" t="inlineStr">
        <is>
          <t>Linear</t>
        </is>
      </c>
      <c r="C362" s="7" t="inlineStr">
        <is>
          <t>Linear | nome de uma curva do catálogo (ex.: Curva S) | unit_delivery | sales_revenue</t>
        </is>
      </c>
      <c r="D362" s="8" t="inlineStr">
        <is>
          <t>custos[5].distribuicao</t>
        </is>
      </c>
    </row>
    <row r="363">
      <c r="A363" s="5" t="inlineStr">
        <is>
          <t>Custo 5 — Cronograma</t>
        </is>
      </c>
      <c r="B363" s="6" t="inlineStr">
        <is>
          <t>fase: Licenciamento ambiental e aprovação municipal</t>
        </is>
      </c>
      <c r="C363" s="7" t="inlineStr">
        <is>
          <t>evento, customizado ou "fase: &lt;nome&gt;"</t>
        </is>
      </c>
      <c r="D363" s="8" t="inlineStr">
        <is>
          <t>custos[5].cronograma</t>
        </is>
      </c>
    </row>
    <row r="364">
      <c r="A364" s="5" t="inlineStr">
        <is>
          <t>Custo 5 — Início (só customizado)</t>
        </is>
      </c>
      <c r="B364" s="14" t="n"/>
      <c r="C364" s="7" t="inlineStr">
        <is>
          <t>mês (inteiro ≥ 0)</t>
        </is>
      </c>
      <c r="D364" s="8" t="inlineStr">
        <is>
          <t>custos[5].inicio_mes</t>
        </is>
      </c>
    </row>
    <row r="365">
      <c r="A365" s="5" t="inlineStr">
        <is>
          <t>Custo 5 — Duração (só customizado)</t>
        </is>
      </c>
      <c r="B365" s="14" t="n"/>
      <c r="C365" s="7" t="inlineStr">
        <is>
          <t>meses (inteiro ≥ 1)</t>
        </is>
      </c>
      <c r="D365" s="8" t="inlineStr">
        <is>
          <t>custos[5].duracao_meses</t>
        </is>
      </c>
    </row>
    <row r="366">
      <c r="A366" s="15" t="inlineStr">
        <is>
          <t>Custo 6</t>
        </is>
      </c>
    </row>
    <row r="367">
      <c r="A367" s="5" t="inlineStr">
        <is>
          <t>Custo 6 — Grupo</t>
        </is>
      </c>
      <c r="B367" s="6" t="inlineStr">
        <is>
          <t>indireto</t>
        </is>
      </c>
      <c r="C367" s="7" t="inlineStr">
        <is>
          <t>lista: terreno | obra | diretos | indireto | financeiro</t>
        </is>
      </c>
      <c r="D367" s="8" t="inlineStr">
        <is>
          <t>custos[6].grupo</t>
        </is>
      </c>
    </row>
    <row r="368">
      <c r="A368" s="5" t="inlineStr">
        <is>
          <t>Custo 6 — Categoria</t>
        </is>
      </c>
      <c r="B368" s="6" t="inlineStr">
        <is>
          <t>Stand de vendas</t>
        </is>
      </c>
      <c r="C368" s="7" t="inlineStr">
        <is>
          <t>ver tabela acima</t>
        </is>
      </c>
      <c r="D368" s="8" t="inlineStr">
        <is>
          <t>custos[6].categoria</t>
        </is>
      </c>
    </row>
    <row r="369">
      <c r="A369" s="5" t="inlineStr">
        <is>
          <t>Custo 6 — Subcategoria / descrição</t>
        </is>
      </c>
      <c r="B369" s="6" t="n"/>
      <c r="C369" s="7" t="inlineStr">
        <is>
          <t>Preço: Valor à vista | Parcelado; Outro: texto</t>
        </is>
      </c>
      <c r="D369" s="8" t="inlineStr">
        <is>
          <t>custos[6].subcategoria</t>
        </is>
      </c>
    </row>
    <row r="370">
      <c r="A370" s="5" t="inlineStr">
        <is>
          <t>Custo 6 — Unidade</t>
        </is>
      </c>
      <c r="B370" s="6" t="inlineStr">
        <is>
          <t>rs</t>
        </is>
      </c>
      <c r="C370" s="7" t="inlineStr">
        <is>
          <t>lista: rs | rs_m2_priv | rs_m2_terreno | pct_vgv | pct_obra | pct_recebido | pct_constr</t>
        </is>
      </c>
      <c r="D370" s="8" t="inlineStr">
        <is>
          <t>custos[6].unidade</t>
        </is>
      </c>
    </row>
    <row r="371">
      <c r="A371" s="5" t="inlineStr">
        <is>
          <t>Custo 6 — Valor (R$ ou R$/m²)</t>
        </is>
      </c>
      <c r="B371" s="16" t="n">
        <v>900000</v>
      </c>
      <c r="C371" s="7">
        <f>IF($B$370="","escolha a Unidade acima",IF($B$370="rs","R$ (valor cheio)",IF($B$370="rs_m2_priv","R$/m² privativo (fechada+aberta)",IF($B$370="rs_m2_terreno","R$/m² de terreno",IF(LEFT($B$370,3)="pct","— (use a linha de %)","unidade inválida")))))</f>
        <v/>
      </c>
      <c r="D371" s="8" t="inlineStr">
        <is>
          <t>custos[6].valor_rs</t>
        </is>
      </c>
    </row>
    <row r="372">
      <c r="A372" s="5" t="inlineStr">
        <is>
          <t>Custo 6 — Valor (%)</t>
        </is>
      </c>
      <c r="B372" s="11" t="n"/>
      <c r="C372" s="7">
        <f>IF($B$370="","escolha a Unidade acima",IF($B$370="pct_vgv","% do VGV",IF($B$370="pct_receita","% da receita líquida (RET, sem juros)",IF($B$370="pct_obra","% da obra (grupo Obras inteiro)",IF($B$370="pct_recebido","% do recebido (com juros de tabela)",IF($B$370="pct_constr","% da construção (constr.+decor.+gestão da obra)",IF(LEFT($B$370,2)="rs","— (use a linha de R$)","unidade inválida"))))))</f>
        <v/>
      </c>
      <c r="D372" s="8" t="inlineStr">
        <is>
          <t>custos[6].valor_pct</t>
        </is>
      </c>
    </row>
    <row r="373">
      <c r="A373" s="5" t="inlineStr">
        <is>
          <t>Custo 6 — Distribuição</t>
        </is>
      </c>
      <c r="B373" s="6" t="inlineStr">
        <is>
          <t>Linear</t>
        </is>
      </c>
      <c r="C373" s="7" t="inlineStr">
        <is>
          <t>Linear | nome de uma curva do catálogo (ex.: Curva S) | unit_delivery | sales_revenue</t>
        </is>
      </c>
      <c r="D373" s="8" t="inlineStr">
        <is>
          <t>custos[6].distribuicao</t>
        </is>
      </c>
    </row>
    <row r="374">
      <c r="A374" s="5" t="inlineStr">
        <is>
          <t>Custo 6 — Cronograma</t>
        </is>
      </c>
      <c r="B374" s="6" t="inlineStr">
        <is>
          <t>lancamento</t>
        </is>
      </c>
      <c r="C374" s="7" t="inlineStr">
        <is>
          <t>evento, customizado ou "fase: &lt;nome&gt;"</t>
        </is>
      </c>
      <c r="D374" s="8" t="inlineStr">
        <is>
          <t>custos[6].cronograma</t>
        </is>
      </c>
    </row>
    <row r="375">
      <c r="A375" s="5" t="inlineStr">
        <is>
          <t>Custo 6 — Início (só customizado)</t>
        </is>
      </c>
      <c r="B375" s="14" t="n"/>
      <c r="C375" s="7" t="inlineStr">
        <is>
          <t>mês (inteiro ≥ 0)</t>
        </is>
      </c>
      <c r="D375" s="8" t="inlineStr">
        <is>
          <t>custos[6].inicio_mes</t>
        </is>
      </c>
    </row>
    <row r="376">
      <c r="A376" s="5" t="inlineStr">
        <is>
          <t>Custo 6 — Duração (só customizado)</t>
        </is>
      </c>
      <c r="B376" s="14" t="n"/>
      <c r="C376" s="7" t="inlineStr">
        <is>
          <t>meses (inteiro ≥ 1)</t>
        </is>
      </c>
      <c r="D376" s="8" t="inlineStr">
        <is>
          <t>custos[6].duracao_meses</t>
        </is>
      </c>
    </row>
    <row r="377">
      <c r="A377" s="15" t="inlineStr">
        <is>
          <t>Custo 7</t>
        </is>
      </c>
    </row>
    <row r="378">
      <c r="A378" s="5" t="inlineStr">
        <is>
          <t>Custo 7 — Grupo</t>
        </is>
      </c>
      <c r="B378" s="6" t="inlineStr">
        <is>
          <t>indireto</t>
        </is>
      </c>
      <c r="C378" s="7" t="inlineStr">
        <is>
          <t>lista: terreno | obra | diretos | indireto | financeiro</t>
        </is>
      </c>
      <c r="D378" s="8" t="inlineStr">
        <is>
          <t>custos[7].grupo</t>
        </is>
      </c>
    </row>
    <row r="379">
      <c r="A379" s="5" t="inlineStr">
        <is>
          <t>Custo 7 — Categoria</t>
        </is>
      </c>
      <c r="B379" s="6" t="inlineStr">
        <is>
          <t>Gestão</t>
        </is>
      </c>
      <c r="C379" s="7" t="inlineStr">
        <is>
          <t>ver tabela acima</t>
        </is>
      </c>
      <c r="D379" s="8" t="inlineStr">
        <is>
          <t>custos[7].categoria</t>
        </is>
      </c>
    </row>
    <row r="380">
      <c r="A380" s="5" t="inlineStr">
        <is>
          <t>Custo 7 — Subcategoria / descrição</t>
        </is>
      </c>
      <c r="B380" s="6" t="n"/>
      <c r="C380" s="7" t="inlineStr">
        <is>
          <t>Preço: Valor à vista | Parcelado; Outro: texto</t>
        </is>
      </c>
      <c r="D380" s="8" t="inlineStr">
        <is>
          <t>custos[7].subcategoria</t>
        </is>
      </c>
    </row>
    <row r="381">
      <c r="A381" s="5" t="inlineStr">
        <is>
          <t>Custo 7 — Unidade</t>
        </is>
      </c>
      <c r="B381" s="6" t="inlineStr">
        <is>
          <t>pct_vgv</t>
        </is>
      </c>
      <c r="C381" s="7" t="inlineStr">
        <is>
          <t>lista: rs | rs_m2_priv | rs_m2_terreno | pct_vgv | pct_obra | pct_recebido | pct_constr</t>
        </is>
      </c>
      <c r="D381" s="8" t="inlineStr">
        <is>
          <t>custos[7].unidade</t>
        </is>
      </c>
    </row>
    <row r="382">
      <c r="A382" s="5" t="inlineStr">
        <is>
          <t>Custo 7 — Valor (R$ ou R$/m²)</t>
        </is>
      </c>
      <c r="B382" s="16" t="n"/>
      <c r="C382" s="7">
        <f>IF($B$381="","escolha a Unidade acima",IF($B$381="rs","R$ (valor cheio)",IF($B$381="rs_m2_priv","R$/m² privativo (fechada+aberta)",IF($B$381="rs_m2_terreno","R$/m² de terreno",IF(LEFT($B$381,3)="pct","— (use a linha de %)","unidade inválida")))))</f>
        <v/>
      </c>
      <c r="D382" s="8" t="inlineStr">
        <is>
          <t>custos[7].valor_rs</t>
        </is>
      </c>
    </row>
    <row r="383">
      <c r="A383" s="5" t="inlineStr">
        <is>
          <t>Custo 7 — Valor (%)</t>
        </is>
      </c>
      <c r="B383" s="11" t="n">
        <v>0.0125</v>
      </c>
      <c r="C383" s="7">
        <f>IF($B$381="","escolha a Unidade acima",IF($B$381="pct_vgv","% do VGV",IF($B$381="pct_receita","% da receita líquida (RET, sem juros)",IF($B$381="pct_obra","% da obra (grupo Obras inteiro)",IF($B$381="pct_recebido","% do recebido (com juros de tabela)",IF($B$381="pct_constr","% da construção (constr.+decor.+gestão da obra)",IF(LEFT($B$381,2)="rs","— (use a linha de R$)","unidade inválida"))))))</f>
        <v/>
      </c>
      <c r="D383" s="8" t="inlineStr">
        <is>
          <t>custos[7].valor_pct</t>
        </is>
      </c>
    </row>
    <row r="384">
      <c r="A384" s="5" t="inlineStr">
        <is>
          <t>Custo 7 — Distribuição</t>
        </is>
      </c>
      <c r="B384" s="6" t="inlineStr">
        <is>
          <t>Linear</t>
        </is>
      </c>
      <c r="C384" s="7" t="inlineStr">
        <is>
          <t>Linear | nome de uma curva do catálogo (ex.: Curva S) | unit_delivery | sales_revenue</t>
        </is>
      </c>
      <c r="D384" s="8" t="inlineStr">
        <is>
          <t>custos[7].distribuicao</t>
        </is>
      </c>
    </row>
    <row r="385">
      <c r="A385" s="5" t="inlineStr">
        <is>
          <t>Custo 7 — Cronograma</t>
        </is>
      </c>
      <c r="B385" s="6" t="inlineStr">
        <is>
          <t>customizado</t>
        </is>
      </c>
      <c r="C385" s="7" t="inlineStr">
        <is>
          <t>evento, customizado ou "fase: &lt;nome&gt;"</t>
        </is>
      </c>
      <c r="D385" s="8" t="inlineStr">
        <is>
          <t>custos[7].cronograma</t>
        </is>
      </c>
    </row>
    <row r="386">
      <c r="A386" s="5" t="inlineStr">
        <is>
          <t>Custo 7 — Início (só customizado)</t>
        </is>
      </c>
      <c r="B386" s="14" t="n">
        <v>0</v>
      </c>
      <c r="C386" s="7" t="inlineStr">
        <is>
          <t>mês (inteiro ≥ 0)</t>
        </is>
      </c>
      <c r="D386" s="8" t="inlineStr">
        <is>
          <t>custos[7].inicio_mes</t>
        </is>
      </c>
    </row>
    <row r="387">
      <c r="A387" s="5" t="inlineStr">
        <is>
          <t>Custo 7 — Duração (só customizado)</t>
        </is>
      </c>
      <c r="B387" s="14" t="n">
        <v>49</v>
      </c>
      <c r="C387" s="7" t="inlineStr">
        <is>
          <t>meses (inteiro ≥ 1)</t>
        </is>
      </c>
      <c r="D387" s="8" t="inlineStr">
        <is>
          <t>custos[7].duracao_meses</t>
        </is>
      </c>
    </row>
    <row r="388">
      <c r="A388" s="15" t="inlineStr">
        <is>
          <t>Custo 8</t>
        </is>
      </c>
    </row>
    <row r="389">
      <c r="A389" s="5" t="inlineStr">
        <is>
          <t>Custo 8 — Grupo</t>
        </is>
      </c>
      <c r="B389" s="6" t="inlineStr">
        <is>
          <t>obra</t>
        </is>
      </c>
      <c r="C389" s="7" t="inlineStr">
        <is>
          <t>lista: terreno | obra | diretos | indireto | financeiro</t>
        </is>
      </c>
      <c r="D389" s="8" t="inlineStr">
        <is>
          <t>custos[8].grupo</t>
        </is>
      </c>
    </row>
    <row r="390">
      <c r="A390" s="5" t="inlineStr">
        <is>
          <t>Custo 8 — Categoria</t>
        </is>
      </c>
      <c r="B390" s="6" t="inlineStr">
        <is>
          <t>Contingência</t>
        </is>
      </c>
      <c r="C390" s="7" t="inlineStr">
        <is>
          <t>ver tabela acima</t>
        </is>
      </c>
      <c r="D390" s="8" t="inlineStr">
        <is>
          <t>custos[8].categoria</t>
        </is>
      </c>
    </row>
    <row r="391">
      <c r="A391" s="5" t="inlineStr">
        <is>
          <t>Custo 8 — Subcategoria / descrição</t>
        </is>
      </c>
      <c r="B391" s="6" t="n"/>
      <c r="C391" s="7" t="inlineStr">
        <is>
          <t>Preço: Valor à vista | Parcelado; Outro: texto</t>
        </is>
      </c>
      <c r="D391" s="8" t="inlineStr">
        <is>
          <t>custos[8].subcategoria</t>
        </is>
      </c>
    </row>
    <row r="392">
      <c r="A392" s="5" t="inlineStr">
        <is>
          <t>Custo 8 — Unidade</t>
        </is>
      </c>
      <c r="B392" s="6" t="inlineStr">
        <is>
          <t>pct_vgv</t>
        </is>
      </c>
      <c r="C392" s="7" t="inlineStr">
        <is>
          <t>lista: rs | rs_m2_priv | rs_m2_terreno | pct_vgv | pct_obra | pct_recebido | pct_constr</t>
        </is>
      </c>
      <c r="D392" s="8" t="inlineStr">
        <is>
          <t>custos[8].unidade</t>
        </is>
      </c>
    </row>
    <row r="393">
      <c r="A393" s="5" t="inlineStr">
        <is>
          <t>Custo 8 — Valor (R$ ou R$/m²)</t>
        </is>
      </c>
      <c r="B393" s="16" t="n"/>
      <c r="C393" s="7">
        <f>IF($B$392="","escolha a Unidade acima",IF($B$392="rs","R$ (valor cheio)",IF($B$392="rs_m2_priv","R$/m² privativo (fechada+aberta)",IF($B$392="rs_m2_terreno","R$/m² de terreno",IF(LEFT($B$392,3)="pct","— (use a linha de %)","unidade inválida")))))</f>
        <v/>
      </c>
      <c r="D393" s="8" t="inlineStr">
        <is>
          <t>custos[8].valor_rs</t>
        </is>
      </c>
    </row>
    <row r="394">
      <c r="A394" s="5" t="inlineStr">
        <is>
          <t>Custo 8 — Valor (%)</t>
        </is>
      </c>
      <c r="B394" s="11" t="n">
        <v>0.03</v>
      </c>
      <c r="C394" s="7">
        <f>IF($B$392="","escolha a Unidade acima",IF($B$392="pct_vgv","% do VGV",IF($B$392="pct_receita","% da receita líquida (RET, sem juros)",IF($B$392="pct_obra","% da obra (grupo Obras inteiro)",IF($B$392="pct_recebido","% do recebido (com juros de tabela)",IF($B$392="pct_constr","% da construção (constr.+decor.+gestão da obra)",IF(LEFT($B$392,2)="rs","— (use a linha de R$)","unidade inválida"))))))</f>
        <v/>
      </c>
      <c r="D394" s="8" t="inlineStr">
        <is>
          <t>custos[8].valor_pct</t>
        </is>
      </c>
    </row>
    <row r="395">
      <c r="A395" s="5" t="inlineStr">
        <is>
          <t>Custo 8 — Distribuição</t>
        </is>
      </c>
      <c r="B395" s="6" t="inlineStr">
        <is>
          <t>Linear</t>
        </is>
      </c>
      <c r="C395" s="7" t="inlineStr">
        <is>
          <t>Linear | nome de uma curva do catálogo (ex.: Curva S) | unit_delivery | sales_revenue</t>
        </is>
      </c>
      <c r="D395" s="8" t="inlineStr">
        <is>
          <t>custos[8].distribuicao</t>
        </is>
      </c>
    </row>
    <row r="396">
      <c r="A396" s="5" t="inlineStr">
        <is>
          <t>Custo 8 — Cronograma</t>
        </is>
      </c>
      <c r="B396" s="6" t="inlineStr">
        <is>
          <t>obra</t>
        </is>
      </c>
      <c r="C396" s="7" t="inlineStr">
        <is>
          <t>evento, customizado ou "fase: &lt;nome&gt;"</t>
        </is>
      </c>
      <c r="D396" s="8" t="inlineStr">
        <is>
          <t>custos[8].cronograma</t>
        </is>
      </c>
    </row>
    <row r="397">
      <c r="A397" s="5" t="inlineStr">
        <is>
          <t>Custo 8 — Início (só customizado)</t>
        </is>
      </c>
      <c r="B397" s="14" t="n"/>
      <c r="C397" s="7" t="inlineStr">
        <is>
          <t>mês (inteiro ≥ 0)</t>
        </is>
      </c>
      <c r="D397" s="8" t="inlineStr">
        <is>
          <t>custos[8].inicio_mes</t>
        </is>
      </c>
    </row>
    <row r="398">
      <c r="A398" s="5" t="inlineStr">
        <is>
          <t>Custo 8 — Duração (só customizado)</t>
        </is>
      </c>
      <c r="B398" s="14" t="n"/>
      <c r="C398" s="7" t="inlineStr">
        <is>
          <t>meses (inteiro ≥ 1)</t>
        </is>
      </c>
      <c r="D398" s="8" t="inlineStr">
        <is>
          <t>custos[8].duracao_meses</t>
        </is>
      </c>
    </row>
    <row r="399">
      <c r="A399" s="15" t="inlineStr">
        <is>
          <t>Custo 9</t>
        </is>
      </c>
    </row>
    <row r="400">
      <c r="A400" s="5" t="inlineStr">
        <is>
          <t>Custo 9 — Grupo</t>
        </is>
      </c>
      <c r="B400" s="6" t="inlineStr">
        <is>
          <t>diretos</t>
        </is>
      </c>
      <c r="C400" s="7" t="inlineStr">
        <is>
          <t>lista: terreno | obra | diretos | indireto | financeiro</t>
        </is>
      </c>
      <c r="D400" s="8" t="inlineStr">
        <is>
          <t>custos[9].grupo</t>
        </is>
      </c>
    </row>
    <row r="401">
      <c r="A401" s="5" t="inlineStr">
        <is>
          <t>Custo 9 — Categoria</t>
        </is>
      </c>
      <c r="B401" s="6" t="inlineStr">
        <is>
          <t>Manutenção pós-obra</t>
        </is>
      </c>
      <c r="C401" s="7" t="inlineStr">
        <is>
          <t>ver tabela acima</t>
        </is>
      </c>
      <c r="D401" s="8" t="inlineStr">
        <is>
          <t>custos[9].categoria</t>
        </is>
      </c>
    </row>
    <row r="402">
      <c r="A402" s="5" t="inlineStr">
        <is>
          <t>Custo 9 — Subcategoria / descrição</t>
        </is>
      </c>
      <c r="B402" s="6" t="n"/>
      <c r="C402" s="7" t="inlineStr">
        <is>
          <t>Preço: Valor à vista | Parcelado; Outro: texto</t>
        </is>
      </c>
      <c r="D402" s="8" t="inlineStr">
        <is>
          <t>custos[9].subcategoria</t>
        </is>
      </c>
    </row>
    <row r="403">
      <c r="A403" s="5" t="inlineStr">
        <is>
          <t>Custo 9 — Unidade</t>
        </is>
      </c>
      <c r="B403" s="6" t="inlineStr">
        <is>
          <t>pct_vgv</t>
        </is>
      </c>
      <c r="C403" s="7" t="inlineStr">
        <is>
          <t>lista: rs | rs_m2_priv | rs_m2_terreno | pct_vgv | pct_obra | pct_recebido | pct_constr</t>
        </is>
      </c>
      <c r="D403" s="8" t="inlineStr">
        <is>
          <t>custos[9].unidade</t>
        </is>
      </c>
    </row>
    <row r="404">
      <c r="A404" s="5" t="inlineStr">
        <is>
          <t>Custo 9 — Valor (R$ ou R$/m²)</t>
        </is>
      </c>
      <c r="B404" s="16" t="n"/>
      <c r="C404" s="7">
        <f>IF($B$403="","escolha a Unidade acima",IF($B$403="rs","R$ (valor cheio)",IF($B$403="rs_m2_priv","R$/m² privativo (fechada+aberta)",IF($B$403="rs_m2_terreno","R$/m² de terreno",IF(LEFT($B$403,3)="pct","— (use a linha de %)","unidade inválida")))))</f>
        <v/>
      </c>
      <c r="D404" s="8" t="inlineStr">
        <is>
          <t>custos[9].valor_rs</t>
        </is>
      </c>
    </row>
    <row r="405">
      <c r="A405" s="5" t="inlineStr">
        <is>
          <t>Custo 9 — Valor (%)</t>
        </is>
      </c>
      <c r="B405" s="11" t="n">
        <v>0.01</v>
      </c>
      <c r="C405" s="7">
        <f>IF($B$403="","escolha a Unidade acima",IF($B$403="pct_vgv","% do VGV",IF($B$403="pct_receita","% da receita líquida (RET, sem juros)",IF($B$403="pct_obra","% da obra (grupo Obras inteiro)",IF($B$403="pct_recebido","% do recebido (com juros de tabela)",IF($B$403="pct_constr","% da construção (constr.+decor.+gestão da obra)",IF(LEFT($B$403,2)="rs","— (use a linha de R$)","unidade inválida"))))))</f>
        <v/>
      </c>
      <c r="D405" s="8" t="inlineStr">
        <is>
          <t>custos[9].valor_pct</t>
        </is>
      </c>
    </row>
    <row r="406">
      <c r="A406" s="5" t="inlineStr">
        <is>
          <t>Custo 9 — Distribuição</t>
        </is>
      </c>
      <c r="B406" s="6" t="inlineStr">
        <is>
          <t>Linear</t>
        </is>
      </c>
      <c r="C406" s="7" t="inlineStr">
        <is>
          <t>Linear | nome de uma curva do catálogo (ex.: Curva S) | unit_delivery | sales_revenue</t>
        </is>
      </c>
      <c r="D406" s="8" t="inlineStr">
        <is>
          <t>custos[9].distribuicao</t>
        </is>
      </c>
    </row>
    <row r="407">
      <c r="A407" s="5" t="inlineStr">
        <is>
          <t>Custo 9 — Cronograma</t>
        </is>
      </c>
      <c r="B407" s="6" t="inlineStr">
        <is>
          <t>pos_obra</t>
        </is>
      </c>
      <c r="C407" s="7" t="inlineStr">
        <is>
          <t>evento, customizado ou "fase: &lt;nome&gt;"</t>
        </is>
      </c>
      <c r="D407" s="8" t="inlineStr">
        <is>
          <t>custos[9].cronograma</t>
        </is>
      </c>
    </row>
    <row r="408">
      <c r="A408" s="5" t="inlineStr">
        <is>
          <t>Custo 9 — Início (só customizado)</t>
        </is>
      </c>
      <c r="B408" s="14" t="n"/>
      <c r="C408" s="7" t="inlineStr">
        <is>
          <t>mês (inteiro ≥ 0)</t>
        </is>
      </c>
      <c r="D408" s="8" t="inlineStr">
        <is>
          <t>custos[9].inicio_mes</t>
        </is>
      </c>
    </row>
    <row r="409">
      <c r="A409" s="5" t="inlineStr">
        <is>
          <t>Custo 9 — Duração (só customizado)</t>
        </is>
      </c>
      <c r="B409" s="14" t="n"/>
      <c r="C409" s="7" t="inlineStr">
        <is>
          <t>meses (inteiro ≥ 1)</t>
        </is>
      </c>
      <c r="D409" s="8" t="inlineStr">
        <is>
          <t>custos[9].duracao_meses</t>
        </is>
      </c>
    </row>
    <row r="410">
      <c r="A410" s="15" t="inlineStr">
        <is>
          <t>Custo 10</t>
        </is>
      </c>
    </row>
    <row r="411">
      <c r="A411" s="5" t="inlineStr">
        <is>
          <t>Custo 10 — Grupo</t>
        </is>
      </c>
      <c r="B411" s="6" t="n"/>
      <c r="C411" s="7" t="inlineStr">
        <is>
          <t>lista: terreno | obra | diretos | indireto | financeiro</t>
        </is>
      </c>
      <c r="D411" s="8" t="inlineStr">
        <is>
          <t>custos[10].grupo</t>
        </is>
      </c>
    </row>
    <row r="412">
      <c r="A412" s="5" t="inlineStr">
        <is>
          <t>Custo 10 — Categoria</t>
        </is>
      </c>
      <c r="B412" s="6" t="n"/>
      <c r="C412" s="7" t="inlineStr">
        <is>
          <t>ver tabela acima</t>
        </is>
      </c>
      <c r="D412" s="8" t="inlineStr">
        <is>
          <t>custos[10].categoria</t>
        </is>
      </c>
    </row>
    <row r="413">
      <c r="A413" s="5" t="inlineStr">
        <is>
          <t>Custo 10 — Subcategoria / descrição</t>
        </is>
      </c>
      <c r="B413" s="6" t="n"/>
      <c r="C413" s="7" t="inlineStr">
        <is>
          <t>Preço: Valor à vista | Parcelado; Outro: texto</t>
        </is>
      </c>
      <c r="D413" s="8" t="inlineStr">
        <is>
          <t>custos[10].subcategoria</t>
        </is>
      </c>
    </row>
    <row r="414">
      <c r="A414" s="5" t="inlineStr">
        <is>
          <t>Custo 10 — Unidade</t>
        </is>
      </c>
      <c r="B414" s="6" t="n"/>
      <c r="C414" s="7" t="inlineStr">
        <is>
          <t>lista: rs | rs_m2_priv | rs_m2_terreno | pct_vgv | pct_obra | pct_recebido | pct_constr</t>
        </is>
      </c>
      <c r="D414" s="8" t="inlineStr">
        <is>
          <t>custos[10].unidade</t>
        </is>
      </c>
    </row>
    <row r="415">
      <c r="A415" s="5" t="inlineStr">
        <is>
          <t>Custo 10 — Valor (R$ ou R$/m²)</t>
        </is>
      </c>
      <c r="B415" s="16" t="n"/>
      <c r="C415" s="7">
        <f>IF($B$414="","escolha a Unidade acima",IF($B$414="rs","R$ (valor cheio)",IF($B$414="rs_m2_priv","R$/m² privativo (fechada+aberta)",IF($B$414="rs_m2_terreno","R$/m² de terreno",IF(LEFT($B$414,3)="pct","— (use a linha de %)","unidade inválida")))))</f>
        <v/>
      </c>
      <c r="D415" s="8" t="inlineStr">
        <is>
          <t>custos[10].valor_rs</t>
        </is>
      </c>
    </row>
    <row r="416">
      <c r="A416" s="5" t="inlineStr">
        <is>
          <t>Custo 10 — Valor (%)</t>
        </is>
      </c>
      <c r="B416" s="11" t="n"/>
      <c r="C416" s="7">
        <f>IF($B$414="","escolha a Unidade acima",IF($B$414="pct_vgv","% do VGV",IF($B$414="pct_receita","% da receita líquida (RET, sem juros)",IF($B$414="pct_obra","% da obra (grupo Obras inteiro)",IF($B$414="pct_recebido","% do recebido (com juros de tabela)",IF($B$414="pct_constr","% da construção (constr.+decor.+gestão da obra)",IF(LEFT($B$414,2)="rs","— (use a linha de R$)","unidade inválida"))))))</f>
        <v/>
      </c>
      <c r="D416" s="8" t="inlineStr">
        <is>
          <t>custos[10].valor_pct</t>
        </is>
      </c>
    </row>
    <row r="417">
      <c r="A417" s="5" t="inlineStr">
        <is>
          <t>Custo 10 — Distribuição</t>
        </is>
      </c>
      <c r="B417" s="6" t="n"/>
      <c r="C417" s="7" t="inlineStr">
        <is>
          <t>Linear | nome de uma curva do catálogo (ex.: Curva S) | unit_delivery | sales_revenue</t>
        </is>
      </c>
      <c r="D417" s="8" t="inlineStr">
        <is>
          <t>custos[10].distribuicao</t>
        </is>
      </c>
    </row>
    <row r="418">
      <c r="A418" s="5" t="inlineStr">
        <is>
          <t>Custo 10 — Cronograma</t>
        </is>
      </c>
      <c r="B418" s="6" t="n"/>
      <c r="C418" s="7" t="inlineStr">
        <is>
          <t>evento, customizado ou "fase: &lt;nome&gt;"</t>
        </is>
      </c>
      <c r="D418" s="8" t="inlineStr">
        <is>
          <t>custos[10].cronograma</t>
        </is>
      </c>
    </row>
    <row r="419">
      <c r="A419" s="5" t="inlineStr">
        <is>
          <t>Custo 10 — Início (só customizado)</t>
        </is>
      </c>
      <c r="B419" s="14" t="n"/>
      <c r="C419" s="7" t="inlineStr">
        <is>
          <t>mês (inteiro ≥ 0)</t>
        </is>
      </c>
      <c r="D419" s="8" t="inlineStr">
        <is>
          <t>custos[10].inicio_mes</t>
        </is>
      </c>
    </row>
    <row r="420">
      <c r="A420" s="5" t="inlineStr">
        <is>
          <t>Custo 10 — Duração (só customizado)</t>
        </is>
      </c>
      <c r="B420" s="14" t="n"/>
      <c r="C420" s="7" t="inlineStr">
        <is>
          <t>meses (inteiro ≥ 1)</t>
        </is>
      </c>
      <c r="D420" s="8" t="inlineStr">
        <is>
          <t>custos[10].duracao_meses</t>
        </is>
      </c>
    </row>
    <row r="421">
      <c r="A421" s="15" t="inlineStr">
        <is>
          <t>Custo 11</t>
        </is>
      </c>
    </row>
    <row r="422">
      <c r="A422" s="5" t="inlineStr">
        <is>
          <t>Custo 11 — Grupo</t>
        </is>
      </c>
      <c r="B422" s="6" t="n"/>
      <c r="C422" s="7" t="inlineStr">
        <is>
          <t>lista: terreno | obra | diretos | indireto | financeiro</t>
        </is>
      </c>
      <c r="D422" s="8" t="inlineStr">
        <is>
          <t>custos[11].grupo</t>
        </is>
      </c>
    </row>
    <row r="423">
      <c r="A423" s="5" t="inlineStr">
        <is>
          <t>Custo 11 — Categoria</t>
        </is>
      </c>
      <c r="B423" s="6" t="n"/>
      <c r="C423" s="7" t="inlineStr">
        <is>
          <t>ver tabela acima</t>
        </is>
      </c>
      <c r="D423" s="8" t="inlineStr">
        <is>
          <t>custos[11].categoria</t>
        </is>
      </c>
    </row>
    <row r="424">
      <c r="A424" s="5" t="inlineStr">
        <is>
          <t>Custo 11 — Subcategoria / descrição</t>
        </is>
      </c>
      <c r="B424" s="6" t="n"/>
      <c r="C424" s="7" t="inlineStr">
        <is>
          <t>Preço: Valor à vista | Parcelado; Outro: texto</t>
        </is>
      </c>
      <c r="D424" s="8" t="inlineStr">
        <is>
          <t>custos[11].subcategoria</t>
        </is>
      </c>
    </row>
    <row r="425">
      <c r="A425" s="5" t="inlineStr">
        <is>
          <t>Custo 11 — Unidade</t>
        </is>
      </c>
      <c r="B425" s="6" t="n"/>
      <c r="C425" s="7" t="inlineStr">
        <is>
          <t>lista: rs | rs_m2_priv | rs_m2_terreno | pct_vgv | pct_obra | pct_recebido | pct_constr</t>
        </is>
      </c>
      <c r="D425" s="8" t="inlineStr">
        <is>
          <t>custos[11].unidade</t>
        </is>
      </c>
    </row>
    <row r="426">
      <c r="A426" s="5" t="inlineStr">
        <is>
          <t>Custo 11 — Valor (R$ ou R$/m²)</t>
        </is>
      </c>
      <c r="B426" s="16" t="n"/>
      <c r="C426" s="7">
        <f>IF($B$425="","escolha a Unidade acima",IF($B$425="rs","R$ (valor cheio)",IF($B$425="rs_m2_priv","R$/m² privativo (fechada+aberta)",IF($B$425="rs_m2_terreno","R$/m² de terreno",IF(LEFT($B$425,3)="pct","— (use a linha de %)","unidade inválida")))))</f>
        <v/>
      </c>
      <c r="D426" s="8" t="inlineStr">
        <is>
          <t>custos[11].valor_rs</t>
        </is>
      </c>
    </row>
    <row r="427">
      <c r="A427" s="5" t="inlineStr">
        <is>
          <t>Custo 11 — Valor (%)</t>
        </is>
      </c>
      <c r="B427" s="11" t="n"/>
      <c r="C427" s="7">
        <f>IF($B$425="","escolha a Unidade acima",IF($B$425="pct_vgv","% do VGV",IF($B$425="pct_receita","% da receita líquida (RET, sem juros)",IF($B$425="pct_obra","% da obra (grupo Obras inteiro)",IF($B$425="pct_recebido","% do recebido (com juros de tabela)",IF($B$425="pct_constr","% da construção (constr.+decor.+gestão da obra)",IF(LEFT($B$425,2)="rs","— (use a linha de R$)","unidade inválida"))))))</f>
        <v/>
      </c>
      <c r="D427" s="8" t="inlineStr">
        <is>
          <t>custos[11].valor_pct</t>
        </is>
      </c>
    </row>
    <row r="428">
      <c r="A428" s="5" t="inlineStr">
        <is>
          <t>Custo 11 — Distribuição</t>
        </is>
      </c>
      <c r="B428" s="6" t="n"/>
      <c r="C428" s="7" t="inlineStr">
        <is>
          <t>Linear | nome de uma curva do catálogo (ex.: Curva S) | unit_delivery | sales_revenue</t>
        </is>
      </c>
      <c r="D428" s="8" t="inlineStr">
        <is>
          <t>custos[11].distribuicao</t>
        </is>
      </c>
    </row>
    <row r="429">
      <c r="A429" s="5" t="inlineStr">
        <is>
          <t>Custo 11 — Cronograma</t>
        </is>
      </c>
      <c r="B429" s="6" t="n"/>
      <c r="C429" s="7" t="inlineStr">
        <is>
          <t>evento, customizado ou "fase: &lt;nome&gt;"</t>
        </is>
      </c>
      <c r="D429" s="8" t="inlineStr">
        <is>
          <t>custos[11].cronograma</t>
        </is>
      </c>
    </row>
    <row r="430">
      <c r="A430" s="5" t="inlineStr">
        <is>
          <t>Custo 11 — Início (só customizado)</t>
        </is>
      </c>
      <c r="B430" s="14" t="n"/>
      <c r="C430" s="7" t="inlineStr">
        <is>
          <t>mês (inteiro ≥ 0)</t>
        </is>
      </c>
      <c r="D430" s="8" t="inlineStr">
        <is>
          <t>custos[11].inicio_mes</t>
        </is>
      </c>
    </row>
    <row r="431">
      <c r="A431" s="5" t="inlineStr">
        <is>
          <t>Custo 11 — Duração (só customizado)</t>
        </is>
      </c>
      <c r="B431" s="14" t="n"/>
      <c r="C431" s="7" t="inlineStr">
        <is>
          <t>meses (inteiro ≥ 1)</t>
        </is>
      </c>
      <c r="D431" s="8" t="inlineStr">
        <is>
          <t>custos[11].duracao_meses</t>
        </is>
      </c>
    </row>
    <row r="432">
      <c r="A432" s="15" t="inlineStr">
        <is>
          <t>Custo 12</t>
        </is>
      </c>
    </row>
    <row r="433">
      <c r="A433" s="5" t="inlineStr">
        <is>
          <t>Custo 12 — Grupo</t>
        </is>
      </c>
      <c r="B433" s="6" t="n"/>
      <c r="C433" s="7" t="inlineStr">
        <is>
          <t>lista: terreno | obra | diretos | indireto | financeiro</t>
        </is>
      </c>
      <c r="D433" s="8" t="inlineStr">
        <is>
          <t>custos[12].grupo</t>
        </is>
      </c>
    </row>
    <row r="434">
      <c r="A434" s="5" t="inlineStr">
        <is>
          <t>Custo 12 — Categoria</t>
        </is>
      </c>
      <c r="B434" s="6" t="n"/>
      <c r="C434" s="7" t="inlineStr">
        <is>
          <t>ver tabela acima</t>
        </is>
      </c>
      <c r="D434" s="8" t="inlineStr">
        <is>
          <t>custos[12].categoria</t>
        </is>
      </c>
    </row>
    <row r="435">
      <c r="A435" s="5" t="inlineStr">
        <is>
          <t>Custo 12 — Subcategoria / descrição</t>
        </is>
      </c>
      <c r="B435" s="6" t="n"/>
      <c r="C435" s="7" t="inlineStr">
        <is>
          <t>Preço: Valor à vista | Parcelado; Outro: texto</t>
        </is>
      </c>
      <c r="D435" s="8" t="inlineStr">
        <is>
          <t>custos[12].subcategoria</t>
        </is>
      </c>
    </row>
    <row r="436">
      <c r="A436" s="5" t="inlineStr">
        <is>
          <t>Custo 12 — Unidade</t>
        </is>
      </c>
      <c r="B436" s="6" t="n"/>
      <c r="C436" s="7" t="inlineStr">
        <is>
          <t>lista: rs | rs_m2_priv | rs_m2_terreno | pct_vgv | pct_obra | pct_recebido | pct_constr</t>
        </is>
      </c>
      <c r="D436" s="8" t="inlineStr">
        <is>
          <t>custos[12].unidade</t>
        </is>
      </c>
    </row>
    <row r="437">
      <c r="A437" s="5" t="inlineStr">
        <is>
          <t>Custo 12 — Valor (R$ ou R$/m²)</t>
        </is>
      </c>
      <c r="B437" s="16" t="n"/>
      <c r="C437" s="7">
        <f>IF($B$436="","escolha a Unidade acima",IF($B$436="rs","R$ (valor cheio)",IF($B$436="rs_m2_priv","R$/m² privativo (fechada+aberta)",IF($B$436="rs_m2_terreno","R$/m² de terreno",IF(LEFT($B$436,3)="pct","— (use a linha de %)","unidade inválida")))))</f>
        <v/>
      </c>
      <c r="D437" s="8" t="inlineStr">
        <is>
          <t>custos[12].valor_rs</t>
        </is>
      </c>
    </row>
    <row r="438">
      <c r="A438" s="5" t="inlineStr">
        <is>
          <t>Custo 12 — Valor (%)</t>
        </is>
      </c>
      <c r="B438" s="11" t="n"/>
      <c r="C438" s="7">
        <f>IF($B$436="","escolha a Unidade acima",IF($B$436="pct_vgv","% do VGV",IF($B$436="pct_receita","% da receita líquida (RET, sem juros)",IF($B$436="pct_obra","% da obra (grupo Obras inteiro)",IF($B$436="pct_recebido","% do recebido (com juros de tabela)",IF($B$436="pct_constr","% da construção (constr.+decor.+gestão da obra)",IF(LEFT($B$436,2)="rs","— (use a linha de R$)","unidade inválida"))))))</f>
        <v/>
      </c>
      <c r="D438" s="8" t="inlineStr">
        <is>
          <t>custos[12].valor_pct</t>
        </is>
      </c>
    </row>
    <row r="439">
      <c r="A439" s="5" t="inlineStr">
        <is>
          <t>Custo 12 — Distribuição</t>
        </is>
      </c>
      <c r="B439" s="6" t="n"/>
      <c r="C439" s="7" t="inlineStr">
        <is>
          <t>Linear | nome de uma curva do catálogo (ex.: Curva S) | unit_delivery | sales_revenue</t>
        </is>
      </c>
      <c r="D439" s="8" t="inlineStr">
        <is>
          <t>custos[12].distribuicao</t>
        </is>
      </c>
    </row>
    <row r="440">
      <c r="A440" s="5" t="inlineStr">
        <is>
          <t>Custo 12 — Cronograma</t>
        </is>
      </c>
      <c r="B440" s="6" t="n"/>
      <c r="C440" s="7" t="inlineStr">
        <is>
          <t>evento, customizado ou "fase: &lt;nome&gt;"</t>
        </is>
      </c>
      <c r="D440" s="8" t="inlineStr">
        <is>
          <t>custos[12].cronograma</t>
        </is>
      </c>
    </row>
    <row r="441">
      <c r="A441" s="5" t="inlineStr">
        <is>
          <t>Custo 12 — Início (só customizado)</t>
        </is>
      </c>
      <c r="B441" s="14" t="n"/>
      <c r="C441" s="7" t="inlineStr">
        <is>
          <t>mês (inteiro ≥ 0)</t>
        </is>
      </c>
      <c r="D441" s="8" t="inlineStr">
        <is>
          <t>custos[12].inicio_mes</t>
        </is>
      </c>
    </row>
    <row r="442">
      <c r="A442" s="5" t="inlineStr">
        <is>
          <t>Custo 12 — Duração (só customizado)</t>
        </is>
      </c>
      <c r="B442" s="14" t="n"/>
      <c r="C442" s="7" t="inlineStr">
        <is>
          <t>meses (inteiro ≥ 1)</t>
        </is>
      </c>
      <c r="D442" s="8" t="inlineStr">
        <is>
          <t>custos[12].duracao_meses</t>
        </is>
      </c>
    </row>
    <row r="443">
      <c r="A443" s="15" t="inlineStr">
        <is>
          <t>Custo 13</t>
        </is>
      </c>
    </row>
    <row r="444">
      <c r="A444" s="5" t="inlineStr">
        <is>
          <t>Custo 13 — Grupo</t>
        </is>
      </c>
      <c r="B444" s="6" t="n"/>
      <c r="C444" s="7" t="inlineStr">
        <is>
          <t>lista: terreno | obra | diretos | indireto | financeiro</t>
        </is>
      </c>
      <c r="D444" s="8" t="inlineStr">
        <is>
          <t>custos[13].grupo</t>
        </is>
      </c>
    </row>
    <row r="445">
      <c r="A445" s="5" t="inlineStr">
        <is>
          <t>Custo 13 — Categoria</t>
        </is>
      </c>
      <c r="B445" s="6" t="n"/>
      <c r="C445" s="7" t="inlineStr">
        <is>
          <t>ver tabela acima</t>
        </is>
      </c>
      <c r="D445" s="8" t="inlineStr">
        <is>
          <t>custos[13].categoria</t>
        </is>
      </c>
    </row>
    <row r="446">
      <c r="A446" s="5" t="inlineStr">
        <is>
          <t>Custo 13 — Subcategoria / descrição</t>
        </is>
      </c>
      <c r="B446" s="6" t="n"/>
      <c r="C446" s="7" t="inlineStr">
        <is>
          <t>Preço: Valor à vista | Parcelado; Outro: texto</t>
        </is>
      </c>
      <c r="D446" s="8" t="inlineStr">
        <is>
          <t>custos[13].subcategoria</t>
        </is>
      </c>
    </row>
    <row r="447">
      <c r="A447" s="5" t="inlineStr">
        <is>
          <t>Custo 13 — Unidade</t>
        </is>
      </c>
      <c r="B447" s="6" t="n"/>
      <c r="C447" s="7" t="inlineStr">
        <is>
          <t>lista: rs | rs_m2_priv | rs_m2_terreno | pct_vgv | pct_obra | pct_recebido | pct_constr</t>
        </is>
      </c>
      <c r="D447" s="8" t="inlineStr">
        <is>
          <t>custos[13].unidade</t>
        </is>
      </c>
    </row>
    <row r="448">
      <c r="A448" s="5" t="inlineStr">
        <is>
          <t>Custo 13 — Valor (R$ ou R$/m²)</t>
        </is>
      </c>
      <c r="B448" s="16" t="n"/>
      <c r="C448" s="7">
        <f>IF($B$447="","escolha a Unidade acima",IF($B$447="rs","R$ (valor cheio)",IF($B$447="rs_m2_priv","R$/m² privativo (fechada+aberta)",IF($B$447="rs_m2_terreno","R$/m² de terreno",IF(LEFT($B$447,3)="pct","— (use a linha de %)","unidade inválida")))))</f>
        <v/>
      </c>
      <c r="D448" s="8" t="inlineStr">
        <is>
          <t>custos[13].valor_rs</t>
        </is>
      </c>
    </row>
    <row r="449">
      <c r="A449" s="5" t="inlineStr">
        <is>
          <t>Custo 13 — Valor (%)</t>
        </is>
      </c>
      <c r="B449" s="11" t="n"/>
      <c r="C449" s="7">
        <f>IF($B$447="","escolha a Unidade acima",IF($B$447="pct_vgv","% do VGV",IF($B$447="pct_receita","% da receita líquida (RET, sem juros)",IF($B$447="pct_obra","% da obra (grupo Obras inteiro)",IF($B$447="pct_recebido","% do recebido (com juros de tabela)",IF($B$447="pct_constr","% da construção (constr.+decor.+gestão da obra)",IF(LEFT($B$447,2)="rs","— (use a linha de R$)","unidade inválida"))))))</f>
        <v/>
      </c>
      <c r="D449" s="8" t="inlineStr">
        <is>
          <t>custos[13].valor_pct</t>
        </is>
      </c>
    </row>
    <row r="450">
      <c r="A450" s="5" t="inlineStr">
        <is>
          <t>Custo 13 — Distribuição</t>
        </is>
      </c>
      <c r="B450" s="6" t="n"/>
      <c r="C450" s="7" t="inlineStr">
        <is>
          <t>Linear | nome de uma curva do catálogo (ex.: Curva S) | unit_delivery | sales_revenue</t>
        </is>
      </c>
      <c r="D450" s="8" t="inlineStr">
        <is>
          <t>custos[13].distribuicao</t>
        </is>
      </c>
    </row>
    <row r="451">
      <c r="A451" s="5" t="inlineStr">
        <is>
          <t>Custo 13 — Cronograma</t>
        </is>
      </c>
      <c r="B451" s="6" t="n"/>
      <c r="C451" s="7" t="inlineStr">
        <is>
          <t>evento, customizado ou "fase: &lt;nome&gt;"</t>
        </is>
      </c>
      <c r="D451" s="8" t="inlineStr">
        <is>
          <t>custos[13].cronograma</t>
        </is>
      </c>
    </row>
    <row r="452">
      <c r="A452" s="5" t="inlineStr">
        <is>
          <t>Custo 13 — Início (só customizado)</t>
        </is>
      </c>
      <c r="B452" s="14" t="n"/>
      <c r="C452" s="7" t="inlineStr">
        <is>
          <t>mês (inteiro ≥ 0)</t>
        </is>
      </c>
      <c r="D452" s="8" t="inlineStr">
        <is>
          <t>custos[13].inicio_mes</t>
        </is>
      </c>
    </row>
    <row r="453">
      <c r="A453" s="5" t="inlineStr">
        <is>
          <t>Custo 13 — Duração (só customizado)</t>
        </is>
      </c>
      <c r="B453" s="14" t="n"/>
      <c r="C453" s="7" t="inlineStr">
        <is>
          <t>meses (inteiro ≥ 1)</t>
        </is>
      </c>
      <c r="D453" s="8" t="inlineStr">
        <is>
          <t>custos[13].duracao_meses</t>
        </is>
      </c>
    </row>
    <row r="454">
      <c r="A454" s="15" t="inlineStr">
        <is>
          <t>Custo 14</t>
        </is>
      </c>
    </row>
    <row r="455">
      <c r="A455" s="5" t="inlineStr">
        <is>
          <t>Custo 14 — Grupo</t>
        </is>
      </c>
      <c r="B455" s="6" t="n"/>
      <c r="C455" s="7" t="inlineStr">
        <is>
          <t>lista: terreno | obra | diretos | indireto | financeiro</t>
        </is>
      </c>
      <c r="D455" s="8" t="inlineStr">
        <is>
          <t>custos[14].grupo</t>
        </is>
      </c>
    </row>
    <row r="456">
      <c r="A456" s="5" t="inlineStr">
        <is>
          <t>Custo 14 — Categoria</t>
        </is>
      </c>
      <c r="B456" s="6" t="n"/>
      <c r="C456" s="7" t="inlineStr">
        <is>
          <t>ver tabela acima</t>
        </is>
      </c>
      <c r="D456" s="8" t="inlineStr">
        <is>
          <t>custos[14].categoria</t>
        </is>
      </c>
    </row>
    <row r="457">
      <c r="A457" s="5" t="inlineStr">
        <is>
          <t>Custo 14 — Subcategoria / descrição</t>
        </is>
      </c>
      <c r="B457" s="6" t="n"/>
      <c r="C457" s="7" t="inlineStr">
        <is>
          <t>Preço: Valor à vista | Parcelado; Outro: texto</t>
        </is>
      </c>
      <c r="D457" s="8" t="inlineStr">
        <is>
          <t>custos[14].subcategoria</t>
        </is>
      </c>
    </row>
    <row r="458">
      <c r="A458" s="5" t="inlineStr">
        <is>
          <t>Custo 14 — Unidade</t>
        </is>
      </c>
      <c r="B458" s="6" t="n"/>
      <c r="C458" s="7" t="inlineStr">
        <is>
          <t>lista: rs | rs_m2_priv | rs_m2_terreno | pct_vgv | pct_obra | pct_recebido | pct_constr</t>
        </is>
      </c>
      <c r="D458" s="8" t="inlineStr">
        <is>
          <t>custos[14].unidade</t>
        </is>
      </c>
    </row>
    <row r="459">
      <c r="A459" s="5" t="inlineStr">
        <is>
          <t>Custo 14 — Valor (R$ ou R$/m²)</t>
        </is>
      </c>
      <c r="B459" s="16" t="n"/>
      <c r="C459" s="7">
        <f>IF($B$458="","escolha a Unidade acima",IF($B$458="rs","R$ (valor cheio)",IF($B$458="rs_m2_priv","R$/m² privativo (fechada+aberta)",IF($B$458="rs_m2_terreno","R$/m² de terreno",IF(LEFT($B$458,3)="pct","— (use a linha de %)","unidade inválida")))))</f>
        <v/>
      </c>
      <c r="D459" s="8" t="inlineStr">
        <is>
          <t>custos[14].valor_rs</t>
        </is>
      </c>
    </row>
    <row r="460">
      <c r="A460" s="5" t="inlineStr">
        <is>
          <t>Custo 14 — Valor (%)</t>
        </is>
      </c>
      <c r="B460" s="11" t="n"/>
      <c r="C460" s="7">
        <f>IF($B$458="","escolha a Unidade acima",IF($B$458="pct_vgv","% do VGV",IF($B$458="pct_receita","% da receita líquida (RET, sem juros)",IF($B$458="pct_obra","% da obra (grupo Obras inteiro)",IF($B$458="pct_recebido","% do recebido (com juros de tabela)",IF($B$458="pct_constr","% da construção (constr.+decor.+gestão da obra)",IF(LEFT($B$458,2)="rs","— (use a linha de R$)","unidade inválida"))))))</f>
        <v/>
      </c>
      <c r="D460" s="8" t="inlineStr">
        <is>
          <t>custos[14].valor_pct</t>
        </is>
      </c>
    </row>
    <row r="461">
      <c r="A461" s="5" t="inlineStr">
        <is>
          <t>Custo 14 — Distribuição</t>
        </is>
      </c>
      <c r="B461" s="6" t="n"/>
      <c r="C461" s="7" t="inlineStr">
        <is>
          <t>Linear | nome de uma curva do catálogo (ex.: Curva S) | unit_delivery | sales_revenue</t>
        </is>
      </c>
      <c r="D461" s="8" t="inlineStr">
        <is>
          <t>custos[14].distribuicao</t>
        </is>
      </c>
    </row>
    <row r="462">
      <c r="A462" s="5" t="inlineStr">
        <is>
          <t>Custo 14 — Cronograma</t>
        </is>
      </c>
      <c r="B462" s="6" t="n"/>
      <c r="C462" s="7" t="inlineStr">
        <is>
          <t>evento, customizado ou "fase: &lt;nome&gt;"</t>
        </is>
      </c>
      <c r="D462" s="8" t="inlineStr">
        <is>
          <t>custos[14].cronograma</t>
        </is>
      </c>
    </row>
    <row r="463">
      <c r="A463" s="5" t="inlineStr">
        <is>
          <t>Custo 14 — Início (só customizado)</t>
        </is>
      </c>
      <c r="B463" s="14" t="n"/>
      <c r="C463" s="7" t="inlineStr">
        <is>
          <t>mês (inteiro ≥ 0)</t>
        </is>
      </c>
      <c r="D463" s="8" t="inlineStr">
        <is>
          <t>custos[14].inicio_mes</t>
        </is>
      </c>
    </row>
    <row r="464">
      <c r="A464" s="5" t="inlineStr">
        <is>
          <t>Custo 14 — Duração (só customizado)</t>
        </is>
      </c>
      <c r="B464" s="14" t="n"/>
      <c r="C464" s="7" t="inlineStr">
        <is>
          <t>meses (inteiro ≥ 1)</t>
        </is>
      </c>
      <c r="D464" s="8" t="inlineStr">
        <is>
          <t>custos[14].duracao_meses</t>
        </is>
      </c>
    </row>
    <row r="465">
      <c r="A465" s="15" t="inlineStr">
        <is>
          <t>Custo 15</t>
        </is>
      </c>
    </row>
    <row r="466">
      <c r="A466" s="5" t="inlineStr">
        <is>
          <t>Custo 15 — Grupo</t>
        </is>
      </c>
      <c r="B466" s="6" t="n"/>
      <c r="C466" s="7" t="inlineStr">
        <is>
          <t>lista: terreno | obra | diretos | indireto | financeiro</t>
        </is>
      </c>
      <c r="D466" s="8" t="inlineStr">
        <is>
          <t>custos[15].grupo</t>
        </is>
      </c>
    </row>
    <row r="467">
      <c r="A467" s="5" t="inlineStr">
        <is>
          <t>Custo 15 — Categoria</t>
        </is>
      </c>
      <c r="B467" s="6" t="n"/>
      <c r="C467" s="7" t="inlineStr">
        <is>
          <t>ver tabela acima</t>
        </is>
      </c>
      <c r="D467" s="8" t="inlineStr">
        <is>
          <t>custos[15].categoria</t>
        </is>
      </c>
    </row>
    <row r="468">
      <c r="A468" s="5" t="inlineStr">
        <is>
          <t>Custo 15 — Subcategoria / descrição</t>
        </is>
      </c>
      <c r="B468" s="6" t="n"/>
      <c r="C468" s="7" t="inlineStr">
        <is>
          <t>Preço: Valor à vista | Parcelado; Outro: texto</t>
        </is>
      </c>
      <c r="D468" s="8" t="inlineStr">
        <is>
          <t>custos[15].subcategoria</t>
        </is>
      </c>
    </row>
    <row r="469">
      <c r="A469" s="5" t="inlineStr">
        <is>
          <t>Custo 15 — Unidade</t>
        </is>
      </c>
      <c r="B469" s="6" t="n"/>
      <c r="C469" s="7" t="inlineStr">
        <is>
          <t>lista: rs | rs_m2_priv | rs_m2_terreno | pct_vgv | pct_obra | pct_recebido | pct_constr</t>
        </is>
      </c>
      <c r="D469" s="8" t="inlineStr">
        <is>
          <t>custos[15].unidade</t>
        </is>
      </c>
    </row>
    <row r="470">
      <c r="A470" s="5" t="inlineStr">
        <is>
          <t>Custo 15 — Valor (R$ ou R$/m²)</t>
        </is>
      </c>
      <c r="B470" s="16" t="n"/>
      <c r="C470" s="7">
        <f>IF($B$469="","escolha a Unidade acima",IF($B$469="rs","R$ (valor cheio)",IF($B$469="rs_m2_priv","R$/m² privativo (fechada+aberta)",IF($B$469="rs_m2_terreno","R$/m² de terreno",IF(LEFT($B$469,3)="pct","— (use a linha de %)","unidade inválida")))))</f>
        <v/>
      </c>
      <c r="D470" s="8" t="inlineStr">
        <is>
          <t>custos[15].valor_rs</t>
        </is>
      </c>
    </row>
    <row r="471">
      <c r="A471" s="5" t="inlineStr">
        <is>
          <t>Custo 15 — Valor (%)</t>
        </is>
      </c>
      <c r="B471" s="11" t="n"/>
      <c r="C471" s="7">
        <f>IF($B$469="","escolha a Unidade acima",IF($B$469="pct_vgv","% do VGV",IF($B$469="pct_receita","% da receita líquida (RET, sem juros)",IF($B$469="pct_obra","% da obra (grupo Obras inteiro)",IF($B$469="pct_recebido","% do recebido (com juros de tabela)",IF($B$469="pct_constr","% da construção (constr.+decor.+gestão da obra)",IF(LEFT($B$469,2)="rs","— (use a linha de R$)","unidade inválida"))))))</f>
        <v/>
      </c>
      <c r="D471" s="8" t="inlineStr">
        <is>
          <t>custos[15].valor_pct</t>
        </is>
      </c>
    </row>
    <row r="472">
      <c r="A472" s="5" t="inlineStr">
        <is>
          <t>Custo 15 — Distribuição</t>
        </is>
      </c>
      <c r="B472" s="6" t="n"/>
      <c r="C472" s="7" t="inlineStr">
        <is>
          <t>Linear | nome de uma curva do catálogo (ex.: Curva S) | unit_delivery | sales_revenue</t>
        </is>
      </c>
      <c r="D472" s="8" t="inlineStr">
        <is>
          <t>custos[15].distribuicao</t>
        </is>
      </c>
    </row>
    <row r="473">
      <c r="A473" s="5" t="inlineStr">
        <is>
          <t>Custo 15 — Cronograma</t>
        </is>
      </c>
      <c r="B473" s="6" t="n"/>
      <c r="C473" s="7" t="inlineStr">
        <is>
          <t>evento, customizado ou "fase: &lt;nome&gt;"</t>
        </is>
      </c>
      <c r="D473" s="8" t="inlineStr">
        <is>
          <t>custos[15].cronograma</t>
        </is>
      </c>
    </row>
    <row r="474">
      <c r="A474" s="5" t="inlineStr">
        <is>
          <t>Custo 15 — Início (só customizado)</t>
        </is>
      </c>
      <c r="B474" s="14" t="n"/>
      <c r="C474" s="7" t="inlineStr">
        <is>
          <t>mês (inteiro ≥ 0)</t>
        </is>
      </c>
      <c r="D474" s="8" t="inlineStr">
        <is>
          <t>custos[15].inicio_mes</t>
        </is>
      </c>
    </row>
    <row r="475">
      <c r="A475" s="5" t="inlineStr">
        <is>
          <t>Custo 15 — Duração (só customizado)</t>
        </is>
      </c>
      <c r="B475" s="14" t="n"/>
      <c r="C475" s="7" t="inlineStr">
        <is>
          <t>meses (inteiro ≥ 1)</t>
        </is>
      </c>
      <c r="D475" s="8" t="inlineStr">
        <is>
          <t>custos[15].duracao_meses</t>
        </is>
      </c>
    </row>
    <row r="476">
      <c r="A476" s="15" t="inlineStr">
        <is>
          <t>Custo 16</t>
        </is>
      </c>
    </row>
    <row r="477">
      <c r="A477" s="5" t="inlineStr">
        <is>
          <t>Custo 16 — Grupo</t>
        </is>
      </c>
      <c r="B477" s="6" t="n"/>
      <c r="C477" s="7" t="inlineStr">
        <is>
          <t>lista: terreno | obra | diretos | indireto | financeiro</t>
        </is>
      </c>
      <c r="D477" s="8" t="inlineStr">
        <is>
          <t>custos[16].grupo</t>
        </is>
      </c>
    </row>
    <row r="478">
      <c r="A478" s="5" t="inlineStr">
        <is>
          <t>Custo 16 — Categoria</t>
        </is>
      </c>
      <c r="B478" s="6" t="n"/>
      <c r="C478" s="7" t="inlineStr">
        <is>
          <t>ver tabela acima</t>
        </is>
      </c>
      <c r="D478" s="8" t="inlineStr">
        <is>
          <t>custos[16].categoria</t>
        </is>
      </c>
    </row>
    <row r="479">
      <c r="A479" s="5" t="inlineStr">
        <is>
          <t>Custo 16 — Subcategoria / descrição</t>
        </is>
      </c>
      <c r="B479" s="6" t="n"/>
      <c r="C479" s="7" t="inlineStr">
        <is>
          <t>Preço: Valor à vista | Parcelado; Outro: texto</t>
        </is>
      </c>
      <c r="D479" s="8" t="inlineStr">
        <is>
          <t>custos[16].subcategoria</t>
        </is>
      </c>
    </row>
    <row r="480">
      <c r="A480" s="5" t="inlineStr">
        <is>
          <t>Custo 16 — Unidade</t>
        </is>
      </c>
      <c r="B480" s="6" t="n"/>
      <c r="C480" s="7" t="inlineStr">
        <is>
          <t>lista: rs | rs_m2_priv | rs_m2_terreno | pct_vgv | pct_obra | pct_recebido | pct_constr</t>
        </is>
      </c>
      <c r="D480" s="8" t="inlineStr">
        <is>
          <t>custos[16].unidade</t>
        </is>
      </c>
    </row>
    <row r="481">
      <c r="A481" s="5" t="inlineStr">
        <is>
          <t>Custo 16 — Valor (R$ ou R$/m²)</t>
        </is>
      </c>
      <c r="B481" s="16" t="n"/>
      <c r="C481" s="7">
        <f>IF($B$480="","escolha a Unidade acima",IF($B$480="rs","R$ (valor cheio)",IF($B$480="rs_m2_priv","R$/m² privativo (fechada+aberta)",IF($B$480="rs_m2_terreno","R$/m² de terreno",IF(LEFT($B$480,3)="pct","— (use a linha de %)","unidade inválida")))))</f>
        <v/>
      </c>
      <c r="D481" s="8" t="inlineStr">
        <is>
          <t>custos[16].valor_rs</t>
        </is>
      </c>
    </row>
    <row r="482">
      <c r="A482" s="5" t="inlineStr">
        <is>
          <t>Custo 16 — Valor (%)</t>
        </is>
      </c>
      <c r="B482" s="11" t="n"/>
      <c r="C482" s="7">
        <f>IF($B$480="","escolha a Unidade acima",IF($B$480="pct_vgv","% do VGV",IF($B$480="pct_receita","% da receita líquida (RET, sem juros)",IF($B$480="pct_obra","% da obra (grupo Obras inteiro)",IF($B$480="pct_recebido","% do recebido (com juros de tabela)",IF($B$480="pct_constr","% da construção (constr.+decor.+gestão da obra)",IF(LEFT($B$480,2)="rs","— (use a linha de R$)","unidade inválida"))))))</f>
        <v/>
      </c>
      <c r="D482" s="8" t="inlineStr">
        <is>
          <t>custos[16].valor_pct</t>
        </is>
      </c>
    </row>
    <row r="483">
      <c r="A483" s="5" t="inlineStr">
        <is>
          <t>Custo 16 — Distribuição</t>
        </is>
      </c>
      <c r="B483" s="6" t="n"/>
      <c r="C483" s="7" t="inlineStr">
        <is>
          <t>Linear | nome de uma curva do catálogo (ex.: Curva S) | unit_delivery | sales_revenue</t>
        </is>
      </c>
      <c r="D483" s="8" t="inlineStr">
        <is>
          <t>custos[16].distribuicao</t>
        </is>
      </c>
    </row>
    <row r="484">
      <c r="A484" s="5" t="inlineStr">
        <is>
          <t>Custo 16 — Cronograma</t>
        </is>
      </c>
      <c r="B484" s="6" t="n"/>
      <c r="C484" s="7" t="inlineStr">
        <is>
          <t>evento, customizado ou "fase: &lt;nome&gt;"</t>
        </is>
      </c>
      <c r="D484" s="8" t="inlineStr">
        <is>
          <t>custos[16].cronograma</t>
        </is>
      </c>
    </row>
    <row r="485">
      <c r="A485" s="5" t="inlineStr">
        <is>
          <t>Custo 16 — Início (só customizado)</t>
        </is>
      </c>
      <c r="B485" s="14" t="n"/>
      <c r="C485" s="7" t="inlineStr">
        <is>
          <t>mês (inteiro ≥ 0)</t>
        </is>
      </c>
      <c r="D485" s="8" t="inlineStr">
        <is>
          <t>custos[16].inicio_mes</t>
        </is>
      </c>
    </row>
    <row r="486">
      <c r="A486" s="5" t="inlineStr">
        <is>
          <t>Custo 16 — Duração (só customizado)</t>
        </is>
      </c>
      <c r="B486" s="14" t="n"/>
      <c r="C486" s="7" t="inlineStr">
        <is>
          <t>meses (inteiro ≥ 1)</t>
        </is>
      </c>
      <c r="D486" s="8" t="inlineStr">
        <is>
          <t>custos[16].duracao_meses</t>
        </is>
      </c>
    </row>
    <row r="487">
      <c r="A487" s="15" t="inlineStr">
        <is>
          <t>Custo 17</t>
        </is>
      </c>
    </row>
    <row r="488">
      <c r="A488" s="5" t="inlineStr">
        <is>
          <t>Custo 17 — Grupo</t>
        </is>
      </c>
      <c r="B488" s="6" t="n"/>
      <c r="C488" s="7" t="inlineStr">
        <is>
          <t>lista: terreno | obra | diretos | indireto | financeiro</t>
        </is>
      </c>
      <c r="D488" s="8" t="inlineStr">
        <is>
          <t>custos[17].grupo</t>
        </is>
      </c>
    </row>
    <row r="489">
      <c r="A489" s="5" t="inlineStr">
        <is>
          <t>Custo 17 — Categoria</t>
        </is>
      </c>
      <c r="B489" s="6" t="n"/>
      <c r="C489" s="7" t="inlineStr">
        <is>
          <t>ver tabela acima</t>
        </is>
      </c>
      <c r="D489" s="8" t="inlineStr">
        <is>
          <t>custos[17].categoria</t>
        </is>
      </c>
    </row>
    <row r="490">
      <c r="A490" s="5" t="inlineStr">
        <is>
          <t>Custo 17 — Subcategoria / descrição</t>
        </is>
      </c>
      <c r="B490" s="6" t="n"/>
      <c r="C490" s="7" t="inlineStr">
        <is>
          <t>Preço: Valor à vista | Parcelado; Outro: texto</t>
        </is>
      </c>
      <c r="D490" s="8" t="inlineStr">
        <is>
          <t>custos[17].subcategoria</t>
        </is>
      </c>
    </row>
    <row r="491">
      <c r="A491" s="5" t="inlineStr">
        <is>
          <t>Custo 17 — Unidade</t>
        </is>
      </c>
      <c r="B491" s="6" t="n"/>
      <c r="C491" s="7" t="inlineStr">
        <is>
          <t>lista: rs | rs_m2_priv | rs_m2_terreno | pct_vgv | pct_obra | pct_recebido | pct_constr</t>
        </is>
      </c>
      <c r="D491" s="8" t="inlineStr">
        <is>
          <t>custos[17].unidade</t>
        </is>
      </c>
    </row>
    <row r="492">
      <c r="A492" s="5" t="inlineStr">
        <is>
          <t>Custo 17 — Valor (R$ ou R$/m²)</t>
        </is>
      </c>
      <c r="B492" s="16" t="n"/>
      <c r="C492" s="7">
        <f>IF($B$491="","escolha a Unidade acima",IF($B$491="rs","R$ (valor cheio)",IF($B$491="rs_m2_priv","R$/m² privativo (fechada+aberta)",IF($B$491="rs_m2_terreno","R$/m² de terreno",IF(LEFT($B$491,3)="pct","— (use a linha de %)","unidade inválida")))))</f>
        <v/>
      </c>
      <c r="D492" s="8" t="inlineStr">
        <is>
          <t>custos[17].valor_rs</t>
        </is>
      </c>
    </row>
    <row r="493">
      <c r="A493" s="5" t="inlineStr">
        <is>
          <t>Custo 17 — Valor (%)</t>
        </is>
      </c>
      <c r="B493" s="11" t="n"/>
      <c r="C493" s="7">
        <f>IF($B$491="","escolha a Unidade acima",IF($B$491="pct_vgv","% do VGV",IF($B$491="pct_receita","% da receita líquida (RET, sem juros)",IF($B$491="pct_obra","% da obra (grupo Obras inteiro)",IF($B$491="pct_recebido","% do recebido (com juros de tabela)",IF($B$491="pct_constr","% da construção (constr.+decor.+gestão da obra)",IF(LEFT($B$491,2)="rs","— (use a linha de R$)","unidade inválida"))))))</f>
        <v/>
      </c>
      <c r="D493" s="8" t="inlineStr">
        <is>
          <t>custos[17].valor_pct</t>
        </is>
      </c>
    </row>
    <row r="494">
      <c r="A494" s="5" t="inlineStr">
        <is>
          <t>Custo 17 — Distribuição</t>
        </is>
      </c>
      <c r="B494" s="6" t="n"/>
      <c r="C494" s="7" t="inlineStr">
        <is>
          <t>Linear | nome de uma curva do catálogo (ex.: Curva S) | unit_delivery | sales_revenue</t>
        </is>
      </c>
      <c r="D494" s="8" t="inlineStr">
        <is>
          <t>custos[17].distribuicao</t>
        </is>
      </c>
    </row>
    <row r="495">
      <c r="A495" s="5" t="inlineStr">
        <is>
          <t>Custo 17 — Cronograma</t>
        </is>
      </c>
      <c r="B495" s="6" t="n"/>
      <c r="C495" s="7" t="inlineStr">
        <is>
          <t>evento, customizado ou "fase: &lt;nome&gt;"</t>
        </is>
      </c>
      <c r="D495" s="8" t="inlineStr">
        <is>
          <t>custos[17].cronograma</t>
        </is>
      </c>
    </row>
    <row r="496">
      <c r="A496" s="5" t="inlineStr">
        <is>
          <t>Custo 17 — Início (só customizado)</t>
        </is>
      </c>
      <c r="B496" s="14" t="n"/>
      <c r="C496" s="7" t="inlineStr">
        <is>
          <t>mês (inteiro ≥ 0)</t>
        </is>
      </c>
      <c r="D496" s="8" t="inlineStr">
        <is>
          <t>custos[17].inicio_mes</t>
        </is>
      </c>
    </row>
    <row r="497">
      <c r="A497" s="5" t="inlineStr">
        <is>
          <t>Custo 17 — Duração (só customizado)</t>
        </is>
      </c>
      <c r="B497" s="14" t="n"/>
      <c r="C497" s="7" t="inlineStr">
        <is>
          <t>meses (inteiro ≥ 1)</t>
        </is>
      </c>
      <c r="D497" s="8" t="inlineStr">
        <is>
          <t>custos[17].duracao_meses</t>
        </is>
      </c>
    </row>
    <row r="498">
      <c r="A498" s="15" t="inlineStr">
        <is>
          <t>Custo 18</t>
        </is>
      </c>
    </row>
    <row r="499">
      <c r="A499" s="5" t="inlineStr">
        <is>
          <t>Custo 18 — Grupo</t>
        </is>
      </c>
      <c r="B499" s="6" t="n"/>
      <c r="C499" s="7" t="inlineStr">
        <is>
          <t>lista: terreno | obra | diretos | indireto | financeiro</t>
        </is>
      </c>
      <c r="D499" s="8" t="inlineStr">
        <is>
          <t>custos[18].grupo</t>
        </is>
      </c>
    </row>
    <row r="500">
      <c r="A500" s="5" t="inlineStr">
        <is>
          <t>Custo 18 — Categoria</t>
        </is>
      </c>
      <c r="B500" s="6" t="n"/>
      <c r="C500" s="7" t="inlineStr">
        <is>
          <t>ver tabela acima</t>
        </is>
      </c>
      <c r="D500" s="8" t="inlineStr">
        <is>
          <t>custos[18].categoria</t>
        </is>
      </c>
    </row>
    <row r="501">
      <c r="A501" s="5" t="inlineStr">
        <is>
          <t>Custo 18 — Subcategoria / descrição</t>
        </is>
      </c>
      <c r="B501" s="6" t="n"/>
      <c r="C501" s="7" t="inlineStr">
        <is>
          <t>Preço: Valor à vista | Parcelado; Outro: texto</t>
        </is>
      </c>
      <c r="D501" s="8" t="inlineStr">
        <is>
          <t>custos[18].subcategoria</t>
        </is>
      </c>
    </row>
    <row r="502">
      <c r="A502" s="5" t="inlineStr">
        <is>
          <t>Custo 18 — Unidade</t>
        </is>
      </c>
      <c r="B502" s="6" t="n"/>
      <c r="C502" s="7" t="inlineStr">
        <is>
          <t>lista: rs | rs_m2_priv | rs_m2_terreno | pct_vgv | pct_obra | pct_recebido | pct_constr</t>
        </is>
      </c>
      <c r="D502" s="8" t="inlineStr">
        <is>
          <t>custos[18].unidade</t>
        </is>
      </c>
    </row>
    <row r="503">
      <c r="A503" s="5" t="inlineStr">
        <is>
          <t>Custo 18 — Valor (R$ ou R$/m²)</t>
        </is>
      </c>
      <c r="B503" s="16" t="n"/>
      <c r="C503" s="7">
        <f>IF($B$502="","escolha a Unidade acima",IF($B$502="rs","R$ (valor cheio)",IF($B$502="rs_m2_priv","R$/m² privativo (fechada+aberta)",IF($B$502="rs_m2_terreno","R$/m² de terreno",IF(LEFT($B$502,3)="pct","— (use a linha de %)","unidade inválida")))))</f>
        <v/>
      </c>
      <c r="D503" s="8" t="inlineStr">
        <is>
          <t>custos[18].valor_rs</t>
        </is>
      </c>
    </row>
    <row r="504">
      <c r="A504" s="5" t="inlineStr">
        <is>
          <t>Custo 18 — Valor (%)</t>
        </is>
      </c>
      <c r="B504" s="11" t="n"/>
      <c r="C504" s="7">
        <f>IF($B$502="","escolha a Unidade acima",IF($B$502="pct_vgv","% do VGV",IF($B$502="pct_receita","% da receita líquida (RET, sem juros)",IF($B$502="pct_obra","% da obra (grupo Obras inteiro)",IF($B$502="pct_recebido","% do recebido (com juros de tabela)",IF($B$502="pct_constr","% da construção (constr.+decor.+gestão da obra)",IF(LEFT($B$502,2)="rs","— (use a linha de R$)","unidade inválida"))))))</f>
        <v/>
      </c>
      <c r="D504" s="8" t="inlineStr">
        <is>
          <t>custos[18].valor_pct</t>
        </is>
      </c>
    </row>
    <row r="505">
      <c r="A505" s="5" t="inlineStr">
        <is>
          <t>Custo 18 — Distribuição</t>
        </is>
      </c>
      <c r="B505" s="6" t="n"/>
      <c r="C505" s="7" t="inlineStr">
        <is>
          <t>Linear | nome de uma curva do catálogo (ex.: Curva S) | unit_delivery | sales_revenue</t>
        </is>
      </c>
      <c r="D505" s="8" t="inlineStr">
        <is>
          <t>custos[18].distribuicao</t>
        </is>
      </c>
    </row>
    <row r="506">
      <c r="A506" s="5" t="inlineStr">
        <is>
          <t>Custo 18 — Cronograma</t>
        </is>
      </c>
      <c r="B506" s="6" t="n"/>
      <c r="C506" s="7" t="inlineStr">
        <is>
          <t>evento, customizado ou "fase: &lt;nome&gt;"</t>
        </is>
      </c>
      <c r="D506" s="8" t="inlineStr">
        <is>
          <t>custos[18].cronograma</t>
        </is>
      </c>
    </row>
    <row r="507">
      <c r="A507" s="5" t="inlineStr">
        <is>
          <t>Custo 18 — Início (só customizado)</t>
        </is>
      </c>
      <c r="B507" s="14" t="n"/>
      <c r="C507" s="7" t="inlineStr">
        <is>
          <t>mês (inteiro ≥ 0)</t>
        </is>
      </c>
      <c r="D507" s="8" t="inlineStr">
        <is>
          <t>custos[18].inicio_mes</t>
        </is>
      </c>
    </row>
    <row r="508">
      <c r="A508" s="5" t="inlineStr">
        <is>
          <t>Custo 18 — Duração (só customizado)</t>
        </is>
      </c>
      <c r="B508" s="14" t="n"/>
      <c r="C508" s="7" t="inlineStr">
        <is>
          <t>meses (inteiro ≥ 1)</t>
        </is>
      </c>
      <c r="D508" s="8" t="inlineStr">
        <is>
          <t>custos[18].duracao_meses</t>
        </is>
      </c>
    </row>
    <row r="509">
      <c r="A509" s="15" t="inlineStr">
        <is>
          <t>Custo 19</t>
        </is>
      </c>
    </row>
    <row r="510">
      <c r="A510" s="5" t="inlineStr">
        <is>
          <t>Custo 19 — Grupo</t>
        </is>
      </c>
      <c r="B510" s="6" t="n"/>
      <c r="C510" s="7" t="inlineStr">
        <is>
          <t>lista: terreno | obra | diretos | indireto | financeiro</t>
        </is>
      </c>
      <c r="D510" s="8" t="inlineStr">
        <is>
          <t>custos[19].grupo</t>
        </is>
      </c>
    </row>
    <row r="511">
      <c r="A511" s="5" t="inlineStr">
        <is>
          <t>Custo 19 — Categoria</t>
        </is>
      </c>
      <c r="B511" s="6" t="n"/>
      <c r="C511" s="7" t="inlineStr">
        <is>
          <t>ver tabela acima</t>
        </is>
      </c>
      <c r="D511" s="8" t="inlineStr">
        <is>
          <t>custos[19].categoria</t>
        </is>
      </c>
    </row>
    <row r="512">
      <c r="A512" s="5" t="inlineStr">
        <is>
          <t>Custo 19 — Subcategoria / descrição</t>
        </is>
      </c>
      <c r="B512" s="6" t="n"/>
      <c r="C512" s="7" t="inlineStr">
        <is>
          <t>Preço: Valor à vista | Parcelado; Outro: texto</t>
        </is>
      </c>
      <c r="D512" s="8" t="inlineStr">
        <is>
          <t>custos[19].subcategoria</t>
        </is>
      </c>
    </row>
    <row r="513">
      <c r="A513" s="5" t="inlineStr">
        <is>
          <t>Custo 19 — Unidade</t>
        </is>
      </c>
      <c r="B513" s="6" t="n"/>
      <c r="C513" s="7" t="inlineStr">
        <is>
          <t>lista: rs | rs_m2_priv | rs_m2_terreno | pct_vgv | pct_obra | pct_recebido | pct_constr</t>
        </is>
      </c>
      <c r="D513" s="8" t="inlineStr">
        <is>
          <t>custos[19].unidade</t>
        </is>
      </c>
    </row>
    <row r="514">
      <c r="A514" s="5" t="inlineStr">
        <is>
          <t>Custo 19 — Valor (R$ ou R$/m²)</t>
        </is>
      </c>
      <c r="B514" s="16" t="n"/>
      <c r="C514" s="7">
        <f>IF($B$513="","escolha a Unidade acima",IF($B$513="rs","R$ (valor cheio)",IF($B$513="rs_m2_priv","R$/m² privativo (fechada+aberta)",IF($B$513="rs_m2_terreno","R$/m² de terreno",IF(LEFT($B$513,3)="pct","— (use a linha de %)","unidade inválida")))))</f>
        <v/>
      </c>
      <c r="D514" s="8" t="inlineStr">
        <is>
          <t>custos[19].valor_rs</t>
        </is>
      </c>
    </row>
    <row r="515">
      <c r="A515" s="5" t="inlineStr">
        <is>
          <t>Custo 19 — Valor (%)</t>
        </is>
      </c>
      <c r="B515" s="11" t="n"/>
      <c r="C515" s="7">
        <f>IF($B$513="","escolha a Unidade acima",IF($B$513="pct_vgv","% do VGV",IF($B$513="pct_receita","% da receita líquida (RET, sem juros)",IF($B$513="pct_obra","% da obra (grupo Obras inteiro)",IF($B$513="pct_recebido","% do recebido (com juros de tabela)",IF($B$513="pct_constr","% da construção (constr.+decor.+gestão da obra)",IF(LEFT($B$513,2)="rs","— (use a linha de R$)","unidade inválida"))))))</f>
        <v/>
      </c>
      <c r="D515" s="8" t="inlineStr">
        <is>
          <t>custos[19].valor_pct</t>
        </is>
      </c>
    </row>
    <row r="516">
      <c r="A516" s="5" t="inlineStr">
        <is>
          <t>Custo 19 — Distribuição</t>
        </is>
      </c>
      <c r="B516" s="6" t="n"/>
      <c r="C516" s="7" t="inlineStr">
        <is>
          <t>Linear | nome de uma curva do catálogo (ex.: Curva S) | unit_delivery | sales_revenue</t>
        </is>
      </c>
      <c r="D516" s="8" t="inlineStr">
        <is>
          <t>custos[19].distribuicao</t>
        </is>
      </c>
    </row>
    <row r="517">
      <c r="A517" s="5" t="inlineStr">
        <is>
          <t>Custo 19 — Cronograma</t>
        </is>
      </c>
      <c r="B517" s="6" t="n"/>
      <c r="C517" s="7" t="inlineStr">
        <is>
          <t>evento, customizado ou "fase: &lt;nome&gt;"</t>
        </is>
      </c>
      <c r="D517" s="8" t="inlineStr">
        <is>
          <t>custos[19].cronograma</t>
        </is>
      </c>
    </row>
    <row r="518">
      <c r="A518" s="5" t="inlineStr">
        <is>
          <t>Custo 19 — Início (só customizado)</t>
        </is>
      </c>
      <c r="B518" s="14" t="n"/>
      <c r="C518" s="7" t="inlineStr">
        <is>
          <t>mês (inteiro ≥ 0)</t>
        </is>
      </c>
      <c r="D518" s="8" t="inlineStr">
        <is>
          <t>custos[19].inicio_mes</t>
        </is>
      </c>
    </row>
    <row r="519">
      <c r="A519" s="5" t="inlineStr">
        <is>
          <t>Custo 19 — Duração (só customizado)</t>
        </is>
      </c>
      <c r="B519" s="14" t="n"/>
      <c r="C519" s="7" t="inlineStr">
        <is>
          <t>meses (inteiro ≥ 1)</t>
        </is>
      </c>
      <c r="D519" s="8" t="inlineStr">
        <is>
          <t>custos[19].duracao_meses</t>
        </is>
      </c>
    </row>
    <row r="520">
      <c r="A520" s="15" t="inlineStr">
        <is>
          <t>Custo 20</t>
        </is>
      </c>
    </row>
    <row r="521">
      <c r="A521" s="5" t="inlineStr">
        <is>
          <t>Custo 20 — Grupo</t>
        </is>
      </c>
      <c r="B521" s="6" t="n"/>
      <c r="C521" s="7" t="inlineStr">
        <is>
          <t>lista: terreno | obra | diretos | indireto | financeiro</t>
        </is>
      </c>
      <c r="D521" s="8" t="inlineStr">
        <is>
          <t>custos[20].grupo</t>
        </is>
      </c>
    </row>
    <row r="522">
      <c r="A522" s="5" t="inlineStr">
        <is>
          <t>Custo 20 — Categoria</t>
        </is>
      </c>
      <c r="B522" s="6" t="n"/>
      <c r="C522" s="7" t="inlineStr">
        <is>
          <t>ver tabela acima</t>
        </is>
      </c>
      <c r="D522" s="8" t="inlineStr">
        <is>
          <t>custos[20].categoria</t>
        </is>
      </c>
    </row>
    <row r="523">
      <c r="A523" s="5" t="inlineStr">
        <is>
          <t>Custo 20 — Subcategoria / descrição</t>
        </is>
      </c>
      <c r="B523" s="6" t="n"/>
      <c r="C523" s="7" t="inlineStr">
        <is>
          <t>Preço: Valor à vista | Parcelado; Outro: texto</t>
        </is>
      </c>
      <c r="D523" s="8" t="inlineStr">
        <is>
          <t>custos[20].subcategoria</t>
        </is>
      </c>
    </row>
    <row r="524">
      <c r="A524" s="5" t="inlineStr">
        <is>
          <t>Custo 20 — Unidade</t>
        </is>
      </c>
      <c r="B524" s="6" t="n"/>
      <c r="C524" s="7" t="inlineStr">
        <is>
          <t>lista: rs | rs_m2_priv | rs_m2_terreno | pct_vgv | pct_obra | pct_recebido | pct_constr</t>
        </is>
      </c>
      <c r="D524" s="8" t="inlineStr">
        <is>
          <t>custos[20].unidade</t>
        </is>
      </c>
    </row>
    <row r="525">
      <c r="A525" s="5" t="inlineStr">
        <is>
          <t>Custo 20 — Valor (R$ ou R$/m²)</t>
        </is>
      </c>
      <c r="B525" s="16" t="n"/>
      <c r="C525" s="7">
        <f>IF($B$524="","escolha a Unidade acima",IF($B$524="rs","R$ (valor cheio)",IF($B$524="rs_m2_priv","R$/m² privativo (fechada+aberta)",IF($B$524="rs_m2_terreno","R$/m² de terreno",IF(LEFT($B$524,3)="pct","— (use a linha de %)","unidade inválida")))))</f>
        <v/>
      </c>
      <c r="D525" s="8" t="inlineStr">
        <is>
          <t>custos[20].valor_rs</t>
        </is>
      </c>
    </row>
    <row r="526">
      <c r="A526" s="5" t="inlineStr">
        <is>
          <t>Custo 20 — Valor (%)</t>
        </is>
      </c>
      <c r="B526" s="11" t="n"/>
      <c r="C526" s="7">
        <f>IF($B$524="","escolha a Unidade acima",IF($B$524="pct_vgv","% do VGV",IF($B$524="pct_receita","% da receita líquida (RET, sem juros)",IF($B$524="pct_obra","% da obra (grupo Obras inteiro)",IF($B$524="pct_recebido","% do recebido (com juros de tabela)",IF($B$524="pct_constr","% da construção (constr.+decor.+gestão da obra)",IF(LEFT($B$524,2)="rs","— (use a linha de R$)","unidade inválida"))))))</f>
        <v/>
      </c>
      <c r="D526" s="8" t="inlineStr">
        <is>
          <t>custos[20].valor_pct</t>
        </is>
      </c>
    </row>
    <row r="527">
      <c r="A527" s="5" t="inlineStr">
        <is>
          <t>Custo 20 — Distribuição</t>
        </is>
      </c>
      <c r="B527" s="6" t="n"/>
      <c r="C527" s="7" t="inlineStr">
        <is>
          <t>Linear | nome de uma curva do catálogo (ex.: Curva S) | unit_delivery | sales_revenue</t>
        </is>
      </c>
      <c r="D527" s="8" t="inlineStr">
        <is>
          <t>custos[20].distribuicao</t>
        </is>
      </c>
    </row>
    <row r="528">
      <c r="A528" s="5" t="inlineStr">
        <is>
          <t>Custo 20 — Cronograma</t>
        </is>
      </c>
      <c r="B528" s="6" t="n"/>
      <c r="C528" s="7" t="inlineStr">
        <is>
          <t>evento, customizado ou "fase: &lt;nome&gt;"</t>
        </is>
      </c>
      <c r="D528" s="8" t="inlineStr">
        <is>
          <t>custos[20].cronograma</t>
        </is>
      </c>
    </row>
    <row r="529">
      <c r="A529" s="5" t="inlineStr">
        <is>
          <t>Custo 20 — Início (só customizado)</t>
        </is>
      </c>
      <c r="B529" s="14" t="n"/>
      <c r="C529" s="7" t="inlineStr">
        <is>
          <t>mês (inteiro ≥ 0)</t>
        </is>
      </c>
      <c r="D529" s="8" t="inlineStr">
        <is>
          <t>custos[20].inicio_mes</t>
        </is>
      </c>
    </row>
    <row r="530">
      <c r="A530" s="5" t="inlineStr">
        <is>
          <t>Custo 20 — Duração (só customizado)</t>
        </is>
      </c>
      <c r="B530" s="14" t="n"/>
      <c r="C530" s="7" t="inlineStr">
        <is>
          <t>meses (inteiro ≥ 1)</t>
        </is>
      </c>
      <c r="D530" s="8" t="inlineStr">
        <is>
          <t>custos[20].duracao_meses</t>
        </is>
      </c>
    </row>
    <row r="531">
      <c r="A531" s="15" t="inlineStr">
        <is>
          <t>Custo 21</t>
        </is>
      </c>
    </row>
    <row r="532">
      <c r="A532" s="5" t="inlineStr">
        <is>
          <t>Custo 21 — Grupo</t>
        </is>
      </c>
      <c r="B532" s="6" t="n"/>
      <c r="C532" s="7" t="inlineStr">
        <is>
          <t>lista: terreno | obra | diretos | indireto | financeiro</t>
        </is>
      </c>
      <c r="D532" s="8" t="inlineStr">
        <is>
          <t>custos[21].grupo</t>
        </is>
      </c>
    </row>
    <row r="533">
      <c r="A533" s="5" t="inlineStr">
        <is>
          <t>Custo 21 — Categoria</t>
        </is>
      </c>
      <c r="B533" s="6" t="n"/>
      <c r="C533" s="7" t="inlineStr">
        <is>
          <t>ver tabela acima</t>
        </is>
      </c>
      <c r="D533" s="8" t="inlineStr">
        <is>
          <t>custos[21].categoria</t>
        </is>
      </c>
    </row>
    <row r="534">
      <c r="A534" s="5" t="inlineStr">
        <is>
          <t>Custo 21 — Subcategoria / descrição</t>
        </is>
      </c>
      <c r="B534" s="6" t="n"/>
      <c r="C534" s="7" t="inlineStr">
        <is>
          <t>Preço: Valor à vista | Parcelado; Outro: texto</t>
        </is>
      </c>
      <c r="D534" s="8" t="inlineStr">
        <is>
          <t>custos[21].subcategoria</t>
        </is>
      </c>
    </row>
    <row r="535">
      <c r="A535" s="5" t="inlineStr">
        <is>
          <t>Custo 21 — Unidade</t>
        </is>
      </c>
      <c r="B535" s="6" t="n"/>
      <c r="C535" s="7" t="inlineStr">
        <is>
          <t>lista: rs | rs_m2_priv | rs_m2_terreno | pct_vgv | pct_obra | pct_recebido | pct_constr</t>
        </is>
      </c>
      <c r="D535" s="8" t="inlineStr">
        <is>
          <t>custos[21].unidade</t>
        </is>
      </c>
    </row>
    <row r="536">
      <c r="A536" s="5" t="inlineStr">
        <is>
          <t>Custo 21 — Valor (R$ ou R$/m²)</t>
        </is>
      </c>
      <c r="B536" s="16" t="n"/>
      <c r="C536" s="7">
        <f>IF($B$535="","escolha a Unidade acima",IF($B$535="rs","R$ (valor cheio)",IF($B$535="rs_m2_priv","R$/m² privativo (fechada+aberta)",IF($B$535="rs_m2_terreno","R$/m² de terreno",IF(LEFT($B$535,3)="pct","— (use a linha de %)","unidade inválida")))))</f>
        <v/>
      </c>
      <c r="D536" s="8" t="inlineStr">
        <is>
          <t>custos[21].valor_rs</t>
        </is>
      </c>
    </row>
    <row r="537">
      <c r="A537" s="5" t="inlineStr">
        <is>
          <t>Custo 21 — Valor (%)</t>
        </is>
      </c>
      <c r="B537" s="11" t="n"/>
      <c r="C537" s="7">
        <f>IF($B$535="","escolha a Unidade acima",IF($B$535="pct_vgv","% do VGV",IF($B$535="pct_receita","% da receita líquida (RET, sem juros)",IF($B$535="pct_obra","% da obra (grupo Obras inteiro)",IF($B$535="pct_recebido","% do recebido (com juros de tabela)",IF($B$535="pct_constr","% da construção (constr.+decor.+gestão da obra)",IF(LEFT($B$535,2)="rs","— (use a linha de R$)","unidade inválida"))))))</f>
        <v/>
      </c>
      <c r="D537" s="8" t="inlineStr">
        <is>
          <t>custos[21].valor_pct</t>
        </is>
      </c>
    </row>
    <row r="538">
      <c r="A538" s="5" t="inlineStr">
        <is>
          <t>Custo 21 — Distribuição</t>
        </is>
      </c>
      <c r="B538" s="6" t="n"/>
      <c r="C538" s="7" t="inlineStr">
        <is>
          <t>Linear | nome de uma curva do catálogo (ex.: Curva S) | unit_delivery | sales_revenue</t>
        </is>
      </c>
      <c r="D538" s="8" t="inlineStr">
        <is>
          <t>custos[21].distribuicao</t>
        </is>
      </c>
    </row>
    <row r="539">
      <c r="A539" s="5" t="inlineStr">
        <is>
          <t>Custo 21 — Cronograma</t>
        </is>
      </c>
      <c r="B539" s="6" t="n"/>
      <c r="C539" s="7" t="inlineStr">
        <is>
          <t>evento, customizado ou "fase: &lt;nome&gt;"</t>
        </is>
      </c>
      <c r="D539" s="8" t="inlineStr">
        <is>
          <t>custos[21].cronograma</t>
        </is>
      </c>
    </row>
    <row r="540">
      <c r="A540" s="5" t="inlineStr">
        <is>
          <t>Custo 21 — Início (só customizado)</t>
        </is>
      </c>
      <c r="B540" s="14" t="n"/>
      <c r="C540" s="7" t="inlineStr">
        <is>
          <t>mês (inteiro ≥ 0)</t>
        </is>
      </c>
      <c r="D540" s="8" t="inlineStr">
        <is>
          <t>custos[21].inicio_mes</t>
        </is>
      </c>
    </row>
    <row r="541">
      <c r="A541" s="5" t="inlineStr">
        <is>
          <t>Custo 21 — Duração (só customizado)</t>
        </is>
      </c>
      <c r="B541" s="14" t="n"/>
      <c r="C541" s="7" t="inlineStr">
        <is>
          <t>meses (inteiro ≥ 1)</t>
        </is>
      </c>
      <c r="D541" s="8" t="inlineStr">
        <is>
          <t>custos[21].duracao_meses</t>
        </is>
      </c>
    </row>
    <row r="542">
      <c r="A542" s="15" t="inlineStr">
        <is>
          <t>Custo 22</t>
        </is>
      </c>
    </row>
    <row r="543">
      <c r="A543" s="5" t="inlineStr">
        <is>
          <t>Custo 22 — Grupo</t>
        </is>
      </c>
      <c r="B543" s="6" t="n"/>
      <c r="C543" s="7" t="inlineStr">
        <is>
          <t>lista: terreno | obra | diretos | indireto | financeiro</t>
        </is>
      </c>
      <c r="D543" s="8" t="inlineStr">
        <is>
          <t>custos[22].grupo</t>
        </is>
      </c>
    </row>
    <row r="544">
      <c r="A544" s="5" t="inlineStr">
        <is>
          <t>Custo 22 — Categoria</t>
        </is>
      </c>
      <c r="B544" s="6" t="n"/>
      <c r="C544" s="7" t="inlineStr">
        <is>
          <t>ver tabela acima</t>
        </is>
      </c>
      <c r="D544" s="8" t="inlineStr">
        <is>
          <t>custos[22].categoria</t>
        </is>
      </c>
    </row>
    <row r="545">
      <c r="A545" s="5" t="inlineStr">
        <is>
          <t>Custo 22 — Subcategoria / descrição</t>
        </is>
      </c>
      <c r="B545" s="6" t="n"/>
      <c r="C545" s="7" t="inlineStr">
        <is>
          <t>Preço: Valor à vista | Parcelado; Outro: texto</t>
        </is>
      </c>
      <c r="D545" s="8" t="inlineStr">
        <is>
          <t>custos[22].subcategoria</t>
        </is>
      </c>
    </row>
    <row r="546">
      <c r="A546" s="5" t="inlineStr">
        <is>
          <t>Custo 22 — Unidade</t>
        </is>
      </c>
      <c r="B546" s="6" t="n"/>
      <c r="C546" s="7" t="inlineStr">
        <is>
          <t>lista: rs | rs_m2_priv | rs_m2_terreno | pct_vgv | pct_obra | pct_recebido | pct_constr</t>
        </is>
      </c>
      <c r="D546" s="8" t="inlineStr">
        <is>
          <t>custos[22].unidade</t>
        </is>
      </c>
    </row>
    <row r="547">
      <c r="A547" s="5" t="inlineStr">
        <is>
          <t>Custo 22 — Valor (R$ ou R$/m²)</t>
        </is>
      </c>
      <c r="B547" s="16" t="n"/>
      <c r="C547" s="7">
        <f>IF($B$546="","escolha a Unidade acima",IF($B$546="rs","R$ (valor cheio)",IF($B$546="rs_m2_priv","R$/m² privativo (fechada+aberta)",IF($B$546="rs_m2_terreno","R$/m² de terreno",IF(LEFT($B$546,3)="pct","— (use a linha de %)","unidade inválida")))))</f>
        <v/>
      </c>
      <c r="D547" s="8" t="inlineStr">
        <is>
          <t>custos[22].valor_rs</t>
        </is>
      </c>
    </row>
    <row r="548">
      <c r="A548" s="5" t="inlineStr">
        <is>
          <t>Custo 22 — Valor (%)</t>
        </is>
      </c>
      <c r="B548" s="11" t="n"/>
      <c r="C548" s="7">
        <f>IF($B$546="","escolha a Unidade acima",IF($B$546="pct_vgv","% do VGV",IF($B$546="pct_receita","% da receita líquida (RET, sem juros)",IF($B$546="pct_obra","% da obra (grupo Obras inteiro)",IF($B$546="pct_recebido","% do recebido (com juros de tabela)",IF($B$546="pct_constr","% da construção (constr.+decor.+gestão da obra)",IF(LEFT($B$546,2)="rs","— (use a linha de R$)","unidade inválida"))))))</f>
        <v/>
      </c>
      <c r="D548" s="8" t="inlineStr">
        <is>
          <t>custos[22].valor_pct</t>
        </is>
      </c>
    </row>
    <row r="549">
      <c r="A549" s="5" t="inlineStr">
        <is>
          <t>Custo 22 — Distribuição</t>
        </is>
      </c>
      <c r="B549" s="6" t="n"/>
      <c r="C549" s="7" t="inlineStr">
        <is>
          <t>Linear | nome de uma curva do catálogo (ex.: Curva S) | unit_delivery | sales_revenue</t>
        </is>
      </c>
      <c r="D549" s="8" t="inlineStr">
        <is>
          <t>custos[22].distribuicao</t>
        </is>
      </c>
    </row>
    <row r="550">
      <c r="A550" s="5" t="inlineStr">
        <is>
          <t>Custo 22 — Cronograma</t>
        </is>
      </c>
      <c r="B550" s="6" t="n"/>
      <c r="C550" s="7" t="inlineStr">
        <is>
          <t>evento, customizado ou "fase: &lt;nome&gt;"</t>
        </is>
      </c>
      <c r="D550" s="8" t="inlineStr">
        <is>
          <t>custos[22].cronograma</t>
        </is>
      </c>
    </row>
    <row r="551">
      <c r="A551" s="5" t="inlineStr">
        <is>
          <t>Custo 22 — Início (só customizado)</t>
        </is>
      </c>
      <c r="B551" s="14" t="n"/>
      <c r="C551" s="7" t="inlineStr">
        <is>
          <t>mês (inteiro ≥ 0)</t>
        </is>
      </c>
      <c r="D551" s="8" t="inlineStr">
        <is>
          <t>custos[22].inicio_mes</t>
        </is>
      </c>
    </row>
    <row r="552">
      <c r="A552" s="5" t="inlineStr">
        <is>
          <t>Custo 22 — Duração (só customizado)</t>
        </is>
      </c>
      <c r="B552" s="14" t="n"/>
      <c r="C552" s="7" t="inlineStr">
        <is>
          <t>meses (inteiro ≥ 1)</t>
        </is>
      </c>
      <c r="D552" s="8" t="inlineStr">
        <is>
          <t>custos[22].duracao_meses</t>
        </is>
      </c>
    </row>
    <row r="553">
      <c r="A553" s="15" t="inlineStr">
        <is>
          <t>Custo 23</t>
        </is>
      </c>
    </row>
    <row r="554">
      <c r="A554" s="5" t="inlineStr">
        <is>
          <t>Custo 23 — Grupo</t>
        </is>
      </c>
      <c r="B554" s="6" t="n"/>
      <c r="C554" s="7" t="inlineStr">
        <is>
          <t>lista: terreno | obra | diretos | indireto | financeiro</t>
        </is>
      </c>
      <c r="D554" s="8" t="inlineStr">
        <is>
          <t>custos[23].grupo</t>
        </is>
      </c>
    </row>
    <row r="555">
      <c r="A555" s="5" t="inlineStr">
        <is>
          <t>Custo 23 — Categoria</t>
        </is>
      </c>
      <c r="B555" s="6" t="n"/>
      <c r="C555" s="7" t="inlineStr">
        <is>
          <t>ver tabela acima</t>
        </is>
      </c>
      <c r="D555" s="8" t="inlineStr">
        <is>
          <t>custos[23].categoria</t>
        </is>
      </c>
    </row>
    <row r="556">
      <c r="A556" s="5" t="inlineStr">
        <is>
          <t>Custo 23 — Subcategoria / descrição</t>
        </is>
      </c>
      <c r="B556" s="6" t="n"/>
      <c r="C556" s="7" t="inlineStr">
        <is>
          <t>Preço: Valor à vista | Parcelado; Outro: texto</t>
        </is>
      </c>
      <c r="D556" s="8" t="inlineStr">
        <is>
          <t>custos[23].subcategoria</t>
        </is>
      </c>
    </row>
    <row r="557">
      <c r="A557" s="5" t="inlineStr">
        <is>
          <t>Custo 23 — Unidade</t>
        </is>
      </c>
      <c r="B557" s="6" t="n"/>
      <c r="C557" s="7" t="inlineStr">
        <is>
          <t>lista: rs | rs_m2_priv | rs_m2_terreno | pct_vgv | pct_obra | pct_recebido | pct_constr</t>
        </is>
      </c>
      <c r="D557" s="8" t="inlineStr">
        <is>
          <t>custos[23].unidade</t>
        </is>
      </c>
    </row>
    <row r="558">
      <c r="A558" s="5" t="inlineStr">
        <is>
          <t>Custo 23 — Valor (R$ ou R$/m²)</t>
        </is>
      </c>
      <c r="B558" s="16" t="n"/>
      <c r="C558" s="7">
        <f>IF($B$557="","escolha a Unidade acima",IF($B$557="rs","R$ (valor cheio)",IF($B$557="rs_m2_priv","R$/m² privativo (fechada+aberta)",IF($B$557="rs_m2_terreno","R$/m² de terreno",IF(LEFT($B$557,3)="pct","— (use a linha de %)","unidade inválida")))))</f>
        <v/>
      </c>
      <c r="D558" s="8" t="inlineStr">
        <is>
          <t>custos[23].valor_rs</t>
        </is>
      </c>
    </row>
    <row r="559">
      <c r="A559" s="5" t="inlineStr">
        <is>
          <t>Custo 23 — Valor (%)</t>
        </is>
      </c>
      <c r="B559" s="11" t="n"/>
      <c r="C559" s="7">
        <f>IF($B$557="","escolha a Unidade acima",IF($B$557="pct_vgv","% do VGV",IF($B$557="pct_receita","% da receita líquida (RET, sem juros)",IF($B$557="pct_obra","% da obra (grupo Obras inteiro)",IF($B$557="pct_recebido","% do recebido (com juros de tabela)",IF($B$557="pct_constr","% da construção (constr.+decor.+gestão da obra)",IF(LEFT($B$557,2)="rs","— (use a linha de R$)","unidade inválida"))))))</f>
        <v/>
      </c>
      <c r="D559" s="8" t="inlineStr">
        <is>
          <t>custos[23].valor_pct</t>
        </is>
      </c>
    </row>
    <row r="560">
      <c r="A560" s="5" t="inlineStr">
        <is>
          <t>Custo 23 — Distribuição</t>
        </is>
      </c>
      <c r="B560" s="6" t="n"/>
      <c r="C560" s="7" t="inlineStr">
        <is>
          <t>Linear | nome de uma curva do catálogo (ex.: Curva S) | unit_delivery | sales_revenue</t>
        </is>
      </c>
      <c r="D560" s="8" t="inlineStr">
        <is>
          <t>custos[23].distribuicao</t>
        </is>
      </c>
    </row>
    <row r="561">
      <c r="A561" s="5" t="inlineStr">
        <is>
          <t>Custo 23 — Cronograma</t>
        </is>
      </c>
      <c r="B561" s="6" t="n"/>
      <c r="C561" s="7" t="inlineStr">
        <is>
          <t>evento, customizado ou "fase: &lt;nome&gt;"</t>
        </is>
      </c>
      <c r="D561" s="8" t="inlineStr">
        <is>
          <t>custos[23].cronograma</t>
        </is>
      </c>
    </row>
    <row r="562">
      <c r="A562" s="5" t="inlineStr">
        <is>
          <t>Custo 23 — Início (só customizado)</t>
        </is>
      </c>
      <c r="B562" s="14" t="n"/>
      <c r="C562" s="7" t="inlineStr">
        <is>
          <t>mês (inteiro ≥ 0)</t>
        </is>
      </c>
      <c r="D562" s="8" t="inlineStr">
        <is>
          <t>custos[23].inicio_mes</t>
        </is>
      </c>
    </row>
    <row r="563">
      <c r="A563" s="5" t="inlineStr">
        <is>
          <t>Custo 23 — Duração (só customizado)</t>
        </is>
      </c>
      <c r="B563" s="14" t="n"/>
      <c r="C563" s="7" t="inlineStr">
        <is>
          <t>meses (inteiro ≥ 1)</t>
        </is>
      </c>
      <c r="D563" s="8" t="inlineStr">
        <is>
          <t>custos[23].duracao_meses</t>
        </is>
      </c>
    </row>
    <row r="564">
      <c r="A564" s="15" t="inlineStr">
        <is>
          <t>Custo 24</t>
        </is>
      </c>
    </row>
    <row r="565">
      <c r="A565" s="5" t="inlineStr">
        <is>
          <t>Custo 24 — Grupo</t>
        </is>
      </c>
      <c r="B565" s="6" t="n"/>
      <c r="C565" s="7" t="inlineStr">
        <is>
          <t>lista: terreno | obra | diretos | indireto | financeiro</t>
        </is>
      </c>
      <c r="D565" s="8" t="inlineStr">
        <is>
          <t>custos[24].grupo</t>
        </is>
      </c>
    </row>
    <row r="566">
      <c r="A566" s="5" t="inlineStr">
        <is>
          <t>Custo 24 — Categoria</t>
        </is>
      </c>
      <c r="B566" s="6" t="n"/>
      <c r="C566" s="7" t="inlineStr">
        <is>
          <t>ver tabela acima</t>
        </is>
      </c>
      <c r="D566" s="8" t="inlineStr">
        <is>
          <t>custos[24].categoria</t>
        </is>
      </c>
    </row>
    <row r="567">
      <c r="A567" s="5" t="inlineStr">
        <is>
          <t>Custo 24 — Subcategoria / descrição</t>
        </is>
      </c>
      <c r="B567" s="6" t="n"/>
      <c r="C567" s="7" t="inlineStr">
        <is>
          <t>Preço: Valor à vista | Parcelado; Outro: texto</t>
        </is>
      </c>
      <c r="D567" s="8" t="inlineStr">
        <is>
          <t>custos[24].subcategoria</t>
        </is>
      </c>
    </row>
    <row r="568">
      <c r="A568" s="5" t="inlineStr">
        <is>
          <t>Custo 24 — Unidade</t>
        </is>
      </c>
      <c r="B568" s="6" t="n"/>
      <c r="C568" s="7" t="inlineStr">
        <is>
          <t>lista: rs | rs_m2_priv | rs_m2_terreno | pct_vgv | pct_obra | pct_recebido | pct_constr</t>
        </is>
      </c>
      <c r="D568" s="8" t="inlineStr">
        <is>
          <t>custos[24].unidade</t>
        </is>
      </c>
    </row>
    <row r="569">
      <c r="A569" s="5" t="inlineStr">
        <is>
          <t>Custo 24 — Valor (R$ ou R$/m²)</t>
        </is>
      </c>
      <c r="B569" s="16" t="n"/>
      <c r="C569" s="7">
        <f>IF($B$568="","escolha a Unidade acima",IF($B$568="rs","R$ (valor cheio)",IF($B$568="rs_m2_priv","R$/m² privativo (fechada+aberta)",IF($B$568="rs_m2_terreno","R$/m² de terreno",IF(LEFT($B$568,3)="pct","— (use a linha de %)","unidade inválida")))))</f>
        <v/>
      </c>
      <c r="D569" s="8" t="inlineStr">
        <is>
          <t>custos[24].valor_rs</t>
        </is>
      </c>
    </row>
    <row r="570">
      <c r="A570" s="5" t="inlineStr">
        <is>
          <t>Custo 24 — Valor (%)</t>
        </is>
      </c>
      <c r="B570" s="11" t="n"/>
      <c r="C570" s="7">
        <f>IF($B$568="","escolha a Unidade acima",IF($B$568="pct_vgv","% do VGV",IF($B$568="pct_receita","% da receita líquida (RET, sem juros)",IF($B$568="pct_obra","% da obra (grupo Obras inteiro)",IF($B$568="pct_recebido","% do recebido (com juros de tabela)",IF($B$568="pct_constr","% da construção (constr.+decor.+gestão da obra)",IF(LEFT($B$568,2)="rs","— (use a linha de R$)","unidade inválida"))))))</f>
        <v/>
      </c>
      <c r="D570" s="8" t="inlineStr">
        <is>
          <t>custos[24].valor_pct</t>
        </is>
      </c>
    </row>
    <row r="571">
      <c r="A571" s="5" t="inlineStr">
        <is>
          <t>Custo 24 — Distribuição</t>
        </is>
      </c>
      <c r="B571" s="6" t="n"/>
      <c r="C571" s="7" t="inlineStr">
        <is>
          <t>Linear | nome de uma curva do catálogo (ex.: Curva S) | unit_delivery | sales_revenue</t>
        </is>
      </c>
      <c r="D571" s="8" t="inlineStr">
        <is>
          <t>custos[24].distribuicao</t>
        </is>
      </c>
    </row>
    <row r="572">
      <c r="A572" s="5" t="inlineStr">
        <is>
          <t>Custo 24 — Cronograma</t>
        </is>
      </c>
      <c r="B572" s="6" t="n"/>
      <c r="C572" s="7" t="inlineStr">
        <is>
          <t>evento, customizado ou "fase: &lt;nome&gt;"</t>
        </is>
      </c>
      <c r="D572" s="8" t="inlineStr">
        <is>
          <t>custos[24].cronograma</t>
        </is>
      </c>
    </row>
    <row r="573">
      <c r="A573" s="5" t="inlineStr">
        <is>
          <t>Custo 24 — Início (só customizado)</t>
        </is>
      </c>
      <c r="B573" s="14" t="n"/>
      <c r="C573" s="7" t="inlineStr">
        <is>
          <t>mês (inteiro ≥ 0)</t>
        </is>
      </c>
      <c r="D573" s="8" t="inlineStr">
        <is>
          <t>custos[24].inicio_mes</t>
        </is>
      </c>
    </row>
    <row r="574">
      <c r="A574" s="5" t="inlineStr">
        <is>
          <t>Custo 24 — Duração (só customizado)</t>
        </is>
      </c>
      <c r="B574" s="14" t="n"/>
      <c r="C574" s="7" t="inlineStr">
        <is>
          <t>meses (inteiro ≥ 1)</t>
        </is>
      </c>
      <c r="D574" s="8" t="inlineStr">
        <is>
          <t>custos[24].duracao_meses</t>
        </is>
      </c>
    </row>
    <row r="575">
      <c r="A575" s="15" t="inlineStr">
        <is>
          <t>Custo 25</t>
        </is>
      </c>
    </row>
    <row r="576">
      <c r="A576" s="5" t="inlineStr">
        <is>
          <t>Custo 25 — Grupo</t>
        </is>
      </c>
      <c r="B576" s="6" t="n"/>
      <c r="C576" s="7" t="inlineStr">
        <is>
          <t>lista: terreno | obra | diretos | indireto | financeiro</t>
        </is>
      </c>
      <c r="D576" s="8" t="inlineStr">
        <is>
          <t>custos[25].grupo</t>
        </is>
      </c>
    </row>
    <row r="577">
      <c r="A577" s="5" t="inlineStr">
        <is>
          <t>Custo 25 — Categoria</t>
        </is>
      </c>
      <c r="B577" s="6" t="n"/>
      <c r="C577" s="7" t="inlineStr">
        <is>
          <t>ver tabela acima</t>
        </is>
      </c>
      <c r="D577" s="8" t="inlineStr">
        <is>
          <t>custos[25].categoria</t>
        </is>
      </c>
    </row>
    <row r="578">
      <c r="A578" s="5" t="inlineStr">
        <is>
          <t>Custo 25 — Subcategoria / descrição</t>
        </is>
      </c>
      <c r="B578" s="6" t="n"/>
      <c r="C578" s="7" t="inlineStr">
        <is>
          <t>Preço: Valor à vista | Parcelado; Outro: texto</t>
        </is>
      </c>
      <c r="D578" s="8" t="inlineStr">
        <is>
          <t>custos[25].subcategoria</t>
        </is>
      </c>
    </row>
    <row r="579">
      <c r="A579" s="5" t="inlineStr">
        <is>
          <t>Custo 25 — Unidade</t>
        </is>
      </c>
      <c r="B579" s="6" t="n"/>
      <c r="C579" s="7" t="inlineStr">
        <is>
          <t>lista: rs | rs_m2_priv | rs_m2_terreno | pct_vgv | pct_obra | pct_recebido | pct_constr</t>
        </is>
      </c>
      <c r="D579" s="8" t="inlineStr">
        <is>
          <t>custos[25].unidade</t>
        </is>
      </c>
    </row>
    <row r="580">
      <c r="A580" s="5" t="inlineStr">
        <is>
          <t>Custo 25 — Valor (R$ ou R$/m²)</t>
        </is>
      </c>
      <c r="B580" s="16" t="n"/>
      <c r="C580" s="7">
        <f>IF($B$579="","escolha a Unidade acima",IF($B$579="rs","R$ (valor cheio)",IF($B$579="rs_m2_priv","R$/m² privativo (fechada+aberta)",IF($B$579="rs_m2_terreno","R$/m² de terreno",IF(LEFT($B$579,3)="pct","— (use a linha de %)","unidade inválida")))))</f>
        <v/>
      </c>
      <c r="D580" s="8" t="inlineStr">
        <is>
          <t>custos[25].valor_rs</t>
        </is>
      </c>
    </row>
    <row r="581">
      <c r="A581" s="5" t="inlineStr">
        <is>
          <t>Custo 25 — Valor (%)</t>
        </is>
      </c>
      <c r="B581" s="11" t="n"/>
      <c r="C581" s="7">
        <f>IF($B$579="","escolha a Unidade acima",IF($B$579="pct_vgv","% do VGV",IF($B$579="pct_receita","% da receita líquida (RET, sem juros)",IF($B$579="pct_obra","% da obra (grupo Obras inteiro)",IF($B$579="pct_recebido","% do recebido (com juros de tabela)",IF($B$579="pct_constr","% da construção (constr.+decor.+gestão da obra)",IF(LEFT($B$579,2)="rs","— (use a linha de R$)","unidade inválida"))))))</f>
        <v/>
      </c>
      <c r="D581" s="8" t="inlineStr">
        <is>
          <t>custos[25].valor_pct</t>
        </is>
      </c>
    </row>
    <row r="582">
      <c r="A582" s="5" t="inlineStr">
        <is>
          <t>Custo 25 — Distribuição</t>
        </is>
      </c>
      <c r="B582" s="6" t="n"/>
      <c r="C582" s="7" t="inlineStr">
        <is>
          <t>Linear | nome de uma curva do catálogo (ex.: Curva S) | unit_delivery | sales_revenue</t>
        </is>
      </c>
      <c r="D582" s="8" t="inlineStr">
        <is>
          <t>custos[25].distribuicao</t>
        </is>
      </c>
    </row>
    <row r="583">
      <c r="A583" s="5" t="inlineStr">
        <is>
          <t>Custo 25 — Cronograma</t>
        </is>
      </c>
      <c r="B583" s="6" t="n"/>
      <c r="C583" s="7" t="inlineStr">
        <is>
          <t>evento, customizado ou "fase: &lt;nome&gt;"</t>
        </is>
      </c>
      <c r="D583" s="8" t="inlineStr">
        <is>
          <t>custos[25].cronograma</t>
        </is>
      </c>
    </row>
    <row r="584">
      <c r="A584" s="5" t="inlineStr">
        <is>
          <t>Custo 25 — Início (só customizado)</t>
        </is>
      </c>
      <c r="B584" s="14" t="n"/>
      <c r="C584" s="7" t="inlineStr">
        <is>
          <t>mês (inteiro ≥ 0)</t>
        </is>
      </c>
      <c r="D584" s="8" t="inlineStr">
        <is>
          <t>custos[25].inicio_mes</t>
        </is>
      </c>
    </row>
    <row r="585">
      <c r="A585" s="5" t="inlineStr">
        <is>
          <t>Custo 25 — Duração (só customizado)</t>
        </is>
      </c>
      <c r="B585" s="14" t="n"/>
      <c r="C585" s="7" t="inlineStr">
        <is>
          <t>meses (inteiro ≥ 1)</t>
        </is>
      </c>
      <c r="D585" s="8" t="inlineStr">
        <is>
          <t>custos[25].duracao_meses</t>
        </is>
      </c>
    </row>
    <row r="586">
      <c r="A586" s="15" t="inlineStr">
        <is>
          <t>Custo 26</t>
        </is>
      </c>
    </row>
    <row r="587">
      <c r="A587" s="5" t="inlineStr">
        <is>
          <t>Custo 26 — Grupo</t>
        </is>
      </c>
      <c r="B587" s="6" t="n"/>
      <c r="C587" s="7" t="inlineStr">
        <is>
          <t>lista: terreno | obra | diretos | indireto | financeiro</t>
        </is>
      </c>
      <c r="D587" s="8" t="inlineStr">
        <is>
          <t>custos[26].grupo</t>
        </is>
      </c>
    </row>
    <row r="588">
      <c r="A588" s="5" t="inlineStr">
        <is>
          <t>Custo 26 — Categoria</t>
        </is>
      </c>
      <c r="B588" s="6" t="n"/>
      <c r="C588" s="7" t="inlineStr">
        <is>
          <t>ver tabela acima</t>
        </is>
      </c>
      <c r="D588" s="8" t="inlineStr">
        <is>
          <t>custos[26].categoria</t>
        </is>
      </c>
    </row>
    <row r="589">
      <c r="A589" s="5" t="inlineStr">
        <is>
          <t>Custo 26 — Subcategoria / descrição</t>
        </is>
      </c>
      <c r="B589" s="6" t="n"/>
      <c r="C589" s="7" t="inlineStr">
        <is>
          <t>Preço: Valor à vista | Parcelado; Outro: texto</t>
        </is>
      </c>
      <c r="D589" s="8" t="inlineStr">
        <is>
          <t>custos[26].subcategoria</t>
        </is>
      </c>
    </row>
    <row r="590">
      <c r="A590" s="5" t="inlineStr">
        <is>
          <t>Custo 26 — Unidade</t>
        </is>
      </c>
      <c r="B590" s="6" t="n"/>
      <c r="C590" s="7" t="inlineStr">
        <is>
          <t>lista: rs | rs_m2_priv | rs_m2_terreno | pct_vgv | pct_obra | pct_recebido | pct_constr</t>
        </is>
      </c>
      <c r="D590" s="8" t="inlineStr">
        <is>
          <t>custos[26].unidade</t>
        </is>
      </c>
    </row>
    <row r="591">
      <c r="A591" s="5" t="inlineStr">
        <is>
          <t>Custo 26 — Valor (R$ ou R$/m²)</t>
        </is>
      </c>
      <c r="B591" s="16" t="n"/>
      <c r="C591" s="7">
        <f>IF($B$590="","escolha a Unidade acima",IF($B$590="rs","R$ (valor cheio)",IF($B$590="rs_m2_priv","R$/m² privativo (fechada+aberta)",IF($B$590="rs_m2_terreno","R$/m² de terreno",IF(LEFT($B$590,3)="pct","— (use a linha de %)","unidade inválida")))))</f>
        <v/>
      </c>
      <c r="D591" s="8" t="inlineStr">
        <is>
          <t>custos[26].valor_rs</t>
        </is>
      </c>
    </row>
    <row r="592">
      <c r="A592" s="5" t="inlineStr">
        <is>
          <t>Custo 26 — Valor (%)</t>
        </is>
      </c>
      <c r="B592" s="11" t="n"/>
      <c r="C592" s="7">
        <f>IF($B$590="","escolha a Unidade acima",IF($B$590="pct_vgv","% do VGV",IF($B$590="pct_receita","% da receita líquida (RET, sem juros)",IF($B$590="pct_obra","% da obra (grupo Obras inteiro)",IF($B$590="pct_recebido","% do recebido (com juros de tabela)",IF($B$590="pct_constr","% da construção (constr.+decor.+gestão da obra)",IF(LEFT($B$590,2)="rs","— (use a linha de R$)","unidade inválida"))))))</f>
        <v/>
      </c>
      <c r="D592" s="8" t="inlineStr">
        <is>
          <t>custos[26].valor_pct</t>
        </is>
      </c>
    </row>
    <row r="593">
      <c r="A593" s="5" t="inlineStr">
        <is>
          <t>Custo 26 — Distribuição</t>
        </is>
      </c>
      <c r="B593" s="6" t="n"/>
      <c r="C593" s="7" t="inlineStr">
        <is>
          <t>Linear | nome de uma curva do catálogo (ex.: Curva S) | unit_delivery | sales_revenue</t>
        </is>
      </c>
      <c r="D593" s="8" t="inlineStr">
        <is>
          <t>custos[26].distribuicao</t>
        </is>
      </c>
    </row>
    <row r="594">
      <c r="A594" s="5" t="inlineStr">
        <is>
          <t>Custo 26 — Cronograma</t>
        </is>
      </c>
      <c r="B594" s="6" t="n"/>
      <c r="C594" s="7" t="inlineStr">
        <is>
          <t>evento, customizado ou "fase: &lt;nome&gt;"</t>
        </is>
      </c>
      <c r="D594" s="8" t="inlineStr">
        <is>
          <t>custos[26].cronograma</t>
        </is>
      </c>
    </row>
    <row r="595">
      <c r="A595" s="5" t="inlineStr">
        <is>
          <t>Custo 26 — Início (só customizado)</t>
        </is>
      </c>
      <c r="B595" s="14" t="n"/>
      <c r="C595" s="7" t="inlineStr">
        <is>
          <t>mês (inteiro ≥ 0)</t>
        </is>
      </c>
      <c r="D595" s="8" t="inlineStr">
        <is>
          <t>custos[26].inicio_mes</t>
        </is>
      </c>
    </row>
    <row r="596">
      <c r="A596" s="5" t="inlineStr">
        <is>
          <t>Custo 26 — Duração (só customizado)</t>
        </is>
      </c>
      <c r="B596" s="14" t="n"/>
      <c r="C596" s="7" t="inlineStr">
        <is>
          <t>meses (inteiro ≥ 1)</t>
        </is>
      </c>
      <c r="D596" s="8" t="inlineStr">
        <is>
          <t>custos[26].duracao_meses</t>
        </is>
      </c>
    </row>
    <row r="597">
      <c r="A597" s="15" t="inlineStr">
        <is>
          <t>Custo 27</t>
        </is>
      </c>
    </row>
    <row r="598">
      <c r="A598" s="5" t="inlineStr">
        <is>
          <t>Custo 27 — Grupo</t>
        </is>
      </c>
      <c r="B598" s="6" t="n"/>
      <c r="C598" s="7" t="inlineStr">
        <is>
          <t>lista: terreno | obra | diretos | indireto | financeiro</t>
        </is>
      </c>
      <c r="D598" s="8" t="inlineStr">
        <is>
          <t>custos[27].grupo</t>
        </is>
      </c>
    </row>
    <row r="599">
      <c r="A599" s="5" t="inlineStr">
        <is>
          <t>Custo 27 — Categoria</t>
        </is>
      </c>
      <c r="B599" s="6" t="n"/>
      <c r="C599" s="7" t="inlineStr">
        <is>
          <t>ver tabela acima</t>
        </is>
      </c>
      <c r="D599" s="8" t="inlineStr">
        <is>
          <t>custos[27].categoria</t>
        </is>
      </c>
    </row>
    <row r="600">
      <c r="A600" s="5" t="inlineStr">
        <is>
          <t>Custo 27 — Subcategoria / descrição</t>
        </is>
      </c>
      <c r="B600" s="6" t="n"/>
      <c r="C600" s="7" t="inlineStr">
        <is>
          <t>Preço: Valor à vista | Parcelado; Outro: texto</t>
        </is>
      </c>
      <c r="D600" s="8" t="inlineStr">
        <is>
          <t>custos[27].subcategoria</t>
        </is>
      </c>
    </row>
    <row r="601">
      <c r="A601" s="5" t="inlineStr">
        <is>
          <t>Custo 27 — Unidade</t>
        </is>
      </c>
      <c r="B601" s="6" t="n"/>
      <c r="C601" s="7" t="inlineStr">
        <is>
          <t>lista: rs | rs_m2_priv | rs_m2_terreno | pct_vgv | pct_obra | pct_recebido | pct_constr</t>
        </is>
      </c>
      <c r="D601" s="8" t="inlineStr">
        <is>
          <t>custos[27].unidade</t>
        </is>
      </c>
    </row>
    <row r="602">
      <c r="A602" s="5" t="inlineStr">
        <is>
          <t>Custo 27 — Valor (R$ ou R$/m²)</t>
        </is>
      </c>
      <c r="B602" s="16" t="n"/>
      <c r="C602" s="7">
        <f>IF($B$601="","escolha a Unidade acima",IF($B$601="rs","R$ (valor cheio)",IF($B$601="rs_m2_priv","R$/m² privativo (fechada+aberta)",IF($B$601="rs_m2_terreno","R$/m² de terreno",IF(LEFT($B$601,3)="pct","— (use a linha de %)","unidade inválida")))))</f>
        <v/>
      </c>
      <c r="D602" s="8" t="inlineStr">
        <is>
          <t>custos[27].valor_rs</t>
        </is>
      </c>
    </row>
    <row r="603">
      <c r="A603" s="5" t="inlineStr">
        <is>
          <t>Custo 27 — Valor (%)</t>
        </is>
      </c>
      <c r="B603" s="11" t="n"/>
      <c r="C603" s="7">
        <f>IF($B$601="","escolha a Unidade acima",IF($B$601="pct_vgv","% do VGV",IF($B$601="pct_receita","% da receita líquida (RET, sem juros)",IF($B$601="pct_obra","% da obra (grupo Obras inteiro)",IF($B$601="pct_recebido","% do recebido (com juros de tabela)",IF($B$601="pct_constr","% da construção (constr.+decor.+gestão da obra)",IF(LEFT($B$601,2)="rs","— (use a linha de R$)","unidade inválida"))))))</f>
        <v/>
      </c>
      <c r="D603" s="8" t="inlineStr">
        <is>
          <t>custos[27].valor_pct</t>
        </is>
      </c>
    </row>
    <row r="604">
      <c r="A604" s="5" t="inlineStr">
        <is>
          <t>Custo 27 — Distribuição</t>
        </is>
      </c>
      <c r="B604" s="6" t="n"/>
      <c r="C604" s="7" t="inlineStr">
        <is>
          <t>Linear | nome de uma curva do catálogo (ex.: Curva S) | unit_delivery | sales_revenue</t>
        </is>
      </c>
      <c r="D604" s="8" t="inlineStr">
        <is>
          <t>custos[27].distribuicao</t>
        </is>
      </c>
    </row>
    <row r="605">
      <c r="A605" s="5" t="inlineStr">
        <is>
          <t>Custo 27 — Cronograma</t>
        </is>
      </c>
      <c r="B605" s="6" t="n"/>
      <c r="C605" s="7" t="inlineStr">
        <is>
          <t>evento, customizado ou "fase: &lt;nome&gt;"</t>
        </is>
      </c>
      <c r="D605" s="8" t="inlineStr">
        <is>
          <t>custos[27].cronograma</t>
        </is>
      </c>
    </row>
    <row r="606">
      <c r="A606" s="5" t="inlineStr">
        <is>
          <t>Custo 27 — Início (só customizado)</t>
        </is>
      </c>
      <c r="B606" s="14" t="n"/>
      <c r="C606" s="7" t="inlineStr">
        <is>
          <t>mês (inteiro ≥ 0)</t>
        </is>
      </c>
      <c r="D606" s="8" t="inlineStr">
        <is>
          <t>custos[27].inicio_mes</t>
        </is>
      </c>
    </row>
    <row r="607">
      <c r="A607" s="5" t="inlineStr">
        <is>
          <t>Custo 27 — Duração (só customizado)</t>
        </is>
      </c>
      <c r="B607" s="14" t="n"/>
      <c r="C607" s="7" t="inlineStr">
        <is>
          <t>meses (inteiro ≥ 1)</t>
        </is>
      </c>
      <c r="D607" s="8" t="inlineStr">
        <is>
          <t>custos[27].duracao_meses</t>
        </is>
      </c>
    </row>
    <row r="608">
      <c r="A608" s="15" t="inlineStr">
        <is>
          <t>Custo 28</t>
        </is>
      </c>
    </row>
    <row r="609">
      <c r="A609" s="5" t="inlineStr">
        <is>
          <t>Custo 28 — Grupo</t>
        </is>
      </c>
      <c r="B609" s="6" t="n"/>
      <c r="C609" s="7" t="inlineStr">
        <is>
          <t>lista: terreno | obra | diretos | indireto | financeiro</t>
        </is>
      </c>
      <c r="D609" s="8" t="inlineStr">
        <is>
          <t>custos[28].grupo</t>
        </is>
      </c>
    </row>
    <row r="610">
      <c r="A610" s="5" t="inlineStr">
        <is>
          <t>Custo 28 — Categoria</t>
        </is>
      </c>
      <c r="B610" s="6" t="n"/>
      <c r="C610" s="7" t="inlineStr">
        <is>
          <t>ver tabela acima</t>
        </is>
      </c>
      <c r="D610" s="8" t="inlineStr">
        <is>
          <t>custos[28].categoria</t>
        </is>
      </c>
    </row>
    <row r="611">
      <c r="A611" s="5" t="inlineStr">
        <is>
          <t>Custo 28 — Subcategoria / descrição</t>
        </is>
      </c>
      <c r="B611" s="6" t="n"/>
      <c r="C611" s="7" t="inlineStr">
        <is>
          <t>Preço: Valor à vista | Parcelado; Outro: texto</t>
        </is>
      </c>
      <c r="D611" s="8" t="inlineStr">
        <is>
          <t>custos[28].subcategoria</t>
        </is>
      </c>
    </row>
    <row r="612">
      <c r="A612" s="5" t="inlineStr">
        <is>
          <t>Custo 28 — Unidade</t>
        </is>
      </c>
      <c r="B612" s="6" t="n"/>
      <c r="C612" s="7" t="inlineStr">
        <is>
          <t>lista: rs | rs_m2_priv | rs_m2_terreno | pct_vgv | pct_obra | pct_recebido | pct_constr</t>
        </is>
      </c>
      <c r="D612" s="8" t="inlineStr">
        <is>
          <t>custos[28].unidade</t>
        </is>
      </c>
    </row>
    <row r="613">
      <c r="A613" s="5" t="inlineStr">
        <is>
          <t>Custo 28 — Valor (R$ ou R$/m²)</t>
        </is>
      </c>
      <c r="B613" s="16" t="n"/>
      <c r="C613" s="7">
        <f>IF($B$612="","escolha a Unidade acima",IF($B$612="rs","R$ (valor cheio)",IF($B$612="rs_m2_priv","R$/m² privativo (fechada+aberta)",IF($B$612="rs_m2_terreno","R$/m² de terreno",IF(LEFT($B$612,3)="pct","— (use a linha de %)","unidade inválida")))))</f>
        <v/>
      </c>
      <c r="D613" s="8" t="inlineStr">
        <is>
          <t>custos[28].valor_rs</t>
        </is>
      </c>
    </row>
    <row r="614">
      <c r="A614" s="5" t="inlineStr">
        <is>
          <t>Custo 28 — Valor (%)</t>
        </is>
      </c>
      <c r="B614" s="11" t="n"/>
      <c r="C614" s="7">
        <f>IF($B$612="","escolha a Unidade acima",IF($B$612="pct_vgv","% do VGV",IF($B$612="pct_receita","% da receita líquida (RET, sem juros)",IF($B$612="pct_obra","% da obra (grupo Obras inteiro)",IF($B$612="pct_recebido","% do recebido (com juros de tabela)",IF($B$612="pct_constr","% da construção (constr.+decor.+gestão da obra)",IF(LEFT($B$612,2)="rs","— (use a linha de R$)","unidade inválida"))))))</f>
        <v/>
      </c>
      <c r="D614" s="8" t="inlineStr">
        <is>
          <t>custos[28].valor_pct</t>
        </is>
      </c>
    </row>
    <row r="615">
      <c r="A615" s="5" t="inlineStr">
        <is>
          <t>Custo 28 — Distribuição</t>
        </is>
      </c>
      <c r="B615" s="6" t="n"/>
      <c r="C615" s="7" t="inlineStr">
        <is>
          <t>Linear | nome de uma curva do catálogo (ex.: Curva S) | unit_delivery | sales_revenue</t>
        </is>
      </c>
      <c r="D615" s="8" t="inlineStr">
        <is>
          <t>custos[28].distribuicao</t>
        </is>
      </c>
    </row>
    <row r="616">
      <c r="A616" s="5" t="inlineStr">
        <is>
          <t>Custo 28 — Cronograma</t>
        </is>
      </c>
      <c r="B616" s="6" t="n"/>
      <c r="C616" s="7" t="inlineStr">
        <is>
          <t>evento, customizado ou "fase: &lt;nome&gt;"</t>
        </is>
      </c>
      <c r="D616" s="8" t="inlineStr">
        <is>
          <t>custos[28].cronograma</t>
        </is>
      </c>
    </row>
    <row r="617">
      <c r="A617" s="5" t="inlineStr">
        <is>
          <t>Custo 28 — Início (só customizado)</t>
        </is>
      </c>
      <c r="B617" s="14" t="n"/>
      <c r="C617" s="7" t="inlineStr">
        <is>
          <t>mês (inteiro ≥ 0)</t>
        </is>
      </c>
      <c r="D617" s="8" t="inlineStr">
        <is>
          <t>custos[28].inicio_mes</t>
        </is>
      </c>
    </row>
    <row r="618">
      <c r="A618" s="5" t="inlineStr">
        <is>
          <t>Custo 28 — Duração (só customizado)</t>
        </is>
      </c>
      <c r="B618" s="14" t="n"/>
      <c r="C618" s="7" t="inlineStr">
        <is>
          <t>meses (inteiro ≥ 1)</t>
        </is>
      </c>
      <c r="D618" s="8" t="inlineStr">
        <is>
          <t>custos[28].duracao_meses</t>
        </is>
      </c>
    </row>
    <row r="619">
      <c r="A619" s="15" t="inlineStr">
        <is>
          <t>Permuta física do terreno (terreno / Preço / Permuta física) — até 2</t>
        </is>
      </c>
    </row>
    <row r="620">
      <c r="A620" s="5" t="inlineStr">
        <is>
          <t>Permuta física 1 — Lote entregue</t>
        </is>
      </c>
      <c r="B620" s="6" t="inlineStr">
        <is>
          <t>Lote 300 m²</t>
        </is>
      </c>
      <c r="C620" s="7" t="inlineStr">
        <is>
          <t>nome do lote</t>
        </is>
      </c>
      <c r="D620" s="8" t="inlineStr">
        <is>
          <t>permuta_fisica[1].tipologia</t>
        </is>
      </c>
    </row>
    <row r="621">
      <c r="A621" s="5" t="inlineStr">
        <is>
          <t>Permuta física 1 — Unidades entregues</t>
        </is>
      </c>
      <c r="B621" s="14" t="n">
        <v>100</v>
      </c>
      <c r="C621" s="7" t="inlineStr">
        <is>
          <t>unidades (≤ alocado)</t>
        </is>
      </c>
      <c r="D621" s="8" t="inlineStr">
        <is>
          <t>permuta_fisica[1].unidades</t>
        </is>
      </c>
    </row>
    <row r="622">
      <c r="A622" s="5" t="inlineStr">
        <is>
          <t>Permuta física 2 — Lote entregue</t>
        </is>
      </c>
      <c r="B622" s="6" t="n"/>
      <c r="C622" s="7" t="inlineStr">
        <is>
          <t>nome do lote</t>
        </is>
      </c>
      <c r="D622" s="8" t="inlineStr">
        <is>
          <t>permuta_fisica[2].tipologia</t>
        </is>
      </c>
    </row>
    <row r="623">
      <c r="A623" s="5" t="inlineStr">
        <is>
          <t>Permuta física 2 — Unidades entregues</t>
        </is>
      </c>
      <c r="B623" s="14" t="n"/>
      <c r="C623" s="7" t="inlineStr">
        <is>
          <t>unidades (≤ alocado)</t>
        </is>
      </c>
      <c r="D623" s="8" t="inlineStr">
        <is>
          <t>permuta_fisica[2].unidades</t>
        </is>
      </c>
    </row>
    <row r="624">
      <c r="A624" s="15" t="inlineStr">
        <is>
          <t>Permuta financeira do terreno (terreno / Preço / Permuta financeira) — até 2</t>
        </is>
      </c>
    </row>
    <row r="625">
      <c r="A625" s="5" t="inlineStr">
        <is>
          <t>Permuta financeira 1 — Unidade</t>
        </is>
      </c>
      <c r="B625" s="6" t="inlineStr">
        <is>
          <t>pct_vgv</t>
        </is>
      </c>
      <c r="C625" s="7" t="inlineStr">
        <is>
          <t>lista: rs | pct_vgv</t>
        </is>
      </c>
      <c r="D625" s="8" t="inlineStr">
        <is>
          <t>permuta_financeira[1].unidade</t>
        </is>
      </c>
    </row>
    <row r="626">
      <c r="A626" s="5" t="inlineStr">
        <is>
          <t>Permuta financeira 1 — Valor em R$</t>
        </is>
      </c>
      <c r="B626" s="16" t="n"/>
      <c r="C626" s="7" t="inlineStr">
        <is>
          <t>R$ (valor cheio; se unidade = rs)</t>
        </is>
      </c>
      <c r="D626" s="8" t="inlineStr">
        <is>
          <t>permuta_financeira[1].valor_rs</t>
        </is>
      </c>
    </row>
    <row r="627">
      <c r="A627" s="5" t="inlineStr">
        <is>
          <t>Permuta financeira 1 — Valor em % do VGV</t>
        </is>
      </c>
      <c r="B627" s="11" t="n">
        <v>0.03</v>
      </c>
      <c r="C627" s="7" t="inlineStr">
        <is>
          <t>% do VGV (se unidade = pct_vgv)</t>
        </is>
      </c>
      <c r="D627" s="8" t="inlineStr">
        <is>
          <t>permuta_financeira[1].valor_pct</t>
        </is>
      </c>
    </row>
    <row r="628">
      <c r="A628" s="5" t="inlineStr">
        <is>
          <t>Permuta financeira 1 — Deduzir impostos</t>
        </is>
      </c>
      <c r="B628" s="6" t="inlineStr">
        <is>
          <t>Não</t>
        </is>
      </c>
      <c r="C628" s="7" t="inlineStr">
        <is>
          <t>Sim/Não</t>
        </is>
      </c>
      <c r="D628" s="8" t="inlineStr">
        <is>
          <t>permuta_financeira[1].deduzir_imposto</t>
        </is>
      </c>
    </row>
    <row r="629">
      <c r="A629" s="5" t="inlineStr">
        <is>
          <t>Permuta financeira 1 — Deduzir corretagem</t>
        </is>
      </c>
      <c r="B629" s="6" t="inlineStr">
        <is>
          <t>Não</t>
        </is>
      </c>
      <c r="C629" s="7" t="inlineStr">
        <is>
          <t>Sim/Não</t>
        </is>
      </c>
      <c r="D629" s="8" t="inlineStr">
        <is>
          <t>permuta_financeira[1].deduzir_corretagem</t>
        </is>
      </c>
    </row>
    <row r="630">
      <c r="A630" s="5" t="inlineStr">
        <is>
          <t>Permuta financeira 2 — Unidade</t>
        </is>
      </c>
      <c r="B630" s="6" t="n"/>
      <c r="C630" s="7" t="inlineStr">
        <is>
          <t>lista: rs | pct_vgv</t>
        </is>
      </c>
      <c r="D630" s="8" t="inlineStr">
        <is>
          <t>permuta_financeira[2].unidade</t>
        </is>
      </c>
    </row>
    <row r="631">
      <c r="A631" s="5" t="inlineStr">
        <is>
          <t>Permuta financeira 2 — Valor em R$</t>
        </is>
      </c>
      <c r="B631" s="16" t="n"/>
      <c r="C631" s="7" t="inlineStr">
        <is>
          <t>R$ (valor cheio; se unidade = rs)</t>
        </is>
      </c>
      <c r="D631" s="8" t="inlineStr">
        <is>
          <t>permuta_financeira[2].valor_rs</t>
        </is>
      </c>
    </row>
    <row r="632">
      <c r="A632" s="5" t="inlineStr">
        <is>
          <t>Permuta financeira 2 — Valor em % do VGV</t>
        </is>
      </c>
      <c r="B632" s="11" t="n"/>
      <c r="C632" s="7" t="inlineStr">
        <is>
          <t>% do VGV (se unidade = pct_vgv)</t>
        </is>
      </c>
      <c r="D632" s="8" t="inlineStr">
        <is>
          <t>permuta_financeira[2].valor_pct</t>
        </is>
      </c>
    </row>
    <row r="633">
      <c r="A633" s="5" t="inlineStr">
        <is>
          <t>Permuta financeira 2 — Deduzir impostos</t>
        </is>
      </c>
      <c r="B633" s="6" t="n"/>
      <c r="C633" s="7" t="inlineStr">
        <is>
          <t>Sim/Não</t>
        </is>
      </c>
      <c r="D633" s="8" t="inlineStr">
        <is>
          <t>permuta_financeira[2].deduzir_imposto</t>
        </is>
      </c>
    </row>
    <row r="634">
      <c r="A634" s="5" t="inlineStr">
        <is>
          <t>Permuta financeira 2 — Deduzir corretagem</t>
        </is>
      </c>
      <c r="B634" s="6" t="n"/>
      <c r="C634" s="7" t="inlineStr">
        <is>
          <t>Sim/Não</t>
        </is>
      </c>
      <c r="D634" s="8" t="inlineStr">
        <is>
          <t>permuta_financeira[2].deduzir_corretagem</t>
        </is>
      </c>
    </row>
    <row r="635" ht="20" customHeight="1">
      <c r="A635" s="4" t="inlineStr">
        <is>
          <t>10 · Funding (operações) — 1 financiamento à produção + 3 dívidas + 3 equities + 3 antecipações de recebíveis; deixe em branco o que não existir</t>
        </is>
      </c>
    </row>
    <row r="636">
      <c r="A636" s="15" t="inlineStr">
        <is>
          <t>Financiamento à produção (no máximo um por estudo)</t>
        </is>
      </c>
    </row>
    <row r="637">
      <c r="A637" s="5" t="inlineStr">
        <is>
          <t>Financiamento à produção — Nome</t>
        </is>
      </c>
      <c r="B637" s="6" t="inlineStr">
        <is>
          <t>Financiamento à produção</t>
        </is>
      </c>
      <c r="C637" s="7" t="inlineStr">
        <is>
          <t>texto</t>
        </is>
      </c>
      <c r="D637" s="8" t="inlineStr">
        <is>
          <t>funding.financiamento_producao.nome</t>
        </is>
      </c>
    </row>
    <row r="638">
      <c r="A638" s="5" t="inlineStr">
        <is>
          <t>Financiamento à produção — Ativo</t>
        </is>
      </c>
      <c r="B638" s="6" t="inlineStr">
        <is>
          <t>Sim</t>
        </is>
      </c>
      <c r="C638" s="7" t="inlineStr">
        <is>
          <t>Sim/Não</t>
        </is>
      </c>
      <c r="D638" s="8" t="inlineStr">
        <is>
          <t>funding.financiamento_producao.ativo</t>
        </is>
      </c>
    </row>
    <row r="639">
      <c r="A639" s="5" t="inlineStr">
        <is>
          <t>Financiamento à produção — Teto</t>
        </is>
      </c>
      <c r="B639" s="16" t="n">
        <v>0</v>
      </c>
      <c r="C639" s="7" t="inlineStr">
        <is>
          <t>R$ (0 = sem teto)</t>
        </is>
      </c>
      <c r="D639" s="8" t="inlineStr">
        <is>
          <t>funding.financiamento_producao.valor</t>
        </is>
      </c>
    </row>
    <row r="640">
      <c r="A640" s="5" t="inlineStr">
        <is>
          <t>Financiamento à produção — Taxa</t>
        </is>
      </c>
      <c r="B640" s="11" t="n">
        <v>0.125</v>
      </c>
      <c r="C640" s="7" t="inlineStr">
        <is>
          <t>% a.a.</t>
        </is>
      </c>
      <c r="D640" s="8" t="inlineStr">
        <is>
          <t>funding.financiamento_producao.taxa_anual</t>
        </is>
      </c>
    </row>
    <row r="641">
      <c r="A641" s="5" t="inlineStr">
        <is>
          <t>Financiamento à produção — Exposição mínima</t>
        </is>
      </c>
      <c r="B641" s="11" t="n">
        <v>0.2</v>
      </c>
      <c r="C641" s="7" t="inlineStr">
        <is>
          <t>% (do custo)</t>
        </is>
      </c>
      <c r="D641" s="8" t="inlineStr">
        <is>
          <t>funding.financiamento_producao.exposicao_minima</t>
        </is>
      </c>
    </row>
    <row r="642">
      <c r="A642" s="5" t="inlineStr">
        <is>
          <t>Financiamento à produção — % do custo financiado</t>
        </is>
      </c>
      <c r="B642" s="11" t="n">
        <v>0.8</v>
      </c>
      <c r="C642" s="7" t="inlineStr">
        <is>
          <t>%</t>
        </is>
      </c>
      <c r="D642" s="8" t="inlineStr">
        <is>
          <t>funding.financiamento_producao.percentual_financiavel</t>
        </is>
      </c>
    </row>
    <row r="643">
      <c r="A643" s="5" t="inlineStr">
        <is>
          <t>Financiamento à produção — Caixa amortiza antes das chaves</t>
        </is>
      </c>
      <c r="B643" s="6" t="inlineStr">
        <is>
          <t>Sim</t>
        </is>
      </c>
      <c r="C643" s="7" t="inlineStr">
        <is>
          <t>Sim/Não</t>
        </is>
      </c>
      <c r="D643" s="8" t="inlineStr">
        <is>
          <t>funding.financiamento_producao.amortizar_com_caixa_disponivel</t>
        </is>
      </c>
    </row>
    <row r="644">
      <c r="A644" s="5" t="inlineStr">
        <is>
          <t>Financiamento à produção — Base financiável</t>
        </is>
      </c>
      <c r="B644" s="6" t="n"/>
      <c r="C644" s="7" t="inlineStr">
        <is>
          <t>linhas de custo separadas por ";" — Categoria ou Categoria / Subcategoria; vazio = padrão</t>
        </is>
      </c>
      <c r="D644" s="8" t="inlineStr">
        <is>
          <t>funding.financiamento_producao.base_financiavel</t>
        </is>
      </c>
    </row>
    <row r="645">
      <c r="A645" s="15" t="inlineStr">
        <is>
          <t>Dívida 1</t>
        </is>
      </c>
    </row>
    <row r="646">
      <c r="A646" s="5" t="inlineStr">
        <is>
          <t>Dívida 1 — Nome</t>
        </is>
      </c>
      <c r="B646" s="6" t="inlineStr">
        <is>
          <t>CRI lastreado em recebíveis</t>
        </is>
      </c>
      <c r="C646" s="7" t="inlineStr">
        <is>
          <t>texto</t>
        </is>
      </c>
      <c r="D646" s="8" t="inlineStr">
        <is>
          <t>funding.divida[1].nome</t>
        </is>
      </c>
    </row>
    <row r="647">
      <c r="A647" s="5" t="inlineStr">
        <is>
          <t>Dívida 1 — Valor</t>
        </is>
      </c>
      <c r="B647" s="16" t="n">
        <v>15000000</v>
      </c>
      <c r="C647" s="7" t="inlineStr">
        <is>
          <t>R$ (valor cheio)</t>
        </is>
      </c>
      <c r="D647" s="8" t="inlineStr">
        <is>
          <t>funding.divida[1].valor</t>
        </is>
      </c>
    </row>
    <row r="648">
      <c r="A648" s="5" t="inlineStr">
        <is>
          <t>Dívida 1 — Mês do aporte</t>
        </is>
      </c>
      <c r="B648" s="6" t="inlineStr">
        <is>
          <t>obra</t>
        </is>
      </c>
      <c r="C648" s="7" t="inlineStr">
        <is>
          <t>evento, fase ("fase: &lt;nome&gt;") ou customizado</t>
        </is>
      </c>
      <c r="D648" s="8" t="inlineStr">
        <is>
          <t>funding.divida[1].aporte</t>
        </is>
      </c>
    </row>
    <row r="649">
      <c r="A649" s="5" t="inlineStr">
        <is>
          <t>Dívida 1 — Mês (só customizado)</t>
        </is>
      </c>
      <c r="B649" s="14" t="n"/>
      <c r="C649" s="7" t="inlineStr">
        <is>
          <t>mês (inteiro ≥ 0)</t>
        </is>
      </c>
      <c r="D649" s="8" t="inlineStr">
        <is>
          <t>funding.divida[1].mes</t>
        </is>
      </c>
    </row>
    <row r="650">
      <c r="A650" s="5" t="inlineStr">
        <is>
          <t>Dívida 1 — Distribuir aporte</t>
        </is>
      </c>
      <c r="B650" s="6" t="inlineStr">
        <is>
          <t>Sim</t>
        </is>
      </c>
      <c r="C650" s="7" t="inlineStr">
        <is>
          <t>Sim/Não</t>
        </is>
      </c>
      <c r="D650" s="8" t="inlineStr">
        <is>
          <t>funding.divida[1].distribuir_aporte</t>
        </is>
      </c>
    </row>
    <row r="651">
      <c r="A651" s="5" t="inlineStr">
        <is>
          <t>Dívida 1 — Aporte em</t>
        </is>
      </c>
      <c r="B651" s="14" t="n">
        <v>6</v>
      </c>
      <c r="C651" s="7" t="inlineStr">
        <is>
          <t>meses (≥ 1)</t>
        </is>
      </c>
      <c r="D651" s="8" t="inlineStr">
        <is>
          <t>funding.divida[1].aporte_meses</t>
        </is>
      </c>
    </row>
    <row r="652">
      <c r="A652" s="5" t="inlineStr">
        <is>
          <t>Dívida 1 — Taxa</t>
        </is>
      </c>
      <c r="B652" s="11" t="n">
        <v>0.14</v>
      </c>
      <c r="C652" s="7" t="inlineStr">
        <is>
          <t>% a.a.</t>
        </is>
      </c>
      <c r="D652" s="8" t="inlineStr">
        <is>
          <t>funding.divida[1].taxa_anual</t>
        </is>
      </c>
    </row>
    <row r="653">
      <c r="A653" s="5" t="inlineStr">
        <is>
          <t>Dívida 1 — Amortização</t>
        </is>
      </c>
      <c r="B653" s="14" t="n">
        <v>48</v>
      </c>
      <c r="C653" s="7" t="inlineStr">
        <is>
          <t>meses</t>
        </is>
      </c>
      <c r="D653" s="8" t="inlineStr">
        <is>
          <t>funding.divida[1].amortizacao_meses</t>
        </is>
      </c>
    </row>
    <row r="654">
      <c r="A654" s="5" t="inlineStr">
        <is>
          <t>Dívida 1 — Carência</t>
        </is>
      </c>
      <c r="B654" s="14" t="n">
        <v>18</v>
      </c>
      <c r="C654" s="7" t="inlineStr">
        <is>
          <t>meses (&lt; amortização)</t>
        </is>
      </c>
      <c r="D654" s="8" t="inlineStr">
        <is>
          <t>funding.divida[1].carencia_meses</t>
        </is>
      </c>
    </row>
    <row r="655">
      <c r="A655" s="5" t="inlineStr">
        <is>
          <t>Dívida 1 — Estruturação</t>
        </is>
      </c>
      <c r="B655" s="11" t="n">
        <v>0.02</v>
      </c>
      <c r="C655" s="7" t="inlineStr">
        <is>
          <t>% do valor</t>
        </is>
      </c>
      <c r="D655" s="8" t="inlineStr">
        <is>
          <t>funding.divida[1].estruturacao_pct</t>
        </is>
      </c>
    </row>
    <row r="656">
      <c r="A656" s="5" t="inlineStr">
        <is>
          <t>Dívida 1 — Administração</t>
        </is>
      </c>
      <c r="B656" s="16" t="n">
        <v>5000</v>
      </c>
      <c r="C656" s="7" t="inlineStr">
        <is>
          <t>R$/mês</t>
        </is>
      </c>
      <c r="D656" s="8" t="inlineStr">
        <is>
          <t>funding.divida[1].administracao_mensal</t>
        </is>
      </c>
    </row>
    <row r="657">
      <c r="A657" s="5" t="inlineStr">
        <is>
          <t>Dívida 1 — Outros encargos</t>
        </is>
      </c>
      <c r="B657" s="16" t="n">
        <v>50000</v>
      </c>
      <c r="C657" s="7" t="inlineStr">
        <is>
          <t>R$ (iniciais)</t>
        </is>
      </c>
      <c r="D657" s="8" t="inlineStr">
        <is>
          <t>funding.divida[1].outros_encargos</t>
        </is>
      </c>
    </row>
    <row r="658">
      <c r="A658" s="15" t="inlineStr">
        <is>
          <t>Dívida 2</t>
        </is>
      </c>
    </row>
    <row r="659">
      <c r="A659" s="5" t="inlineStr">
        <is>
          <t>Dívida 2 — Nome</t>
        </is>
      </c>
      <c r="B659" s="6" t="n"/>
      <c r="C659" s="7" t="inlineStr">
        <is>
          <t>texto</t>
        </is>
      </c>
      <c r="D659" s="8" t="inlineStr">
        <is>
          <t>funding.divida[2].nome</t>
        </is>
      </c>
    </row>
    <row r="660">
      <c r="A660" s="5" t="inlineStr">
        <is>
          <t>Dívida 2 — Valor</t>
        </is>
      </c>
      <c r="B660" s="16" t="n"/>
      <c r="C660" s="7" t="inlineStr">
        <is>
          <t>R$ (valor cheio)</t>
        </is>
      </c>
      <c r="D660" s="8" t="inlineStr">
        <is>
          <t>funding.divida[2].valor</t>
        </is>
      </c>
    </row>
    <row r="661">
      <c r="A661" s="5" t="inlineStr">
        <is>
          <t>Dívida 2 — Mês do aporte</t>
        </is>
      </c>
      <c r="B661" s="6" t="n"/>
      <c r="C661" s="7" t="inlineStr">
        <is>
          <t>evento, fase ("fase: &lt;nome&gt;") ou customizado</t>
        </is>
      </c>
      <c r="D661" s="8" t="inlineStr">
        <is>
          <t>funding.divida[2].aporte</t>
        </is>
      </c>
    </row>
    <row r="662">
      <c r="A662" s="5" t="inlineStr">
        <is>
          <t>Dívida 2 — Mês (só customizado)</t>
        </is>
      </c>
      <c r="B662" s="14" t="n"/>
      <c r="C662" s="7" t="inlineStr">
        <is>
          <t>mês (inteiro ≥ 0)</t>
        </is>
      </c>
      <c r="D662" s="8" t="inlineStr">
        <is>
          <t>funding.divida[2].mes</t>
        </is>
      </c>
    </row>
    <row r="663">
      <c r="A663" s="5" t="inlineStr">
        <is>
          <t>Dívida 2 — Distribuir aporte</t>
        </is>
      </c>
      <c r="B663" s="6" t="n"/>
      <c r="C663" s="7" t="inlineStr">
        <is>
          <t>Sim/Não</t>
        </is>
      </c>
      <c r="D663" s="8" t="inlineStr">
        <is>
          <t>funding.divida[2].distribuir_aporte</t>
        </is>
      </c>
    </row>
    <row r="664">
      <c r="A664" s="5" t="inlineStr">
        <is>
          <t>Dívida 2 — Aporte em</t>
        </is>
      </c>
      <c r="B664" s="14" t="n"/>
      <c r="C664" s="7" t="inlineStr">
        <is>
          <t>meses (≥ 1)</t>
        </is>
      </c>
      <c r="D664" s="8" t="inlineStr">
        <is>
          <t>funding.divida[2].aporte_meses</t>
        </is>
      </c>
    </row>
    <row r="665">
      <c r="A665" s="5" t="inlineStr">
        <is>
          <t>Dívida 2 — Taxa</t>
        </is>
      </c>
      <c r="B665" s="11" t="n"/>
      <c r="C665" s="7" t="inlineStr">
        <is>
          <t>% a.a.</t>
        </is>
      </c>
      <c r="D665" s="8" t="inlineStr">
        <is>
          <t>funding.divida[2].taxa_anual</t>
        </is>
      </c>
    </row>
    <row r="666">
      <c r="A666" s="5" t="inlineStr">
        <is>
          <t>Dívida 2 — Amortização</t>
        </is>
      </c>
      <c r="B666" s="14" t="n"/>
      <c r="C666" s="7" t="inlineStr">
        <is>
          <t>meses</t>
        </is>
      </c>
      <c r="D666" s="8" t="inlineStr">
        <is>
          <t>funding.divida[2].amortizacao_meses</t>
        </is>
      </c>
    </row>
    <row r="667">
      <c r="A667" s="5" t="inlineStr">
        <is>
          <t>Dívida 2 — Carência</t>
        </is>
      </c>
      <c r="B667" s="14" t="n"/>
      <c r="C667" s="7" t="inlineStr">
        <is>
          <t>meses (&lt; amortização)</t>
        </is>
      </c>
      <c r="D667" s="8" t="inlineStr">
        <is>
          <t>funding.divida[2].carencia_meses</t>
        </is>
      </c>
    </row>
    <row r="668">
      <c r="A668" s="5" t="inlineStr">
        <is>
          <t>Dívida 2 — Estruturação</t>
        </is>
      </c>
      <c r="B668" s="11" t="n"/>
      <c r="C668" s="7" t="inlineStr">
        <is>
          <t>% do valor</t>
        </is>
      </c>
      <c r="D668" s="8" t="inlineStr">
        <is>
          <t>funding.divida[2].estruturacao_pct</t>
        </is>
      </c>
    </row>
    <row r="669">
      <c r="A669" s="5" t="inlineStr">
        <is>
          <t>Dívida 2 — Administração</t>
        </is>
      </c>
      <c r="B669" s="16" t="n"/>
      <c r="C669" s="7" t="inlineStr">
        <is>
          <t>R$/mês</t>
        </is>
      </c>
      <c r="D669" s="8" t="inlineStr">
        <is>
          <t>funding.divida[2].administracao_mensal</t>
        </is>
      </c>
    </row>
    <row r="670">
      <c r="A670" s="5" t="inlineStr">
        <is>
          <t>Dívida 2 — Outros encargos</t>
        </is>
      </c>
      <c r="B670" s="16" t="n"/>
      <c r="C670" s="7" t="inlineStr">
        <is>
          <t>R$ (iniciais)</t>
        </is>
      </c>
      <c r="D670" s="8" t="inlineStr">
        <is>
          <t>funding.divida[2].outros_encargos</t>
        </is>
      </c>
    </row>
    <row r="671">
      <c r="A671" s="15" t="inlineStr">
        <is>
          <t>Dívida 3</t>
        </is>
      </c>
    </row>
    <row r="672">
      <c r="A672" s="5" t="inlineStr">
        <is>
          <t>Dívida 3 — Nome</t>
        </is>
      </c>
      <c r="B672" s="6" t="n"/>
      <c r="C672" s="7" t="inlineStr">
        <is>
          <t>texto</t>
        </is>
      </c>
      <c r="D672" s="8" t="inlineStr">
        <is>
          <t>funding.divida[3].nome</t>
        </is>
      </c>
    </row>
    <row r="673">
      <c r="A673" s="5" t="inlineStr">
        <is>
          <t>Dívida 3 — Valor</t>
        </is>
      </c>
      <c r="B673" s="16" t="n"/>
      <c r="C673" s="7" t="inlineStr">
        <is>
          <t>R$ (valor cheio)</t>
        </is>
      </c>
      <c r="D673" s="8" t="inlineStr">
        <is>
          <t>funding.divida[3].valor</t>
        </is>
      </c>
    </row>
    <row r="674">
      <c r="A674" s="5" t="inlineStr">
        <is>
          <t>Dívida 3 — Mês do aporte</t>
        </is>
      </c>
      <c r="B674" s="6" t="n"/>
      <c r="C674" s="7" t="inlineStr">
        <is>
          <t>evento, fase ("fase: &lt;nome&gt;") ou customizado</t>
        </is>
      </c>
      <c r="D674" s="8" t="inlineStr">
        <is>
          <t>funding.divida[3].aporte</t>
        </is>
      </c>
    </row>
    <row r="675">
      <c r="A675" s="5" t="inlineStr">
        <is>
          <t>Dívida 3 — Mês (só customizado)</t>
        </is>
      </c>
      <c r="B675" s="14" t="n"/>
      <c r="C675" s="7" t="inlineStr">
        <is>
          <t>mês (inteiro ≥ 0)</t>
        </is>
      </c>
      <c r="D675" s="8" t="inlineStr">
        <is>
          <t>funding.divida[3].mes</t>
        </is>
      </c>
    </row>
    <row r="676">
      <c r="A676" s="5" t="inlineStr">
        <is>
          <t>Dívida 3 — Distribuir aporte</t>
        </is>
      </c>
      <c r="B676" s="6" t="n"/>
      <c r="C676" s="7" t="inlineStr">
        <is>
          <t>Sim/Não</t>
        </is>
      </c>
      <c r="D676" s="8" t="inlineStr">
        <is>
          <t>funding.divida[3].distribuir_aporte</t>
        </is>
      </c>
    </row>
    <row r="677">
      <c r="A677" s="5" t="inlineStr">
        <is>
          <t>Dívida 3 — Aporte em</t>
        </is>
      </c>
      <c r="B677" s="14" t="n"/>
      <c r="C677" s="7" t="inlineStr">
        <is>
          <t>meses (≥ 1)</t>
        </is>
      </c>
      <c r="D677" s="8" t="inlineStr">
        <is>
          <t>funding.divida[3].aporte_meses</t>
        </is>
      </c>
    </row>
    <row r="678">
      <c r="A678" s="5" t="inlineStr">
        <is>
          <t>Dívida 3 — Taxa</t>
        </is>
      </c>
      <c r="B678" s="11" t="n"/>
      <c r="C678" s="7" t="inlineStr">
        <is>
          <t>% a.a.</t>
        </is>
      </c>
      <c r="D678" s="8" t="inlineStr">
        <is>
          <t>funding.divida[3].taxa_anual</t>
        </is>
      </c>
    </row>
    <row r="679">
      <c r="A679" s="5" t="inlineStr">
        <is>
          <t>Dívida 3 — Amortização</t>
        </is>
      </c>
      <c r="B679" s="14" t="n"/>
      <c r="C679" s="7" t="inlineStr">
        <is>
          <t>meses</t>
        </is>
      </c>
      <c r="D679" s="8" t="inlineStr">
        <is>
          <t>funding.divida[3].amortizacao_meses</t>
        </is>
      </c>
    </row>
    <row r="680">
      <c r="A680" s="5" t="inlineStr">
        <is>
          <t>Dívida 3 — Carência</t>
        </is>
      </c>
      <c r="B680" s="14" t="n"/>
      <c r="C680" s="7" t="inlineStr">
        <is>
          <t>meses (&lt; amortização)</t>
        </is>
      </c>
      <c r="D680" s="8" t="inlineStr">
        <is>
          <t>funding.divida[3].carencia_meses</t>
        </is>
      </c>
    </row>
    <row r="681">
      <c r="A681" s="5" t="inlineStr">
        <is>
          <t>Dívida 3 — Estruturação</t>
        </is>
      </c>
      <c r="B681" s="11" t="n"/>
      <c r="C681" s="7" t="inlineStr">
        <is>
          <t>% do valor</t>
        </is>
      </c>
      <c r="D681" s="8" t="inlineStr">
        <is>
          <t>funding.divida[3].estruturacao_pct</t>
        </is>
      </c>
    </row>
    <row r="682">
      <c r="A682" s="5" t="inlineStr">
        <is>
          <t>Dívida 3 — Administração</t>
        </is>
      </c>
      <c r="B682" s="16" t="n"/>
      <c r="C682" s="7" t="inlineStr">
        <is>
          <t>R$/mês</t>
        </is>
      </c>
      <c r="D682" s="8" t="inlineStr">
        <is>
          <t>funding.divida[3].administracao_mensal</t>
        </is>
      </c>
    </row>
    <row r="683">
      <c r="A683" s="5" t="inlineStr">
        <is>
          <t>Dívida 3 — Outros encargos</t>
        </is>
      </c>
      <c r="B683" s="16" t="n"/>
      <c r="C683" s="7" t="inlineStr">
        <is>
          <t>R$ (iniciais)</t>
        </is>
      </c>
      <c r="D683" s="8" t="inlineStr">
        <is>
          <t>funding.divida[3].outros_encargos</t>
        </is>
      </c>
    </row>
    <row r="684">
      <c r="A684" s="15" t="inlineStr">
        <is>
          <t>Equity 1</t>
        </is>
      </c>
    </row>
    <row r="685">
      <c r="A685" s="5" t="inlineStr">
        <is>
          <t>Equity 1 — Nome</t>
        </is>
      </c>
      <c r="B685" s="6" t="inlineStr">
        <is>
          <t>Fundo de investimento imobiliário</t>
        </is>
      </c>
      <c r="C685" s="7" t="inlineStr">
        <is>
          <t>texto</t>
        </is>
      </c>
      <c r="D685" s="8" t="inlineStr">
        <is>
          <t>funding.equity[1].nome</t>
        </is>
      </c>
    </row>
    <row r="686">
      <c r="A686" s="5" t="inlineStr">
        <is>
          <t>Equity 1 — Valor</t>
        </is>
      </c>
      <c r="B686" s="16" t="n">
        <v>14000000</v>
      </c>
      <c r="C686" s="7" t="inlineStr">
        <is>
          <t>R$ (valor cheio)</t>
        </is>
      </c>
      <c r="D686" s="8" t="inlineStr">
        <is>
          <t>funding.equity[1].valor</t>
        </is>
      </c>
    </row>
    <row r="687">
      <c r="A687" s="5" t="inlineStr">
        <is>
          <t>Equity 1 — Mês do aporte</t>
        </is>
      </c>
      <c r="B687" s="6" t="inlineStr">
        <is>
          <t>planejamento</t>
        </is>
      </c>
      <c r="C687" s="7" t="inlineStr">
        <is>
          <t>evento, fase ("fase: &lt;nome&gt;") ou customizado</t>
        </is>
      </c>
      <c r="D687" s="8" t="inlineStr">
        <is>
          <t>funding.equity[1].aporte</t>
        </is>
      </c>
    </row>
    <row r="688">
      <c r="A688" s="5" t="inlineStr">
        <is>
          <t>Equity 1 — Mês (só customizado)</t>
        </is>
      </c>
      <c r="B688" s="14" t="n"/>
      <c r="C688" s="7" t="inlineStr">
        <is>
          <t>mês (inteiro ≥ 0)</t>
        </is>
      </c>
      <c r="D688" s="8" t="inlineStr">
        <is>
          <t>funding.equity[1].mes</t>
        </is>
      </c>
    </row>
    <row r="689">
      <c r="A689" s="5" t="inlineStr">
        <is>
          <t>Equity 1 — Modo de retorno</t>
        </is>
      </c>
      <c r="B689" s="6" t="inlineStr">
        <is>
          <t>permuta_financeira</t>
        </is>
      </c>
      <c r="C689" s="7" t="inlineStr">
        <is>
          <t>lista: permuta_financeira | resultado_final</t>
        </is>
      </c>
      <c r="D689" s="8" t="inlineStr">
        <is>
          <t>funding.equity[1].modo_retorno</t>
        </is>
      </c>
    </row>
    <row r="690">
      <c r="A690" s="5" t="inlineStr">
        <is>
          <t>Equity 1 — % de retorno</t>
        </is>
      </c>
      <c r="B690" s="11" t="n">
        <v>0.1</v>
      </c>
      <c r="C690" s="7" t="inlineStr">
        <is>
          <t>% (do resultado final ou da receita líquida)</t>
        </is>
      </c>
      <c r="D690" s="8" t="inlineStr">
        <is>
          <t>funding.equity[1].pct_retorno</t>
        </is>
      </c>
    </row>
    <row r="691">
      <c r="A691" s="15" t="inlineStr">
        <is>
          <t>Equity 2</t>
        </is>
      </c>
    </row>
    <row r="692">
      <c r="A692" s="5" t="inlineStr">
        <is>
          <t>Equity 2 — Nome</t>
        </is>
      </c>
      <c r="B692" s="6" t="n"/>
      <c r="C692" s="7" t="inlineStr">
        <is>
          <t>texto</t>
        </is>
      </c>
      <c r="D692" s="8" t="inlineStr">
        <is>
          <t>funding.equity[2].nome</t>
        </is>
      </c>
    </row>
    <row r="693">
      <c r="A693" s="5" t="inlineStr">
        <is>
          <t>Equity 2 — Valor</t>
        </is>
      </c>
      <c r="B693" s="16" t="n"/>
      <c r="C693" s="7" t="inlineStr">
        <is>
          <t>R$ (valor cheio)</t>
        </is>
      </c>
      <c r="D693" s="8" t="inlineStr">
        <is>
          <t>funding.equity[2].valor</t>
        </is>
      </c>
    </row>
    <row r="694">
      <c r="A694" s="5" t="inlineStr">
        <is>
          <t>Equity 2 — Mês do aporte</t>
        </is>
      </c>
      <c r="B694" s="6" t="n"/>
      <c r="C694" s="7" t="inlineStr">
        <is>
          <t>evento, fase ("fase: &lt;nome&gt;") ou customizado</t>
        </is>
      </c>
      <c r="D694" s="8" t="inlineStr">
        <is>
          <t>funding.equity[2].aporte</t>
        </is>
      </c>
    </row>
    <row r="695">
      <c r="A695" s="5" t="inlineStr">
        <is>
          <t>Equity 2 — Mês (só customizado)</t>
        </is>
      </c>
      <c r="B695" s="14" t="n"/>
      <c r="C695" s="7" t="inlineStr">
        <is>
          <t>mês (inteiro ≥ 0)</t>
        </is>
      </c>
      <c r="D695" s="8" t="inlineStr">
        <is>
          <t>funding.equity[2].mes</t>
        </is>
      </c>
    </row>
    <row r="696">
      <c r="A696" s="5" t="inlineStr">
        <is>
          <t>Equity 2 — Modo de retorno</t>
        </is>
      </c>
      <c r="B696" s="6" t="n"/>
      <c r="C696" s="7" t="inlineStr">
        <is>
          <t>lista: permuta_financeira | resultado_final</t>
        </is>
      </c>
      <c r="D696" s="8" t="inlineStr">
        <is>
          <t>funding.equity[2].modo_retorno</t>
        </is>
      </c>
    </row>
    <row r="697">
      <c r="A697" s="5" t="inlineStr">
        <is>
          <t>Equity 2 — % de retorno</t>
        </is>
      </c>
      <c r="B697" s="11" t="n"/>
      <c r="C697" s="7" t="inlineStr">
        <is>
          <t>% (do resultado final ou da receita líquida)</t>
        </is>
      </c>
      <c r="D697" s="8" t="inlineStr">
        <is>
          <t>funding.equity[2].pct_retorno</t>
        </is>
      </c>
    </row>
    <row r="698">
      <c r="A698" s="15" t="inlineStr">
        <is>
          <t>Equity 3</t>
        </is>
      </c>
    </row>
    <row r="699">
      <c r="A699" s="5" t="inlineStr">
        <is>
          <t>Equity 3 — Nome</t>
        </is>
      </c>
      <c r="B699" s="6" t="n"/>
      <c r="C699" s="7" t="inlineStr">
        <is>
          <t>texto</t>
        </is>
      </c>
      <c r="D699" s="8" t="inlineStr">
        <is>
          <t>funding.equity[3].nome</t>
        </is>
      </c>
    </row>
    <row r="700">
      <c r="A700" s="5" t="inlineStr">
        <is>
          <t>Equity 3 — Valor</t>
        </is>
      </c>
      <c r="B700" s="16" t="n"/>
      <c r="C700" s="7" t="inlineStr">
        <is>
          <t>R$ (valor cheio)</t>
        </is>
      </c>
      <c r="D700" s="8" t="inlineStr">
        <is>
          <t>funding.equity[3].valor</t>
        </is>
      </c>
    </row>
    <row r="701">
      <c r="A701" s="5" t="inlineStr">
        <is>
          <t>Equity 3 — Mês do aporte</t>
        </is>
      </c>
      <c r="B701" s="6" t="n"/>
      <c r="C701" s="7" t="inlineStr">
        <is>
          <t>evento, fase ("fase: &lt;nome&gt;") ou customizado</t>
        </is>
      </c>
      <c r="D701" s="8" t="inlineStr">
        <is>
          <t>funding.equity[3].aporte</t>
        </is>
      </c>
    </row>
    <row r="702">
      <c r="A702" s="5" t="inlineStr">
        <is>
          <t>Equity 3 — Mês (só customizado)</t>
        </is>
      </c>
      <c r="B702" s="14" t="n"/>
      <c r="C702" s="7" t="inlineStr">
        <is>
          <t>mês (inteiro ≥ 0)</t>
        </is>
      </c>
      <c r="D702" s="8" t="inlineStr">
        <is>
          <t>funding.equity[3].mes</t>
        </is>
      </c>
    </row>
    <row r="703">
      <c r="A703" s="5" t="inlineStr">
        <is>
          <t>Equity 3 — Modo de retorno</t>
        </is>
      </c>
      <c r="B703" s="6" t="n"/>
      <c r="C703" s="7" t="inlineStr">
        <is>
          <t>lista: permuta_financeira | resultado_final</t>
        </is>
      </c>
      <c r="D703" s="8" t="inlineStr">
        <is>
          <t>funding.equity[3].modo_retorno</t>
        </is>
      </c>
    </row>
    <row r="704">
      <c r="A704" s="5" t="inlineStr">
        <is>
          <t>Equity 3 — % de retorno</t>
        </is>
      </c>
      <c r="B704" s="11" t="n"/>
      <c r="C704" s="7" t="inlineStr">
        <is>
          <t>% (do resultado final ou da receita líquida)</t>
        </is>
      </c>
      <c r="D704" s="8" t="inlineStr">
        <is>
          <t>funding.equity[3].pct_retorno</t>
        </is>
      </c>
    </row>
    <row r="705" ht="52" customHeight="1">
      <c r="A705" s="12" t="inlineStr">
        <is>
          <t>Antecipação de recebíveis: cessão de parte da carteira a securitizadora/CRI/FIDC. Não tem campo de valor — o app calcula o valor presente das parcelas cedidas à taxa de desconto. Com âncora num evento, a cessão é no INÍCIO dele; cedem-se as parcelas que vencem depois desse mês, das vendas feitas até ele. Uma antecipação posterior cede o % do que a anterior não cedeu. Entra só no Funding/Fluxo alavancado, nunca na Proforma nem na TIR/VPL do projeto.</t>
        </is>
      </c>
    </row>
    <row r="706">
      <c r="A706" s="15" t="inlineStr">
        <is>
          <t>Antecipação de recebíveis 1</t>
        </is>
      </c>
    </row>
    <row r="707">
      <c r="A707" s="5" t="inlineStr">
        <is>
          <t>Antecipação 1 — Nome</t>
        </is>
      </c>
      <c r="B707" s="6" t="inlineStr">
        <is>
          <t>Cessão da carteira à securitizadora</t>
        </is>
      </c>
      <c r="C707" s="7" t="inlineStr">
        <is>
          <t>texto</t>
        </is>
      </c>
      <c r="D707" s="8" t="inlineStr">
        <is>
          <t>funding.antecipacao[1].nome</t>
        </is>
      </c>
    </row>
    <row r="708">
      <c r="A708" s="5" t="inlineStr">
        <is>
          <t>Antecipação 1 — Mês da cessão</t>
        </is>
      </c>
      <c r="B708" s="6" t="inlineStr">
        <is>
          <t>pos_obra</t>
        </is>
      </c>
      <c r="C708" s="7" t="inlineStr">
        <is>
          <t>evento, fase ("fase: &lt;nome&gt;") ou customizado</t>
        </is>
      </c>
      <c r="D708" s="8" t="inlineStr">
        <is>
          <t>funding.antecipacao[1].aporte</t>
        </is>
      </c>
    </row>
    <row r="709">
      <c r="A709" s="5" t="inlineStr">
        <is>
          <t>Antecipação 1 — Mês (só customizado)</t>
        </is>
      </c>
      <c r="B709" s="14" t="n"/>
      <c r="C709" s="7" t="inlineStr">
        <is>
          <t>mês (inteiro ≥ 0)</t>
        </is>
      </c>
      <c r="D709" s="8" t="inlineStr">
        <is>
          <t>funding.antecipacao[1].mes</t>
        </is>
      </c>
    </row>
    <row r="710">
      <c r="A710" s="5" t="inlineStr">
        <is>
          <t>Antecipação 1 — Carteira cedida</t>
        </is>
      </c>
      <c r="B710" s="11" t="n">
        <v>0.5</v>
      </c>
      <c r="C710" s="7" t="inlineStr">
        <is>
          <t>% do que as vendas até a cessão ainda vão pagar</t>
        </is>
      </c>
      <c r="D710" s="8" t="inlineStr">
        <is>
          <t>funding.antecipacao[1].pct_cedida</t>
        </is>
      </c>
    </row>
    <row r="711">
      <c r="A711" s="5" t="inlineStr">
        <is>
          <t>Antecipação 1 — Taxa de desconto</t>
        </is>
      </c>
      <c r="B711" s="11" t="n">
        <v>0.15</v>
      </c>
      <c r="C711" s="7" t="inlineStr">
        <is>
          <t>% a.a.</t>
        </is>
      </c>
      <c r="D711" s="8" t="inlineStr">
        <is>
          <t>funding.antecipacao[1].taxa_anual</t>
        </is>
      </c>
    </row>
    <row r="712">
      <c r="A712" s="5" t="inlineStr">
        <is>
          <t>Antecipação 1 — Estruturação</t>
        </is>
      </c>
      <c r="B712" s="11" t="n">
        <v>0.015</v>
      </c>
      <c r="C712" s="7" t="inlineStr">
        <is>
          <t>% do valor presente (no mês da cessão)</t>
        </is>
      </c>
      <c r="D712" s="8" t="inlineStr">
        <is>
          <t>funding.antecipacao[1].estruturacao_pct</t>
        </is>
      </c>
    </row>
    <row r="713">
      <c r="A713" s="5" t="inlineStr">
        <is>
          <t>Antecipação 1 — Administração</t>
        </is>
      </c>
      <c r="B713" s="16" t="n">
        <v>4000</v>
      </c>
      <c r="C713" s="7" t="inlineStr">
        <is>
          <t>R$/mês (enquanto houver parcela cedida)</t>
        </is>
      </c>
      <c r="D713" s="8" t="inlineStr">
        <is>
          <t>funding.antecipacao[1].administracao_mensal</t>
        </is>
      </c>
    </row>
    <row r="714">
      <c r="A714" s="5" t="inlineStr">
        <is>
          <t>Antecipação 1 — Outros custos</t>
        </is>
      </c>
      <c r="B714" s="16" t="n">
        <v>30000</v>
      </c>
      <c r="C714" s="7" t="inlineStr">
        <is>
          <t>R$ (no mês da cessão)</t>
        </is>
      </c>
      <c r="D714" s="8" t="inlineStr">
        <is>
          <t>funding.antecipacao[1].outros_encargos</t>
        </is>
      </c>
    </row>
    <row r="715">
      <c r="A715" s="15" t="inlineStr">
        <is>
          <t>Antecipação de recebíveis 2</t>
        </is>
      </c>
    </row>
    <row r="716">
      <c r="A716" s="5" t="inlineStr">
        <is>
          <t>Antecipação 2 — Nome</t>
        </is>
      </c>
      <c r="B716" s="6" t="n"/>
      <c r="C716" s="7" t="inlineStr">
        <is>
          <t>texto</t>
        </is>
      </c>
      <c r="D716" s="8" t="inlineStr">
        <is>
          <t>funding.antecipacao[2].nome</t>
        </is>
      </c>
    </row>
    <row r="717">
      <c r="A717" s="5" t="inlineStr">
        <is>
          <t>Antecipação 2 — Mês da cessão</t>
        </is>
      </c>
      <c r="B717" s="6" t="n"/>
      <c r="C717" s="7" t="inlineStr">
        <is>
          <t>evento, fase ("fase: &lt;nome&gt;") ou customizado</t>
        </is>
      </c>
      <c r="D717" s="8" t="inlineStr">
        <is>
          <t>funding.antecipacao[2].aporte</t>
        </is>
      </c>
    </row>
    <row r="718">
      <c r="A718" s="5" t="inlineStr">
        <is>
          <t>Antecipação 2 — Mês (só customizado)</t>
        </is>
      </c>
      <c r="B718" s="14" t="n"/>
      <c r="C718" s="7" t="inlineStr">
        <is>
          <t>mês (inteiro ≥ 0)</t>
        </is>
      </c>
      <c r="D718" s="8" t="inlineStr">
        <is>
          <t>funding.antecipacao[2].mes</t>
        </is>
      </c>
    </row>
    <row r="719">
      <c r="A719" s="5" t="inlineStr">
        <is>
          <t>Antecipação 2 — Carteira cedida</t>
        </is>
      </c>
      <c r="B719" s="11" t="n"/>
      <c r="C719" s="7" t="inlineStr">
        <is>
          <t>% do que as vendas até a cessão ainda vão pagar</t>
        </is>
      </c>
      <c r="D719" s="8" t="inlineStr">
        <is>
          <t>funding.antecipacao[2].pct_cedida</t>
        </is>
      </c>
    </row>
    <row r="720">
      <c r="A720" s="5" t="inlineStr">
        <is>
          <t>Antecipação 2 — Taxa de desconto</t>
        </is>
      </c>
      <c r="B720" s="11" t="n"/>
      <c r="C720" s="7" t="inlineStr">
        <is>
          <t>% a.a.</t>
        </is>
      </c>
      <c r="D720" s="8" t="inlineStr">
        <is>
          <t>funding.antecipacao[2].taxa_anual</t>
        </is>
      </c>
    </row>
    <row r="721">
      <c r="A721" s="5" t="inlineStr">
        <is>
          <t>Antecipação 2 — Estruturação</t>
        </is>
      </c>
      <c r="B721" s="11" t="n"/>
      <c r="C721" s="7" t="inlineStr">
        <is>
          <t>% do valor presente (no mês da cessão)</t>
        </is>
      </c>
      <c r="D721" s="8" t="inlineStr">
        <is>
          <t>funding.antecipacao[2].estruturacao_pct</t>
        </is>
      </c>
    </row>
    <row r="722">
      <c r="A722" s="5" t="inlineStr">
        <is>
          <t>Antecipação 2 — Administração</t>
        </is>
      </c>
      <c r="B722" s="16" t="n"/>
      <c r="C722" s="7" t="inlineStr">
        <is>
          <t>R$/mês (enquanto houver parcela cedida)</t>
        </is>
      </c>
      <c r="D722" s="8" t="inlineStr">
        <is>
          <t>funding.antecipacao[2].administracao_mensal</t>
        </is>
      </c>
    </row>
    <row r="723">
      <c r="A723" s="5" t="inlineStr">
        <is>
          <t>Antecipação 2 — Outros custos</t>
        </is>
      </c>
      <c r="B723" s="16" t="n"/>
      <c r="C723" s="7" t="inlineStr">
        <is>
          <t>R$ (no mês da cessão)</t>
        </is>
      </c>
      <c r="D723" s="8" t="inlineStr">
        <is>
          <t>funding.antecipacao[2].outros_encargos</t>
        </is>
      </c>
    </row>
    <row r="724">
      <c r="A724" s="15" t="inlineStr">
        <is>
          <t>Antecipação de recebíveis 3</t>
        </is>
      </c>
    </row>
    <row r="725">
      <c r="A725" s="5" t="inlineStr">
        <is>
          <t>Antecipação 3 — Nome</t>
        </is>
      </c>
      <c r="B725" s="6" t="n"/>
      <c r="C725" s="7" t="inlineStr">
        <is>
          <t>texto</t>
        </is>
      </c>
      <c r="D725" s="8" t="inlineStr">
        <is>
          <t>funding.antecipacao[3].nome</t>
        </is>
      </c>
    </row>
    <row r="726">
      <c r="A726" s="5" t="inlineStr">
        <is>
          <t>Antecipação 3 — Mês da cessão</t>
        </is>
      </c>
      <c r="B726" s="6" t="n"/>
      <c r="C726" s="7" t="inlineStr">
        <is>
          <t>evento, fase ("fase: &lt;nome&gt;") ou customizado</t>
        </is>
      </c>
      <c r="D726" s="8" t="inlineStr">
        <is>
          <t>funding.antecipacao[3].aporte</t>
        </is>
      </c>
    </row>
    <row r="727">
      <c r="A727" s="5" t="inlineStr">
        <is>
          <t>Antecipação 3 — Mês (só customizado)</t>
        </is>
      </c>
      <c r="B727" s="14" t="n"/>
      <c r="C727" s="7" t="inlineStr">
        <is>
          <t>mês (inteiro ≥ 0)</t>
        </is>
      </c>
      <c r="D727" s="8" t="inlineStr">
        <is>
          <t>funding.antecipacao[3].mes</t>
        </is>
      </c>
    </row>
    <row r="728">
      <c r="A728" s="5" t="inlineStr">
        <is>
          <t>Antecipação 3 — Carteira cedida</t>
        </is>
      </c>
      <c r="B728" s="11" t="n"/>
      <c r="C728" s="7" t="inlineStr">
        <is>
          <t>% do que as vendas até a cessão ainda vão pagar</t>
        </is>
      </c>
      <c r="D728" s="8" t="inlineStr">
        <is>
          <t>funding.antecipacao[3].pct_cedida</t>
        </is>
      </c>
    </row>
    <row r="729">
      <c r="A729" s="5" t="inlineStr">
        <is>
          <t>Antecipação 3 — Taxa de desconto</t>
        </is>
      </c>
      <c r="B729" s="11" t="n"/>
      <c r="C729" s="7" t="inlineStr">
        <is>
          <t>% a.a.</t>
        </is>
      </c>
      <c r="D729" s="8" t="inlineStr">
        <is>
          <t>funding.antecipacao[3].taxa_anual</t>
        </is>
      </c>
    </row>
    <row r="730">
      <c r="A730" s="5" t="inlineStr">
        <is>
          <t>Antecipação 3 — Estruturação</t>
        </is>
      </c>
      <c r="B730" s="11" t="n"/>
      <c r="C730" s="7" t="inlineStr">
        <is>
          <t>% do valor presente (no mês da cessão)</t>
        </is>
      </c>
      <c r="D730" s="8" t="inlineStr">
        <is>
          <t>funding.antecipacao[3].estruturacao_pct</t>
        </is>
      </c>
    </row>
    <row r="731">
      <c r="A731" s="5" t="inlineStr">
        <is>
          <t>Antecipação 3 — Administração</t>
        </is>
      </c>
      <c r="B731" s="16" t="n"/>
      <c r="C731" s="7" t="inlineStr">
        <is>
          <t>R$/mês (enquanto houver parcela cedida)</t>
        </is>
      </c>
      <c r="D731" s="8" t="inlineStr">
        <is>
          <t>funding.antecipacao[3].administracao_mensal</t>
        </is>
      </c>
    </row>
    <row r="732">
      <c r="A732" s="5" t="inlineStr">
        <is>
          <t>Antecipação 3 — Outros custos</t>
        </is>
      </c>
      <c r="B732" s="16" t="n"/>
      <c r="C732" s="7" t="inlineStr">
        <is>
          <t>R$ (no mês da cessão)</t>
        </is>
      </c>
      <c r="D732" s="8" t="inlineStr">
        <is>
          <t>funding.antecipacao[3].outros_encargos</t>
        </is>
      </c>
    </row>
    <row r="733" ht="20" customHeight="1">
      <c r="A733" s="4" t="inlineStr">
        <is>
          <t>11 · Cenários (variação sobre o estudo real) — 5 vagas</t>
        </is>
      </c>
    </row>
    <row r="734">
      <c r="A734" s="5" t="inlineStr">
        <is>
          <t>Cenário 1 — Nome</t>
        </is>
      </c>
      <c r="B734" s="6" t="inlineStr">
        <is>
          <t>Otimista — preço +5%, obra −3%</t>
        </is>
      </c>
      <c r="C734" s="7" t="inlineStr">
        <is>
          <t>texto</t>
        </is>
      </c>
      <c r="D734" s="8" t="inlineStr">
        <is>
          <t>cenarios[1].nome</t>
        </is>
      </c>
    </row>
    <row r="735">
      <c r="A735" s="5" t="inlineStr">
        <is>
          <t>Cenário 1 — Preço de venda</t>
        </is>
      </c>
      <c r="B735" s="11" t="n">
        <v>0.05</v>
      </c>
      <c r="C735" s="7" t="inlineStr">
        <is>
          <t>variação % (pode ser negativa)</t>
        </is>
      </c>
      <c r="D735" s="8" t="inlineStr">
        <is>
          <t>cenarios[1].preco_venda_pct</t>
        </is>
      </c>
    </row>
    <row r="736">
      <c r="A736" s="5" t="inlineStr">
        <is>
          <t>Cenário 1 — Custo de obra</t>
        </is>
      </c>
      <c r="B736" s="11" t="n">
        <v>-0.03</v>
      </c>
      <c r="C736" s="7" t="inlineStr">
        <is>
          <t>variação % (pode ser negativa)</t>
        </is>
      </c>
      <c r="D736" s="8" t="inlineStr">
        <is>
          <t>cenarios[1].custo_obra_pct</t>
        </is>
      </c>
    </row>
    <row r="737">
      <c r="A737" s="5" t="inlineStr">
        <is>
          <t>Cenário 2 — Nome</t>
        </is>
      </c>
      <c r="B737" s="6" t="inlineStr">
        <is>
          <t>Pessimista — preço −10%, obra +8%</t>
        </is>
      </c>
      <c r="C737" s="7" t="inlineStr">
        <is>
          <t>texto</t>
        </is>
      </c>
      <c r="D737" s="8" t="inlineStr">
        <is>
          <t>cenarios[2].nome</t>
        </is>
      </c>
    </row>
    <row r="738">
      <c r="A738" s="5" t="inlineStr">
        <is>
          <t>Cenário 2 — Preço de venda</t>
        </is>
      </c>
      <c r="B738" s="11" t="n">
        <v>-0.1</v>
      </c>
      <c r="C738" s="7" t="inlineStr">
        <is>
          <t>variação % (pode ser negativa)</t>
        </is>
      </c>
      <c r="D738" s="8" t="inlineStr">
        <is>
          <t>cenarios[2].preco_venda_pct</t>
        </is>
      </c>
    </row>
    <row r="739">
      <c r="A739" s="5" t="inlineStr">
        <is>
          <t>Cenário 2 — Custo de obra</t>
        </is>
      </c>
      <c r="B739" s="11" t="n">
        <v>0.08</v>
      </c>
      <c r="C739" s="7" t="inlineStr">
        <is>
          <t>variação % (pode ser negativa)</t>
        </is>
      </c>
      <c r="D739" s="8" t="inlineStr">
        <is>
          <t>cenarios[2].custo_obra_pct</t>
        </is>
      </c>
    </row>
    <row r="740">
      <c r="A740" s="5" t="inlineStr">
        <is>
          <t>Cenário 3 — Nome</t>
        </is>
      </c>
      <c r="B740" s="6" t="n"/>
      <c r="C740" s="7" t="inlineStr">
        <is>
          <t>texto</t>
        </is>
      </c>
      <c r="D740" s="8" t="inlineStr">
        <is>
          <t>cenarios[3].nome</t>
        </is>
      </c>
    </row>
    <row r="741">
      <c r="A741" s="5" t="inlineStr">
        <is>
          <t>Cenário 3 — Preço de venda</t>
        </is>
      </c>
      <c r="B741" s="11" t="n"/>
      <c r="C741" s="7" t="inlineStr">
        <is>
          <t>variação % (pode ser negativa)</t>
        </is>
      </c>
      <c r="D741" s="8" t="inlineStr">
        <is>
          <t>cenarios[3].preco_venda_pct</t>
        </is>
      </c>
    </row>
    <row r="742">
      <c r="A742" s="5" t="inlineStr">
        <is>
          <t>Cenário 3 — Custo de obra</t>
        </is>
      </c>
      <c r="B742" s="11" t="n"/>
      <c r="C742" s="7" t="inlineStr">
        <is>
          <t>variação % (pode ser negativa)</t>
        </is>
      </c>
      <c r="D742" s="8" t="inlineStr">
        <is>
          <t>cenarios[3].custo_obra_pct</t>
        </is>
      </c>
    </row>
    <row r="743">
      <c r="A743" s="5" t="inlineStr">
        <is>
          <t>Cenário 4 — Nome</t>
        </is>
      </c>
      <c r="B743" s="6" t="n"/>
      <c r="C743" s="7" t="inlineStr">
        <is>
          <t>texto</t>
        </is>
      </c>
      <c r="D743" s="8" t="inlineStr">
        <is>
          <t>cenarios[4].nome</t>
        </is>
      </c>
    </row>
    <row r="744">
      <c r="A744" s="5" t="inlineStr">
        <is>
          <t>Cenário 4 — Preço de venda</t>
        </is>
      </c>
      <c r="B744" s="11" t="n"/>
      <c r="C744" s="7" t="inlineStr">
        <is>
          <t>variação % (pode ser negativa)</t>
        </is>
      </c>
      <c r="D744" s="8" t="inlineStr">
        <is>
          <t>cenarios[4].preco_venda_pct</t>
        </is>
      </c>
    </row>
    <row r="745">
      <c r="A745" s="5" t="inlineStr">
        <is>
          <t>Cenário 4 — Custo de obra</t>
        </is>
      </c>
      <c r="B745" s="11" t="n"/>
      <c r="C745" s="7" t="inlineStr">
        <is>
          <t>variação % (pode ser negativa)</t>
        </is>
      </c>
      <c r="D745" s="8" t="inlineStr">
        <is>
          <t>cenarios[4].custo_obra_pct</t>
        </is>
      </c>
    </row>
    <row r="746">
      <c r="A746" s="5" t="inlineStr">
        <is>
          <t>Cenário 5 — Nome</t>
        </is>
      </c>
      <c r="B746" s="6" t="n"/>
      <c r="C746" s="7" t="inlineStr">
        <is>
          <t>texto</t>
        </is>
      </c>
      <c r="D746" s="8" t="inlineStr">
        <is>
          <t>cenarios[5].nome</t>
        </is>
      </c>
    </row>
    <row r="747">
      <c r="A747" s="5" t="inlineStr">
        <is>
          <t>Cenário 5 — Preço de venda</t>
        </is>
      </c>
      <c r="B747" s="11" t="n"/>
      <c r="C747" s="7" t="inlineStr">
        <is>
          <t>variação % (pode ser negativa)</t>
        </is>
      </c>
      <c r="D747" s="8" t="inlineStr">
        <is>
          <t>cenarios[5].preco_venda_pct</t>
        </is>
      </c>
    </row>
    <row r="748">
      <c r="A748" s="5" t="inlineStr">
        <is>
          <t>Cenário 5 — Custo de obra</t>
        </is>
      </c>
      <c r="B748" s="11" t="n"/>
      <c r="C748" s="7" t="inlineStr">
        <is>
          <t>variação % (pode ser negativa)</t>
        </is>
      </c>
      <c r="D748" s="8" t="inlineStr">
        <is>
          <t>cenarios[5].custo_obra_pct</t>
        </is>
      </c>
    </row>
    <row r="749" ht="20" customHeight="1">
      <c r="A749" s="17" t="inlineStr">
        <is>
          <t>REFERÊNCIA CALCULADA — não preencher (conferência do que foi preenchido)</t>
        </is>
      </c>
    </row>
    <row r="750" ht="26" customHeight="1">
      <c r="A750" s="12" t="inlineStr">
        <is>
          <t>TIR, VPL, payback, Proforma e Fluxo de Caixa NÃO são calculados aqui: dependem do motor mensal do app. Abaixo, só o que se deduz das entradas: cronograma, áreas, VGV de tabela, absorção, repasse e custos convertidos em R$.</t>
        </is>
      </c>
    </row>
    <row r="751">
      <c r="A751" s="15" t="inlineStr">
        <is>
          <t>Cronograma — inícios travados e datas</t>
        </is>
      </c>
    </row>
    <row r="752">
      <c r="A752" s="18" t="inlineStr">
        <is>
          <t>Planejamento — fim</t>
        </is>
      </c>
      <c r="B752" s="19">
        <f>N($B$28)+N($B$29)</f>
        <v/>
      </c>
      <c r="C752" s="20" t="inlineStr">
        <is>
          <t>mês</t>
        </is>
      </c>
      <c r="D752" s="21" t="inlineStr">
        <is>
          <t>calculado</t>
        </is>
      </c>
    </row>
    <row r="753">
      <c r="A753" s="18" t="inlineStr">
        <is>
          <t>Pré-lançamento — Início (travado = fim do planejamento)</t>
        </is>
      </c>
      <c r="B753" s="19">
        <f>IF($B$27="Sim",$B$752,"—")</f>
        <v/>
      </c>
      <c r="C753" s="20" t="inlineStr">
        <is>
          <t>mês</t>
        </is>
      </c>
      <c r="D753" s="21" t="inlineStr">
        <is>
          <t>cronograma.pre_lancamento.inicio_mes</t>
        </is>
      </c>
    </row>
    <row r="754">
      <c r="A754" s="18" t="inlineStr">
        <is>
          <t>Pré-lançamento — fim</t>
        </is>
      </c>
      <c r="B754" s="19">
        <f>IF($B$27="Sim",$B$753+N($B$30),"—")</f>
        <v/>
      </c>
      <c r="C754" s="20" t="inlineStr">
        <is>
          <t>mês</t>
        </is>
      </c>
      <c r="D754" s="21" t="inlineStr">
        <is>
          <t>calculado</t>
        </is>
      </c>
    </row>
    <row r="755">
      <c r="A755" s="18" t="inlineStr">
        <is>
          <t>Lançamento — Início (travado = fim do evento anterior)</t>
        </is>
      </c>
      <c r="B755" s="19">
        <f>IF($B$27="Sim",$B$754,$B$752)</f>
        <v/>
      </c>
      <c r="C755" s="20" t="inlineStr">
        <is>
          <t>mês</t>
        </is>
      </c>
      <c r="D755" s="21" t="inlineStr">
        <is>
          <t>cronograma.lancamento.inicio_mes</t>
        </is>
      </c>
    </row>
    <row r="756">
      <c r="A756" s="18" t="inlineStr">
        <is>
          <t>Lançamento — fim</t>
        </is>
      </c>
      <c r="B756" s="19">
        <f>$B$755+N($B$31)</f>
        <v/>
      </c>
      <c r="C756" s="20" t="inlineStr">
        <is>
          <t>mês</t>
        </is>
      </c>
      <c r="D756" s="21" t="inlineStr">
        <is>
          <t>calculado</t>
        </is>
      </c>
    </row>
    <row r="757">
      <c r="A757" s="18" t="inlineStr">
        <is>
          <t>Obra — fim</t>
        </is>
      </c>
      <c r="B757" s="19">
        <f>N($B$32)+N($B$33)</f>
        <v/>
      </c>
      <c r="C757" s="20" t="inlineStr">
        <is>
          <t>mês</t>
        </is>
      </c>
      <c r="D757" s="21" t="inlineStr">
        <is>
          <t>calculado</t>
        </is>
      </c>
    </row>
    <row r="758">
      <c r="A758" s="18" t="inlineStr">
        <is>
          <t>Pós-obras — Início (travado = fim da obra)</t>
        </is>
      </c>
      <c r="B758" s="19">
        <f>$B$757</f>
        <v/>
      </c>
      <c r="C758" s="20" t="inlineStr">
        <is>
          <t>mês</t>
        </is>
      </c>
      <c r="D758" s="21" t="inlineStr">
        <is>
          <t>cronograma.pos_obra.inicio_mes</t>
        </is>
      </c>
    </row>
    <row r="759">
      <c r="A759" s="18" t="inlineStr">
        <is>
          <t>Pós-obras — fim = fim do projeto</t>
        </is>
      </c>
      <c r="B759" s="19">
        <f>$B$758+N($B$34)</f>
        <v/>
      </c>
      <c r="C759" s="20" t="inlineStr">
        <is>
          <t>mês</t>
        </is>
      </c>
      <c r="D759" s="21" t="inlineStr">
        <is>
          <t>calculado</t>
        </is>
      </c>
    </row>
    <row r="760">
      <c r="A760" s="18" t="inlineStr">
        <is>
          <t>Data do Lançamento</t>
        </is>
      </c>
      <c r="B760" s="22">
        <f>IF(ISNUMBER($B$26),EDATE($B$26,$B$755),"")</f>
        <v/>
      </c>
      <c r="C760" s="20" t="inlineStr">
        <is>
          <t>mês/ano</t>
        </is>
      </c>
      <c r="D760" s="21" t="inlineStr">
        <is>
          <t>calculado</t>
        </is>
      </c>
    </row>
    <row r="761">
      <c r="A761" s="18" t="inlineStr">
        <is>
          <t>Data de início da Obra</t>
        </is>
      </c>
      <c r="B761" s="22">
        <f>IF(ISNUMBER($B$26),EDATE($B$26,$B$32),"")</f>
        <v/>
      </c>
      <c r="C761" s="20" t="inlineStr">
        <is>
          <t>mês/ano</t>
        </is>
      </c>
      <c r="D761" s="21" t="inlineStr">
        <is>
          <t>calculado</t>
        </is>
      </c>
    </row>
    <row r="762">
      <c r="A762" s="18" t="inlineStr">
        <is>
          <t>Data das chaves (fim da Obra)</t>
        </is>
      </c>
      <c r="B762" s="22">
        <f>IF(ISNUMBER($B$26),EDATE($B$26,$B$757),"")</f>
        <v/>
      </c>
      <c r="C762" s="20" t="inlineStr">
        <is>
          <t>mês/ano</t>
        </is>
      </c>
      <c r="D762" s="21" t="inlineStr">
        <is>
          <t>calculado</t>
        </is>
      </c>
    </row>
    <row r="763">
      <c r="A763" s="18" t="inlineStr">
        <is>
          <t>Data de fim do projeto</t>
        </is>
      </c>
      <c r="B763" s="22">
        <f>IF(ISNUMBER($B$26),EDATE($B$26,$B$759),"")</f>
        <v/>
      </c>
      <c r="C763" s="20" t="inlineStr">
        <is>
          <t>mês/ano</t>
        </is>
      </c>
      <c r="D763" s="21" t="inlineStr">
        <is>
          <t>calculado</t>
        </is>
      </c>
    </row>
    <row r="764">
      <c r="A764" s="18" t="inlineStr">
        <is>
          <t>Obra começa antes do fim do Lançamento?</t>
        </is>
      </c>
      <c r="B764" s="23">
        <f>IF(N($B$32)&lt;$B$756,"⚠ obra inicia antes do fim do lançamento","OK")</f>
        <v/>
      </c>
      <c r="C764" s="20" t="inlineStr">
        <is>
          <t>alerta</t>
        </is>
      </c>
      <c r="D764" s="21" t="inlineStr">
        <is>
          <t>calculado</t>
        </is>
      </c>
    </row>
    <row r="765">
      <c r="A765" s="15" t="inlineStr">
        <is>
          <t>Lotes — catálogo</t>
        </is>
      </c>
    </row>
    <row r="766">
      <c r="A766" s="18" t="inlineStr">
        <is>
          <t>Lote 1 — VGV de catálogo (preço sugerido)</t>
        </is>
      </c>
      <c r="B766" s="24">
        <f>(N($B$59)+N($B$60))*N($B$61)*N($B$62)</f>
        <v/>
      </c>
      <c r="C766" s="20" t="inlineStr">
        <is>
          <t>R$</t>
        </is>
      </c>
      <c r="D766" s="21" t="inlineStr">
        <is>
          <t>calculado</t>
        </is>
      </c>
    </row>
    <row r="767">
      <c r="A767" s="18" t="inlineStr">
        <is>
          <t>Lote 2 — VGV de catálogo (preço sugerido)</t>
        </is>
      </c>
      <c r="B767" s="24">
        <f>(N($B$65)+N($B$66))*N($B$67)*N($B$68)</f>
        <v/>
      </c>
      <c r="C767" s="20" t="inlineStr">
        <is>
          <t>R$</t>
        </is>
      </c>
      <c r="D767" s="21" t="inlineStr">
        <is>
          <t>calculado</t>
        </is>
      </c>
    </row>
    <row r="768">
      <c r="A768" s="18" t="inlineStr">
        <is>
          <t>Lote 3 — VGV de catálogo (preço sugerido)</t>
        </is>
      </c>
      <c r="B768" s="24">
        <f>(N($B$71)+N($B$72))*N($B$73)*N($B$74)</f>
        <v/>
      </c>
      <c r="C768" s="20" t="inlineStr">
        <is>
          <t>R$</t>
        </is>
      </c>
      <c r="D768" s="21" t="inlineStr">
        <is>
          <t>calculado</t>
        </is>
      </c>
    </row>
    <row r="769">
      <c r="A769" s="18" t="inlineStr">
        <is>
          <t>Lote 4 — VGV de catálogo (preço sugerido)</t>
        </is>
      </c>
      <c r="B769" s="24">
        <f>(N($B$77)+N($B$78))*N($B$79)*N($B$80)</f>
        <v/>
      </c>
      <c r="C769" s="20" t="inlineStr">
        <is>
          <t>R$</t>
        </is>
      </c>
      <c r="D769" s="21" t="inlineStr">
        <is>
          <t>calculado</t>
        </is>
      </c>
    </row>
    <row r="770">
      <c r="A770" s="18" t="inlineStr">
        <is>
          <t>Lote 5 — VGV de catálogo (preço sugerido)</t>
        </is>
      </c>
      <c r="B770" s="24">
        <f>(N($B$83)+N($B$84))*N($B$85)*N($B$86)</f>
        <v/>
      </c>
      <c r="C770" s="20" t="inlineStr">
        <is>
          <t>R$</t>
        </is>
      </c>
      <c r="D770" s="21" t="inlineStr">
        <is>
          <t>calculado</t>
        </is>
      </c>
    </row>
    <row r="771">
      <c r="A771" s="18" t="inlineStr">
        <is>
          <t>Lote 6 — VGV de catálogo (preço sugerido)</t>
        </is>
      </c>
      <c r="B771" s="24">
        <f>(N($B$89)+N($B$90))*N($B$91)*N($B$92)</f>
        <v/>
      </c>
      <c r="C771" s="20" t="inlineStr">
        <is>
          <t>R$</t>
        </is>
      </c>
      <c r="D771" s="21" t="inlineStr">
        <is>
          <t>calculado</t>
        </is>
      </c>
    </row>
    <row r="772">
      <c r="A772" s="18" t="inlineStr">
        <is>
          <t>Lote 7 — VGV de catálogo (preço sugerido)</t>
        </is>
      </c>
      <c r="B772" s="24">
        <f>(N($B$95)+N($B$96))*N($B$97)*N($B$98)</f>
        <v/>
      </c>
      <c r="C772" s="20" t="inlineStr">
        <is>
          <t>R$</t>
        </is>
      </c>
      <c r="D772" s="21" t="inlineStr">
        <is>
          <t>calculado</t>
        </is>
      </c>
    </row>
    <row r="773">
      <c r="A773" s="18" t="inlineStr">
        <is>
          <t>Lote 8 — VGV de catálogo (preço sugerido)</t>
        </is>
      </c>
      <c r="B773" s="24">
        <f>(N($B$101)+N($B$102))*N($B$103)*N($B$104)</f>
        <v/>
      </c>
      <c r="C773" s="20" t="inlineStr">
        <is>
          <t>R$</t>
        </is>
      </c>
      <c r="D773" s="21" t="inlineStr">
        <is>
          <t>calculado</t>
        </is>
      </c>
    </row>
    <row r="774">
      <c r="A774" s="18" t="inlineStr">
        <is>
          <t>Lote 9 — VGV de catálogo (preço sugerido)</t>
        </is>
      </c>
      <c r="B774" s="24">
        <f>(N($B$107)+N($B$108))*N($B$109)*N($B$110)</f>
        <v/>
      </c>
      <c r="C774" s="20" t="inlineStr">
        <is>
          <t>R$</t>
        </is>
      </c>
      <c r="D774" s="21" t="inlineStr">
        <is>
          <t>calculado</t>
        </is>
      </c>
    </row>
    <row r="775">
      <c r="A775" s="18" t="inlineStr">
        <is>
          <t>Lote 10 — VGV de catálogo (preço sugerido)</t>
        </is>
      </c>
      <c r="B775" s="24">
        <f>(N($B$113)+N($B$114))*N($B$115)*N($B$116)</f>
        <v/>
      </c>
      <c r="C775" s="20" t="inlineStr">
        <is>
          <t>R$</t>
        </is>
      </c>
      <c r="D775" s="21" t="inlineStr">
        <is>
          <t>calculado</t>
        </is>
      </c>
    </row>
    <row r="776">
      <c r="A776" s="18" t="inlineStr">
        <is>
          <t>Unidades no catálogo</t>
        </is>
      </c>
      <c r="B776" s="19">
        <f>N($B$61)+N($B$67)+N($B$73)+N($B$79)+N($B$85)+N($B$91)+N($B$97)+N($B$103)+N($B$109)+N($B$115)</f>
        <v/>
      </c>
      <c r="C776" s="20" t="inlineStr">
        <is>
          <t>unidades</t>
        </is>
      </c>
      <c r="D776" s="21" t="inlineStr">
        <is>
          <t>calculado</t>
        </is>
      </c>
    </row>
    <row r="777">
      <c r="A777" s="18" t="inlineStr">
        <is>
          <t>VGV de catálogo (preço sugerido)</t>
        </is>
      </c>
      <c r="B777" s="24">
        <f>$B$766+$B$767+$B$768+$B$769+$B$770+$B$771+$B$772+$B$773+$B$774+$B$775</f>
        <v/>
      </c>
      <c r="C777" s="20" t="inlineStr">
        <is>
          <t>R$</t>
        </is>
      </c>
      <c r="D777" s="21" t="inlineStr">
        <is>
          <t>calculado</t>
        </is>
      </c>
    </row>
    <row r="778">
      <c r="A778" s="15" t="inlineStr">
        <is>
          <t>Alocações — VGV de tabela por alocação (unidades × (privativa+aberta) × preço)</t>
        </is>
      </c>
    </row>
    <row r="779">
      <c r="A779" s="18" t="inlineStr">
        <is>
          <t>Alocação 1 — área (privativa+aberta) × unidades</t>
        </is>
      </c>
      <c r="B779" s="25">
        <f>IF($B$260="",0,(($B$58=$B$260)*(N($B$59)+N($B$60))+($B$64=$B$260)*(N($B$65)+N($B$66))+($B$70=$B$260)*(N($B$71)+N($B$72))+($B$76=$B$260)*(N($B$77)+N($B$78))+($B$82=$B$260)*(N($B$83)+N($B$84))+($B$88=$B$260)*(N($B$89)+N($B$90))+($B$94=$B$260)*(N($B$95)+N($B$96))+($B$100=$B$260)*(N($B$101)+N($B$102))+($B$106=$B$260)*(N($B$107)+N($B$108))+($B$112=$B$260)*(N($B$113)+N($B$114)))*N($B$261))</f>
        <v/>
      </c>
      <c r="C779" s="20" t="inlineStr">
        <is>
          <t>m²</t>
        </is>
      </c>
      <c r="D779" s="21" t="inlineStr">
        <is>
          <t>calculado</t>
        </is>
      </c>
    </row>
    <row r="780">
      <c r="A780" s="18" t="inlineStr">
        <is>
          <t>Alocação 1 — VGV de tabela</t>
        </is>
      </c>
      <c r="B780" s="24">
        <f>$B$779*N($B$262)</f>
        <v/>
      </c>
      <c r="C780" s="20" t="inlineStr">
        <is>
          <t>R$</t>
        </is>
      </c>
      <c r="D780" s="21" t="inlineStr">
        <is>
          <t>calculado</t>
        </is>
      </c>
    </row>
    <row r="781">
      <c r="A781" s="18" t="inlineStr">
        <is>
          <t>Alocação 2 — área (privativa+aberta) × unidades</t>
        </is>
      </c>
      <c r="B781" s="25">
        <f>IF($B$265="",0,(($B$58=$B$265)*(N($B$59)+N($B$60))+($B$64=$B$265)*(N($B$65)+N($B$66))+($B$70=$B$265)*(N($B$71)+N($B$72))+($B$76=$B$265)*(N($B$77)+N($B$78))+($B$82=$B$265)*(N($B$83)+N($B$84))+($B$88=$B$265)*(N($B$89)+N($B$90))+($B$94=$B$265)*(N($B$95)+N($B$96))+($B$100=$B$265)*(N($B$101)+N($B$102))+($B$106=$B$265)*(N($B$107)+N($B$108))+($B$112=$B$265)*(N($B$113)+N($B$114)))*N($B$266))</f>
        <v/>
      </c>
      <c r="C781" s="20" t="inlineStr">
        <is>
          <t>m²</t>
        </is>
      </c>
      <c r="D781" s="21" t="inlineStr">
        <is>
          <t>calculado</t>
        </is>
      </c>
    </row>
    <row r="782">
      <c r="A782" s="18" t="inlineStr">
        <is>
          <t>Alocação 2 — VGV de tabela</t>
        </is>
      </c>
      <c r="B782" s="24">
        <f>$B$781*N($B$267)</f>
        <v/>
      </c>
      <c r="C782" s="20" t="inlineStr">
        <is>
          <t>R$</t>
        </is>
      </c>
      <c r="D782" s="21" t="inlineStr">
        <is>
          <t>calculado</t>
        </is>
      </c>
    </row>
    <row r="783">
      <c r="A783" s="18" t="inlineStr">
        <is>
          <t>Alocação 3 — área (privativa+aberta) × unidades</t>
        </is>
      </c>
      <c r="B783" s="25">
        <f>IF($B$270="",0,(($B$58=$B$270)*(N($B$59)+N($B$60))+($B$64=$B$270)*(N($B$65)+N($B$66))+($B$70=$B$270)*(N($B$71)+N($B$72))+($B$76=$B$270)*(N($B$77)+N($B$78))+($B$82=$B$270)*(N($B$83)+N($B$84))+($B$88=$B$270)*(N($B$89)+N($B$90))+($B$94=$B$270)*(N($B$95)+N($B$96))+($B$100=$B$270)*(N($B$101)+N($B$102))+($B$106=$B$270)*(N($B$107)+N($B$108))+($B$112=$B$270)*(N($B$113)+N($B$114)))*N($B$271))</f>
        <v/>
      </c>
      <c r="C783" s="20" t="inlineStr">
        <is>
          <t>m²</t>
        </is>
      </c>
      <c r="D783" s="21" t="inlineStr">
        <is>
          <t>calculado</t>
        </is>
      </c>
    </row>
    <row r="784">
      <c r="A784" s="18" t="inlineStr">
        <is>
          <t>Alocação 3 — VGV de tabela</t>
        </is>
      </c>
      <c r="B784" s="24">
        <f>$B$783*N($B$272)</f>
        <v/>
      </c>
      <c r="C784" s="20" t="inlineStr">
        <is>
          <t>R$</t>
        </is>
      </c>
      <c r="D784" s="21" t="inlineStr">
        <is>
          <t>calculado</t>
        </is>
      </c>
    </row>
    <row r="785">
      <c r="A785" s="18" t="inlineStr">
        <is>
          <t>Alocação 4 — área (privativa+aberta) × unidades</t>
        </is>
      </c>
      <c r="B785" s="25">
        <f>IF($B$275="",0,(($B$58=$B$275)*(N($B$59)+N($B$60))+($B$64=$B$275)*(N($B$65)+N($B$66))+($B$70=$B$275)*(N($B$71)+N($B$72))+($B$76=$B$275)*(N($B$77)+N($B$78))+($B$82=$B$275)*(N($B$83)+N($B$84))+($B$88=$B$275)*(N($B$89)+N($B$90))+($B$94=$B$275)*(N($B$95)+N($B$96))+($B$100=$B$275)*(N($B$101)+N($B$102))+($B$106=$B$275)*(N($B$107)+N($B$108))+($B$112=$B$275)*(N($B$113)+N($B$114)))*N($B$276))</f>
        <v/>
      </c>
      <c r="C785" s="20" t="inlineStr">
        <is>
          <t>m²</t>
        </is>
      </c>
      <c r="D785" s="21" t="inlineStr">
        <is>
          <t>calculado</t>
        </is>
      </c>
    </row>
    <row r="786">
      <c r="A786" s="18" t="inlineStr">
        <is>
          <t>Alocação 4 — VGV de tabela</t>
        </is>
      </c>
      <c r="B786" s="24">
        <f>$B$785*N($B$277)</f>
        <v/>
      </c>
      <c r="C786" s="20" t="inlineStr">
        <is>
          <t>R$</t>
        </is>
      </c>
      <c r="D786" s="21" t="inlineStr">
        <is>
          <t>calculado</t>
        </is>
      </c>
    </row>
    <row r="787">
      <c r="A787" s="18" t="inlineStr">
        <is>
          <t>Alocação 5 — área (privativa+aberta) × unidades</t>
        </is>
      </c>
      <c r="B787" s="25">
        <f>IF($B$280="",0,(($B$58=$B$280)*(N($B$59)+N($B$60))+($B$64=$B$280)*(N($B$65)+N($B$66))+($B$70=$B$280)*(N($B$71)+N($B$72))+($B$76=$B$280)*(N($B$77)+N($B$78))+($B$82=$B$280)*(N($B$83)+N($B$84))+($B$88=$B$280)*(N($B$89)+N($B$90))+($B$94=$B$280)*(N($B$95)+N($B$96))+($B$100=$B$280)*(N($B$101)+N($B$102))+($B$106=$B$280)*(N($B$107)+N($B$108))+($B$112=$B$280)*(N($B$113)+N($B$114)))*N($B$281))</f>
        <v/>
      </c>
      <c r="C787" s="20" t="inlineStr">
        <is>
          <t>m²</t>
        </is>
      </c>
      <c r="D787" s="21" t="inlineStr">
        <is>
          <t>calculado</t>
        </is>
      </c>
    </row>
    <row r="788">
      <c r="A788" s="18" t="inlineStr">
        <is>
          <t>Alocação 5 — VGV de tabela</t>
        </is>
      </c>
      <c r="B788" s="24">
        <f>$B$787*N($B$282)</f>
        <v/>
      </c>
      <c r="C788" s="20" t="inlineStr">
        <is>
          <t>R$</t>
        </is>
      </c>
      <c r="D788" s="21" t="inlineStr">
        <is>
          <t>calculado</t>
        </is>
      </c>
    </row>
    <row r="789">
      <c r="A789" s="18" t="inlineStr">
        <is>
          <t>Alocação 6 — área (privativa+aberta) × unidades</t>
        </is>
      </c>
      <c r="B789" s="25">
        <f>IF($B$285="",0,(($B$58=$B$285)*(N($B$59)+N($B$60))+($B$64=$B$285)*(N($B$65)+N($B$66))+($B$70=$B$285)*(N($B$71)+N($B$72))+($B$76=$B$285)*(N($B$77)+N($B$78))+($B$82=$B$285)*(N($B$83)+N($B$84))+($B$88=$B$285)*(N($B$89)+N($B$90))+($B$94=$B$285)*(N($B$95)+N($B$96))+($B$100=$B$285)*(N($B$101)+N($B$102))+($B$106=$B$285)*(N($B$107)+N($B$108))+($B$112=$B$285)*(N($B$113)+N($B$114)))*N($B$286))</f>
        <v/>
      </c>
      <c r="C789" s="20" t="inlineStr">
        <is>
          <t>m²</t>
        </is>
      </c>
      <c r="D789" s="21" t="inlineStr">
        <is>
          <t>calculado</t>
        </is>
      </c>
    </row>
    <row r="790">
      <c r="A790" s="18" t="inlineStr">
        <is>
          <t>Alocação 6 — VGV de tabela</t>
        </is>
      </c>
      <c r="B790" s="24">
        <f>$B$789*N($B$287)</f>
        <v/>
      </c>
      <c r="C790" s="20" t="inlineStr">
        <is>
          <t>R$</t>
        </is>
      </c>
      <c r="D790" s="21" t="inlineStr">
        <is>
          <t>calculado</t>
        </is>
      </c>
    </row>
    <row r="791">
      <c r="A791" s="18" t="inlineStr">
        <is>
          <t>Alocação 7 — área (privativa+aberta) × unidades</t>
        </is>
      </c>
      <c r="B791" s="25">
        <f>IF($B$290="",0,(($B$58=$B$290)*(N($B$59)+N($B$60))+($B$64=$B$290)*(N($B$65)+N($B$66))+($B$70=$B$290)*(N($B$71)+N($B$72))+($B$76=$B$290)*(N($B$77)+N($B$78))+($B$82=$B$290)*(N($B$83)+N($B$84))+($B$88=$B$290)*(N($B$89)+N($B$90))+($B$94=$B$290)*(N($B$95)+N($B$96))+($B$100=$B$290)*(N($B$101)+N($B$102))+($B$106=$B$290)*(N($B$107)+N($B$108))+($B$112=$B$290)*(N($B$113)+N($B$114)))*N($B$291))</f>
        <v/>
      </c>
      <c r="C791" s="20" t="inlineStr">
        <is>
          <t>m²</t>
        </is>
      </c>
      <c r="D791" s="21" t="inlineStr">
        <is>
          <t>calculado</t>
        </is>
      </c>
    </row>
    <row r="792">
      <c r="A792" s="18" t="inlineStr">
        <is>
          <t>Alocação 7 — VGV de tabela</t>
        </is>
      </c>
      <c r="B792" s="24">
        <f>$B$791*N($B$292)</f>
        <v/>
      </c>
      <c r="C792" s="20" t="inlineStr">
        <is>
          <t>R$</t>
        </is>
      </c>
      <c r="D792" s="21" t="inlineStr">
        <is>
          <t>calculado</t>
        </is>
      </c>
    </row>
    <row r="793">
      <c r="A793" s="18" t="inlineStr">
        <is>
          <t>Alocação 8 — área (privativa+aberta) × unidades</t>
        </is>
      </c>
      <c r="B793" s="25">
        <f>IF($B$295="",0,(($B$58=$B$295)*(N($B$59)+N($B$60))+($B$64=$B$295)*(N($B$65)+N($B$66))+($B$70=$B$295)*(N($B$71)+N($B$72))+($B$76=$B$295)*(N($B$77)+N($B$78))+($B$82=$B$295)*(N($B$83)+N($B$84))+($B$88=$B$295)*(N($B$89)+N($B$90))+($B$94=$B$295)*(N($B$95)+N($B$96))+($B$100=$B$295)*(N($B$101)+N($B$102))+($B$106=$B$295)*(N($B$107)+N($B$108))+($B$112=$B$295)*(N($B$113)+N($B$114)))*N($B$296))</f>
        <v/>
      </c>
      <c r="C793" s="20" t="inlineStr">
        <is>
          <t>m²</t>
        </is>
      </c>
      <c r="D793" s="21" t="inlineStr">
        <is>
          <t>calculado</t>
        </is>
      </c>
    </row>
    <row r="794">
      <c r="A794" s="18" t="inlineStr">
        <is>
          <t>Alocação 8 — VGV de tabela</t>
        </is>
      </c>
      <c r="B794" s="24">
        <f>$B$793*N($B$297)</f>
        <v/>
      </c>
      <c r="C794" s="20" t="inlineStr">
        <is>
          <t>R$</t>
        </is>
      </c>
      <c r="D794" s="21" t="inlineStr">
        <is>
          <t>calculado</t>
        </is>
      </c>
    </row>
    <row r="795">
      <c r="A795" s="18" t="inlineStr">
        <is>
          <t>Alocação 9 — área (privativa+aberta) × unidades</t>
        </is>
      </c>
      <c r="B795" s="25">
        <f>IF($B$300="",0,(($B$58=$B$300)*(N($B$59)+N($B$60))+($B$64=$B$300)*(N($B$65)+N($B$66))+($B$70=$B$300)*(N($B$71)+N($B$72))+($B$76=$B$300)*(N($B$77)+N($B$78))+($B$82=$B$300)*(N($B$83)+N($B$84))+($B$88=$B$300)*(N($B$89)+N($B$90))+($B$94=$B$300)*(N($B$95)+N($B$96))+($B$100=$B$300)*(N($B$101)+N($B$102))+($B$106=$B$300)*(N($B$107)+N($B$108))+($B$112=$B$300)*(N($B$113)+N($B$114)))*N($B$301))</f>
        <v/>
      </c>
      <c r="C795" s="20" t="inlineStr">
        <is>
          <t>m²</t>
        </is>
      </c>
      <c r="D795" s="21" t="inlineStr">
        <is>
          <t>calculado</t>
        </is>
      </c>
    </row>
    <row r="796">
      <c r="A796" s="18" t="inlineStr">
        <is>
          <t>Alocação 9 — VGV de tabela</t>
        </is>
      </c>
      <c r="B796" s="24">
        <f>$B$795*N($B$302)</f>
        <v/>
      </c>
      <c r="C796" s="20" t="inlineStr">
        <is>
          <t>R$</t>
        </is>
      </c>
      <c r="D796" s="21" t="inlineStr">
        <is>
          <t>calculado</t>
        </is>
      </c>
    </row>
    <row r="797">
      <c r="A797" s="18" t="inlineStr">
        <is>
          <t>Alocação 10 — área (privativa+aberta) × unidades</t>
        </is>
      </c>
      <c r="B797" s="25">
        <f>IF($B$305="",0,(($B$58=$B$305)*(N($B$59)+N($B$60))+($B$64=$B$305)*(N($B$65)+N($B$66))+($B$70=$B$305)*(N($B$71)+N($B$72))+($B$76=$B$305)*(N($B$77)+N($B$78))+($B$82=$B$305)*(N($B$83)+N($B$84))+($B$88=$B$305)*(N($B$89)+N($B$90))+($B$94=$B$305)*(N($B$95)+N($B$96))+($B$100=$B$305)*(N($B$101)+N($B$102))+($B$106=$B$305)*(N($B$107)+N($B$108))+($B$112=$B$305)*(N($B$113)+N($B$114)))*N($B$306))</f>
        <v/>
      </c>
      <c r="C797" s="20" t="inlineStr">
        <is>
          <t>m²</t>
        </is>
      </c>
      <c r="D797" s="21" t="inlineStr">
        <is>
          <t>calculado</t>
        </is>
      </c>
    </row>
    <row r="798">
      <c r="A798" s="18" t="inlineStr">
        <is>
          <t>Alocação 10 — VGV de tabela</t>
        </is>
      </c>
      <c r="B798" s="24">
        <f>$B$797*N($B$307)</f>
        <v/>
      </c>
      <c r="C798" s="20" t="inlineStr">
        <is>
          <t>R$</t>
        </is>
      </c>
      <c r="D798" s="21" t="inlineStr">
        <is>
          <t>calculado</t>
        </is>
      </c>
    </row>
    <row r="799">
      <c r="A799" s="18" t="inlineStr">
        <is>
          <t>Área privativa total alocada (base de R$/m² priv.)</t>
        </is>
      </c>
      <c r="B799" s="25">
        <f>$B$779+$B$781+$B$783+$B$785+$B$787+$B$789+$B$791+$B$793+$B$795+$B$797</f>
        <v/>
      </c>
      <c r="C799" s="20" t="inlineStr">
        <is>
          <t>m²</t>
        </is>
      </c>
      <c r="D799" s="21" t="inlineStr">
        <is>
          <t>calculado</t>
        </is>
      </c>
    </row>
    <row r="800">
      <c r="A800" s="18" t="inlineStr">
        <is>
          <t>Unidades alocadas</t>
        </is>
      </c>
      <c r="B800" s="19">
        <f>N($B$261)+N($B$266)+N($B$271)+N($B$276)+N($B$281)+N($B$286)+N($B$291)+N($B$296)+N($B$301)+N($B$306)</f>
        <v/>
      </c>
      <c r="C800" s="20" t="inlineStr">
        <is>
          <t>unidades</t>
        </is>
      </c>
      <c r="D800" s="21" t="inlineStr">
        <is>
          <t>calculado</t>
        </is>
      </c>
    </row>
    <row r="801">
      <c r="A801" s="18" t="inlineStr">
        <is>
          <t>VGV de tabela (Σ alocações)</t>
        </is>
      </c>
      <c r="B801" s="24">
        <f>$B$780+$B$782+$B$784+$B$786+$B$788+$B$790+$B$792+$B$794+$B$796+$B$798</f>
        <v/>
      </c>
      <c r="C801" s="20" t="inlineStr">
        <is>
          <t>R$</t>
        </is>
      </c>
      <c r="D801" s="21" t="inlineStr">
        <is>
          <t>calculado</t>
        </is>
      </c>
    </row>
    <row r="802">
      <c r="A802" s="18" t="inlineStr">
        <is>
          <t>Preço médio de tabela</t>
        </is>
      </c>
      <c r="B802" s="24">
        <f>IF($B$799&gt;0,$B$801/$B$799,"")</f>
        <v/>
      </c>
      <c r="C802" s="20" t="inlineStr">
        <is>
          <t>R$/m² priv.</t>
        </is>
      </c>
      <c r="D802" s="21" t="inlineStr">
        <is>
          <t>calculado</t>
        </is>
      </c>
    </row>
    <row r="803">
      <c r="A803" s="18" t="inlineStr">
        <is>
          <t>Lote 1 — unidades alocadas</t>
        </is>
      </c>
      <c r="B803" s="19">
        <f>($B$260=$B$58)*N($B$261)+($B$265=$B$58)*N($B$266)+($B$270=$B$58)*N($B$271)+($B$275=$B$58)*N($B$276)+($B$280=$B$58)*N($B$281)+($B$285=$B$58)*N($B$286)+($B$290=$B$58)*N($B$291)+($B$295=$B$58)*N($B$296)+($B$300=$B$58)*N($B$301)+($B$305=$B$58)*N($B$306)</f>
        <v/>
      </c>
      <c r="C803" s="20" t="inlineStr">
        <is>
          <t>unidades</t>
        </is>
      </c>
      <c r="D803" s="21" t="inlineStr">
        <is>
          <t>calculado</t>
        </is>
      </c>
    </row>
    <row r="804">
      <c r="A804" s="18" t="inlineStr">
        <is>
          <t>Lote 1 — alocado × catálogo</t>
        </is>
      </c>
      <c r="B804" s="23">
        <f>IF($B$58="","",IF($B$803&gt;N($B$61),"⚠ alocado &gt; catálogo",IF($B$803&lt;N($B$61),"há unidades sem alocar","OK")))</f>
        <v/>
      </c>
      <c r="C804" s="20" t="inlineStr">
        <is>
          <t>alerta</t>
        </is>
      </c>
      <c r="D804" s="21" t="inlineStr">
        <is>
          <t>calculado</t>
        </is>
      </c>
    </row>
    <row r="805">
      <c r="A805" s="18" t="inlineStr">
        <is>
          <t>Lote 2 — unidades alocadas</t>
        </is>
      </c>
      <c r="B805" s="19">
        <f>($B$260=$B$64)*N($B$261)+($B$265=$B$64)*N($B$266)+($B$270=$B$64)*N($B$271)+($B$275=$B$64)*N($B$276)+($B$280=$B$64)*N($B$281)+($B$285=$B$64)*N($B$286)+($B$290=$B$64)*N($B$291)+($B$295=$B$64)*N($B$296)+($B$300=$B$64)*N($B$301)+($B$305=$B$64)*N($B$306)</f>
        <v/>
      </c>
      <c r="C805" s="20" t="inlineStr">
        <is>
          <t>unidades</t>
        </is>
      </c>
      <c r="D805" s="21" t="inlineStr">
        <is>
          <t>calculado</t>
        </is>
      </c>
    </row>
    <row r="806">
      <c r="A806" s="18" t="inlineStr">
        <is>
          <t>Lote 2 — alocado × catálogo</t>
        </is>
      </c>
      <c r="B806" s="23">
        <f>IF($B$64="","",IF($B$805&gt;N($B$67),"⚠ alocado &gt; catálogo",IF($B$805&lt;N($B$67),"há unidades sem alocar","OK")))</f>
        <v/>
      </c>
      <c r="C806" s="20" t="inlineStr">
        <is>
          <t>alerta</t>
        </is>
      </c>
      <c r="D806" s="21" t="inlineStr">
        <is>
          <t>calculado</t>
        </is>
      </c>
    </row>
    <row r="807">
      <c r="A807" s="18" t="inlineStr">
        <is>
          <t>Lote 3 — unidades alocadas</t>
        </is>
      </c>
      <c r="B807" s="19">
        <f>($B$260=$B$70)*N($B$261)+($B$265=$B$70)*N($B$266)+($B$270=$B$70)*N($B$271)+($B$275=$B$70)*N($B$276)+($B$280=$B$70)*N($B$281)+($B$285=$B$70)*N($B$286)+($B$290=$B$70)*N($B$291)+($B$295=$B$70)*N($B$296)+($B$300=$B$70)*N($B$301)+($B$305=$B$70)*N($B$306)</f>
        <v/>
      </c>
      <c r="C807" s="20" t="inlineStr">
        <is>
          <t>unidades</t>
        </is>
      </c>
      <c r="D807" s="21" t="inlineStr">
        <is>
          <t>calculado</t>
        </is>
      </c>
    </row>
    <row r="808">
      <c r="A808" s="18" t="inlineStr">
        <is>
          <t>Lote 3 — alocado × catálogo</t>
        </is>
      </c>
      <c r="B808" s="23">
        <f>IF($B$70="","",IF($B$807&gt;N($B$73),"⚠ alocado &gt; catálogo",IF($B$807&lt;N($B$73),"há unidades sem alocar","OK")))</f>
        <v/>
      </c>
      <c r="C808" s="20" t="inlineStr">
        <is>
          <t>alerta</t>
        </is>
      </c>
      <c r="D808" s="21" t="inlineStr">
        <is>
          <t>calculado</t>
        </is>
      </c>
    </row>
    <row r="809">
      <c r="A809" s="18" t="inlineStr">
        <is>
          <t>Lote 4 — unidades alocadas</t>
        </is>
      </c>
      <c r="B809" s="19">
        <f>($B$260=$B$76)*N($B$261)+($B$265=$B$76)*N($B$266)+($B$270=$B$76)*N($B$271)+($B$275=$B$76)*N($B$276)+($B$280=$B$76)*N($B$281)+($B$285=$B$76)*N($B$286)+($B$290=$B$76)*N($B$291)+($B$295=$B$76)*N($B$296)+($B$300=$B$76)*N($B$301)+($B$305=$B$76)*N($B$306)</f>
        <v/>
      </c>
      <c r="C809" s="20" t="inlineStr">
        <is>
          <t>unidades</t>
        </is>
      </c>
      <c r="D809" s="21" t="inlineStr">
        <is>
          <t>calculado</t>
        </is>
      </c>
    </row>
    <row r="810">
      <c r="A810" s="18" t="inlineStr">
        <is>
          <t>Lote 4 — alocado × catálogo</t>
        </is>
      </c>
      <c r="B810" s="23">
        <f>IF($B$76="","",IF($B$809&gt;N($B$79),"⚠ alocado &gt; catálogo",IF($B$809&lt;N($B$79),"há unidades sem alocar","OK")))</f>
        <v/>
      </c>
      <c r="C810" s="20" t="inlineStr">
        <is>
          <t>alerta</t>
        </is>
      </c>
      <c r="D810" s="21" t="inlineStr">
        <is>
          <t>calculado</t>
        </is>
      </c>
    </row>
    <row r="811">
      <c r="A811" s="18" t="inlineStr">
        <is>
          <t>Lote 5 — unidades alocadas</t>
        </is>
      </c>
      <c r="B811" s="19">
        <f>($B$260=$B$82)*N($B$261)+($B$265=$B$82)*N($B$266)+($B$270=$B$82)*N($B$271)+($B$275=$B$82)*N($B$276)+($B$280=$B$82)*N($B$281)+($B$285=$B$82)*N($B$286)+($B$290=$B$82)*N($B$291)+($B$295=$B$82)*N($B$296)+($B$300=$B$82)*N($B$301)+($B$305=$B$82)*N($B$306)</f>
        <v/>
      </c>
      <c r="C811" s="20" t="inlineStr">
        <is>
          <t>unidades</t>
        </is>
      </c>
      <c r="D811" s="21" t="inlineStr">
        <is>
          <t>calculado</t>
        </is>
      </c>
    </row>
    <row r="812">
      <c r="A812" s="18" t="inlineStr">
        <is>
          <t>Lote 5 — alocado × catálogo</t>
        </is>
      </c>
      <c r="B812" s="23">
        <f>IF($B$82="","",IF($B$811&gt;N($B$85),"⚠ alocado &gt; catálogo",IF($B$811&lt;N($B$85),"há unidades sem alocar","OK")))</f>
        <v/>
      </c>
      <c r="C812" s="20" t="inlineStr">
        <is>
          <t>alerta</t>
        </is>
      </c>
      <c r="D812" s="21" t="inlineStr">
        <is>
          <t>calculado</t>
        </is>
      </c>
    </row>
    <row r="813">
      <c r="A813" s="18" t="inlineStr">
        <is>
          <t>Lote 6 — unidades alocadas</t>
        </is>
      </c>
      <c r="B813" s="19">
        <f>($B$260=$B$88)*N($B$261)+($B$265=$B$88)*N($B$266)+($B$270=$B$88)*N($B$271)+($B$275=$B$88)*N($B$276)+($B$280=$B$88)*N($B$281)+($B$285=$B$88)*N($B$286)+($B$290=$B$88)*N($B$291)+($B$295=$B$88)*N($B$296)+($B$300=$B$88)*N($B$301)+($B$305=$B$88)*N($B$306)</f>
        <v/>
      </c>
      <c r="C813" s="20" t="inlineStr">
        <is>
          <t>unidades</t>
        </is>
      </c>
      <c r="D813" s="21" t="inlineStr">
        <is>
          <t>calculado</t>
        </is>
      </c>
    </row>
    <row r="814">
      <c r="A814" s="18" t="inlineStr">
        <is>
          <t>Lote 6 — alocado × catálogo</t>
        </is>
      </c>
      <c r="B814" s="23">
        <f>IF($B$88="","",IF($B$813&gt;N($B$91),"⚠ alocado &gt; catálogo",IF($B$813&lt;N($B$91),"há unidades sem alocar","OK")))</f>
        <v/>
      </c>
      <c r="C814" s="20" t="inlineStr">
        <is>
          <t>alerta</t>
        </is>
      </c>
      <c r="D814" s="21" t="inlineStr">
        <is>
          <t>calculado</t>
        </is>
      </c>
    </row>
    <row r="815">
      <c r="A815" s="18" t="inlineStr">
        <is>
          <t>Lote 7 — unidades alocadas</t>
        </is>
      </c>
      <c r="B815" s="19">
        <f>($B$260=$B$94)*N($B$261)+($B$265=$B$94)*N($B$266)+($B$270=$B$94)*N($B$271)+($B$275=$B$94)*N($B$276)+($B$280=$B$94)*N($B$281)+($B$285=$B$94)*N($B$286)+($B$290=$B$94)*N($B$291)+($B$295=$B$94)*N($B$296)+($B$300=$B$94)*N($B$301)+($B$305=$B$94)*N($B$306)</f>
        <v/>
      </c>
      <c r="C815" s="20" t="inlineStr">
        <is>
          <t>unidades</t>
        </is>
      </c>
      <c r="D815" s="21" t="inlineStr">
        <is>
          <t>calculado</t>
        </is>
      </c>
    </row>
    <row r="816">
      <c r="A816" s="18" t="inlineStr">
        <is>
          <t>Lote 7 — alocado × catálogo</t>
        </is>
      </c>
      <c r="B816" s="23">
        <f>IF($B$94="","",IF($B$815&gt;N($B$97),"⚠ alocado &gt; catálogo",IF($B$815&lt;N($B$97),"há unidades sem alocar","OK")))</f>
        <v/>
      </c>
      <c r="C816" s="20" t="inlineStr">
        <is>
          <t>alerta</t>
        </is>
      </c>
      <c r="D816" s="21" t="inlineStr">
        <is>
          <t>calculado</t>
        </is>
      </c>
    </row>
    <row r="817">
      <c r="A817" s="18" t="inlineStr">
        <is>
          <t>Lote 8 — unidades alocadas</t>
        </is>
      </c>
      <c r="B817" s="19">
        <f>($B$260=$B$100)*N($B$261)+($B$265=$B$100)*N($B$266)+($B$270=$B$100)*N($B$271)+($B$275=$B$100)*N($B$276)+($B$280=$B$100)*N($B$281)+($B$285=$B$100)*N($B$286)+($B$290=$B$100)*N($B$291)+($B$295=$B$100)*N($B$296)+($B$300=$B$100)*N($B$301)+($B$305=$B$100)*N($B$306)</f>
        <v/>
      </c>
      <c r="C817" s="20" t="inlineStr">
        <is>
          <t>unidades</t>
        </is>
      </c>
      <c r="D817" s="21" t="inlineStr">
        <is>
          <t>calculado</t>
        </is>
      </c>
    </row>
    <row r="818">
      <c r="A818" s="18" t="inlineStr">
        <is>
          <t>Lote 8 — alocado × catálogo</t>
        </is>
      </c>
      <c r="B818" s="23">
        <f>IF($B$100="","",IF($B$817&gt;N($B$103),"⚠ alocado &gt; catálogo",IF($B$817&lt;N($B$103),"há unidades sem alocar","OK")))</f>
        <v/>
      </c>
      <c r="C818" s="20" t="inlineStr">
        <is>
          <t>alerta</t>
        </is>
      </c>
      <c r="D818" s="21" t="inlineStr">
        <is>
          <t>calculado</t>
        </is>
      </c>
    </row>
    <row r="819">
      <c r="A819" s="18" t="inlineStr">
        <is>
          <t>Lote 9 — unidades alocadas</t>
        </is>
      </c>
      <c r="B819" s="19">
        <f>($B$260=$B$106)*N($B$261)+($B$265=$B$106)*N($B$266)+($B$270=$B$106)*N($B$271)+($B$275=$B$106)*N($B$276)+($B$280=$B$106)*N($B$281)+($B$285=$B$106)*N($B$286)+($B$290=$B$106)*N($B$291)+($B$295=$B$106)*N($B$296)+($B$300=$B$106)*N($B$301)+($B$305=$B$106)*N($B$306)</f>
        <v/>
      </c>
      <c r="C819" s="20" t="inlineStr">
        <is>
          <t>unidades</t>
        </is>
      </c>
      <c r="D819" s="21" t="inlineStr">
        <is>
          <t>calculado</t>
        </is>
      </c>
    </row>
    <row r="820">
      <c r="A820" s="18" t="inlineStr">
        <is>
          <t>Lote 9 — alocado × catálogo</t>
        </is>
      </c>
      <c r="B820" s="23">
        <f>IF($B$106="","",IF($B$819&gt;N($B$109),"⚠ alocado &gt; catálogo",IF($B$819&lt;N($B$109),"há unidades sem alocar","OK")))</f>
        <v/>
      </c>
      <c r="C820" s="20" t="inlineStr">
        <is>
          <t>alerta</t>
        </is>
      </c>
      <c r="D820" s="21" t="inlineStr">
        <is>
          <t>calculado</t>
        </is>
      </c>
    </row>
    <row r="821">
      <c r="A821" s="18" t="inlineStr">
        <is>
          <t>Lote 10 — unidades alocadas</t>
        </is>
      </c>
      <c r="B821" s="19">
        <f>($B$260=$B$112)*N($B$261)+($B$265=$B$112)*N($B$266)+($B$270=$B$112)*N($B$271)+($B$275=$B$112)*N($B$276)+($B$280=$B$112)*N($B$281)+($B$285=$B$112)*N($B$286)+($B$290=$B$112)*N($B$291)+($B$295=$B$112)*N($B$296)+($B$300=$B$112)*N($B$301)+($B$305=$B$112)*N($B$306)</f>
        <v/>
      </c>
      <c r="C821" s="20" t="inlineStr">
        <is>
          <t>unidades</t>
        </is>
      </c>
      <c r="D821" s="21" t="inlineStr">
        <is>
          <t>calculado</t>
        </is>
      </c>
    </row>
    <row r="822">
      <c r="A822" s="18" t="inlineStr">
        <is>
          <t>Lote 10 — alocado × catálogo</t>
        </is>
      </c>
      <c r="B822" s="23">
        <f>IF($B$112="","",IF($B$821&gt;N($B$115),"⚠ alocado &gt; catálogo",IF($B$821&lt;N($B$115),"há unidades sem alocar","OK")))</f>
        <v/>
      </c>
      <c r="C822" s="20" t="inlineStr">
        <is>
          <t>alerta</t>
        </is>
      </c>
      <c r="D822" s="21" t="inlineStr">
        <is>
          <t>calculado</t>
        </is>
      </c>
    </row>
    <row r="823">
      <c r="A823" s="18" t="inlineStr">
        <is>
          <t>Alocação 1 — item encontrado?</t>
        </is>
      </c>
      <c r="B823" s="23">
        <f>IF($B$260="","",IF((($B$58=$B$260)*1+($B$64=$B$260)*1+($B$70=$B$260)*1+($B$76=$B$260)*1+($B$82=$B$260)*1+($B$88=$B$260)*1+($B$94=$B$260)*1+($B$100=$B$260)*1+($B$106=$B$260)*1+($B$112=$B$260)*1)&gt;0,"OK","⚠ nome não bate com a seção 5"))</f>
        <v/>
      </c>
      <c r="C823" s="20" t="inlineStr">
        <is>
          <t>alerta</t>
        </is>
      </c>
      <c r="D823" s="21" t="inlineStr">
        <is>
          <t>calculado</t>
        </is>
      </c>
    </row>
    <row r="824">
      <c r="A824" s="18" t="inlineStr">
        <is>
          <t>Alocação 2 — item encontrado?</t>
        </is>
      </c>
      <c r="B824" s="23">
        <f>IF($B$265="","",IF((($B$58=$B$265)*1+($B$64=$B$265)*1+($B$70=$B$265)*1+($B$76=$B$265)*1+($B$82=$B$265)*1+($B$88=$B$265)*1+($B$94=$B$265)*1+($B$100=$B$265)*1+($B$106=$B$265)*1+($B$112=$B$265)*1)&gt;0,"OK","⚠ nome não bate com a seção 5"))</f>
        <v/>
      </c>
      <c r="C824" s="20" t="inlineStr">
        <is>
          <t>alerta</t>
        </is>
      </c>
      <c r="D824" s="21" t="inlineStr">
        <is>
          <t>calculado</t>
        </is>
      </c>
    </row>
    <row r="825">
      <c r="A825" s="18" t="inlineStr">
        <is>
          <t>Alocação 3 — item encontrado?</t>
        </is>
      </c>
      <c r="B825" s="23">
        <f>IF($B$270="","",IF((($B$58=$B$270)*1+($B$64=$B$270)*1+($B$70=$B$270)*1+($B$76=$B$270)*1+($B$82=$B$270)*1+($B$88=$B$270)*1+($B$94=$B$270)*1+($B$100=$B$270)*1+($B$106=$B$270)*1+($B$112=$B$270)*1)&gt;0,"OK","⚠ nome não bate com a seção 5"))</f>
        <v/>
      </c>
      <c r="C825" s="20" t="inlineStr">
        <is>
          <t>alerta</t>
        </is>
      </c>
      <c r="D825" s="21" t="inlineStr">
        <is>
          <t>calculado</t>
        </is>
      </c>
    </row>
    <row r="826">
      <c r="A826" s="18" t="inlineStr">
        <is>
          <t>Alocação 4 — item encontrado?</t>
        </is>
      </c>
      <c r="B826" s="23">
        <f>IF($B$275="","",IF((($B$58=$B$275)*1+($B$64=$B$275)*1+($B$70=$B$275)*1+($B$76=$B$275)*1+($B$82=$B$275)*1+($B$88=$B$275)*1+($B$94=$B$275)*1+($B$100=$B$275)*1+($B$106=$B$275)*1+($B$112=$B$275)*1)&gt;0,"OK","⚠ nome não bate com a seção 5"))</f>
        <v/>
      </c>
      <c r="C826" s="20" t="inlineStr">
        <is>
          <t>alerta</t>
        </is>
      </c>
      <c r="D826" s="21" t="inlineStr">
        <is>
          <t>calculado</t>
        </is>
      </c>
    </row>
    <row r="827">
      <c r="A827" s="18" t="inlineStr">
        <is>
          <t>Alocação 5 — item encontrado?</t>
        </is>
      </c>
      <c r="B827" s="23">
        <f>IF($B$280="","",IF((($B$58=$B$280)*1+($B$64=$B$280)*1+($B$70=$B$280)*1+($B$76=$B$280)*1+($B$82=$B$280)*1+($B$88=$B$280)*1+($B$94=$B$280)*1+($B$100=$B$280)*1+($B$106=$B$280)*1+($B$112=$B$280)*1)&gt;0,"OK","⚠ nome não bate com a seção 5"))</f>
        <v/>
      </c>
      <c r="C827" s="20" t="inlineStr">
        <is>
          <t>alerta</t>
        </is>
      </c>
      <c r="D827" s="21" t="inlineStr">
        <is>
          <t>calculado</t>
        </is>
      </c>
    </row>
    <row r="828">
      <c r="A828" s="18" t="inlineStr">
        <is>
          <t>Alocação 6 — item encontrado?</t>
        </is>
      </c>
      <c r="B828" s="23">
        <f>IF($B$285="","",IF((($B$58=$B$285)*1+($B$64=$B$285)*1+($B$70=$B$285)*1+($B$76=$B$285)*1+($B$82=$B$285)*1+($B$88=$B$285)*1+($B$94=$B$285)*1+($B$100=$B$285)*1+($B$106=$B$285)*1+($B$112=$B$285)*1)&gt;0,"OK","⚠ nome não bate com a seção 5"))</f>
        <v/>
      </c>
      <c r="C828" s="20" t="inlineStr">
        <is>
          <t>alerta</t>
        </is>
      </c>
      <c r="D828" s="21" t="inlineStr">
        <is>
          <t>calculado</t>
        </is>
      </c>
    </row>
    <row r="829">
      <c r="A829" s="18" t="inlineStr">
        <is>
          <t>Alocação 7 — item encontrado?</t>
        </is>
      </c>
      <c r="B829" s="23">
        <f>IF($B$290="","",IF((($B$58=$B$290)*1+($B$64=$B$290)*1+($B$70=$B$290)*1+($B$76=$B$290)*1+($B$82=$B$290)*1+($B$88=$B$290)*1+($B$94=$B$290)*1+($B$100=$B$290)*1+($B$106=$B$290)*1+($B$112=$B$290)*1)&gt;0,"OK","⚠ nome não bate com a seção 5"))</f>
        <v/>
      </c>
      <c r="C829" s="20" t="inlineStr">
        <is>
          <t>alerta</t>
        </is>
      </c>
      <c r="D829" s="21" t="inlineStr">
        <is>
          <t>calculado</t>
        </is>
      </c>
    </row>
    <row r="830">
      <c r="A830" s="18" t="inlineStr">
        <is>
          <t>Alocação 8 — item encontrado?</t>
        </is>
      </c>
      <c r="B830" s="23">
        <f>IF($B$295="","",IF((($B$58=$B$295)*1+($B$64=$B$295)*1+($B$70=$B$295)*1+($B$76=$B$295)*1+($B$82=$B$295)*1+($B$88=$B$295)*1+($B$94=$B$295)*1+($B$100=$B$295)*1+($B$106=$B$295)*1+($B$112=$B$295)*1)&gt;0,"OK","⚠ nome não bate com a seção 5"))</f>
        <v/>
      </c>
      <c r="C830" s="20" t="inlineStr">
        <is>
          <t>alerta</t>
        </is>
      </c>
      <c r="D830" s="21" t="inlineStr">
        <is>
          <t>calculado</t>
        </is>
      </c>
    </row>
    <row r="831">
      <c r="A831" s="18" t="inlineStr">
        <is>
          <t>Alocação 9 — item encontrado?</t>
        </is>
      </c>
      <c r="B831" s="23">
        <f>IF($B$300="","",IF((($B$58=$B$300)*1+($B$64=$B$300)*1+($B$70=$B$300)*1+($B$76=$B$300)*1+($B$82=$B$300)*1+($B$88=$B$300)*1+($B$94=$B$300)*1+($B$100=$B$300)*1+($B$106=$B$300)*1+($B$112=$B$300)*1)&gt;0,"OK","⚠ nome não bate com a seção 5"))</f>
        <v/>
      </c>
      <c r="C831" s="20" t="inlineStr">
        <is>
          <t>alerta</t>
        </is>
      </c>
      <c r="D831" s="21" t="inlineStr">
        <is>
          <t>calculado</t>
        </is>
      </c>
    </row>
    <row r="832">
      <c r="A832" s="18" t="inlineStr">
        <is>
          <t>Alocação 10 — item encontrado?</t>
        </is>
      </c>
      <c r="B832" s="23">
        <f>IF($B$305="","",IF((($B$58=$B$305)*1+($B$64=$B$305)*1+($B$70=$B$305)*1+($B$76=$B$305)*1+($B$82=$B$305)*1+($B$88=$B$305)*1+($B$94=$B$305)*1+($B$100=$B$305)*1+($B$106=$B$305)*1+($B$112=$B$305)*1)&gt;0,"OK","⚠ nome não bate com a seção 5"))</f>
        <v/>
      </c>
      <c r="C832" s="20" t="inlineStr">
        <is>
          <t>alerta</t>
        </is>
      </c>
      <c r="D832" s="21" t="inlineStr">
        <is>
          <t>calculado</t>
        </is>
      </c>
    </row>
    <row r="833">
      <c r="A833" s="15" t="inlineStr">
        <is>
          <t>Grupos de venda — absorção, repasse e VGV</t>
        </is>
      </c>
    </row>
    <row r="834">
      <c r="A834" s="18" t="inlineStr">
        <is>
          <t>Grupo 1 — Absorção Pós-chaves</t>
        </is>
      </c>
      <c r="B834" s="26">
        <f>IF($B$121="","",1-N($B$122)-N($B$123)-N($B$124))</f>
        <v/>
      </c>
      <c r="C834" s="20" t="inlineStr">
        <is>
          <t>% (= 100% − pré − lançamento − obra)</t>
        </is>
      </c>
      <c r="D834" s="21" t="inlineStr">
        <is>
          <t>calculado (absorcao pós-chaves)</t>
        </is>
      </c>
    </row>
    <row r="835">
      <c r="A835" s="18" t="inlineStr">
        <is>
          <t>Grupo 1 — Σ % do pagamento</t>
        </is>
      </c>
      <c r="B835" s="26">
        <f>IF($B$121="","",IF($B$178=$B$121,N($B$180),0)+IF($B$186=$B$121,N($B$188),0)+IF($B$194=$B$121,N($B$196),0)+IF($B$202=$B$121,N($B$204),0)+IF($B$210=$B$121,N($B$212),0)+IF($B$218=$B$121,N($B$220),0)+IF($B$226=$B$121,N($B$228),0)+IF($B$234=$B$121,N($B$236),0)+IF($B$242=$B$121,N($B$244),0)+IF($B$250=$B$121,N($B$252),0))</f>
        <v/>
      </c>
      <c r="C835" s="20" t="inlineStr">
        <is>
          <t>% do preço</t>
        </is>
      </c>
      <c r="D835" s="21" t="inlineStr">
        <is>
          <t>calculado</t>
        </is>
      </c>
    </row>
    <row r="836">
      <c r="A836" s="18" t="inlineStr">
        <is>
          <t>Grupo 1 — Repasse</t>
        </is>
      </c>
      <c r="B836" s="26">
        <f>IF($B$121="","",1-$B$835)</f>
        <v/>
      </c>
      <c r="C836" s="20" t="inlineStr">
        <is>
          <t>% (= 100% − Σ pagamento)</t>
        </is>
      </c>
      <c r="D836" s="21" t="inlineStr">
        <is>
          <t>calculado (repasse)</t>
        </is>
      </c>
    </row>
    <row r="837">
      <c r="A837" s="18" t="inlineStr">
        <is>
          <t>Grupo 1 — Carteira própria</t>
        </is>
      </c>
      <c r="B837" s="26">
        <f>IF($B$121="","",$B$836*(1-IF($B$128="",1,N($B$128))))</f>
        <v/>
      </c>
      <c r="C837" s="20" t="inlineStr">
        <is>
          <t>% do preço (= Repasse × (100% − Repasse bancário))</t>
        </is>
      </c>
      <c r="D837" s="21" t="inlineStr">
        <is>
          <t>calculado (carteira própria)</t>
        </is>
      </c>
    </row>
    <row r="838">
      <c r="A838" s="18" t="inlineStr">
        <is>
          <t>Grupo 1 — VGV de tabela</t>
        </is>
      </c>
      <c r="B838" s="24">
        <f>IF($B$121="","",IF($B$259=$B$121,$B$780,0)+IF($B$264=$B$121,$B$782,0)+IF($B$269=$B$121,$B$784,0)+IF($B$274=$B$121,$B$786,0)+IF($B$279=$B$121,$B$788,0)+IF($B$284=$B$121,$B$790,0)+IF($B$289=$B$121,$B$792,0)+IF($B$294=$B$121,$B$794,0)+IF($B$299=$B$121,$B$796,0)+IF($B$304=$B$121,$B$798,0))</f>
        <v/>
      </c>
      <c r="C838" s="20" t="inlineStr">
        <is>
          <t>R$</t>
        </is>
      </c>
      <c r="D838" s="21" t="inlineStr">
        <is>
          <t>calculado</t>
        </is>
      </c>
    </row>
    <row r="839">
      <c r="A839" s="18" t="inlineStr">
        <is>
          <t>Grupo 1 — conferência</t>
        </is>
      </c>
      <c r="B839" s="23">
        <f>IF($B$121="","",IF(N($B$122)+N($B$123)+N($B$124)&gt;1.00001,"⚠ absorção &gt; 100%",IF($B$835&gt;1.00001,"⚠ Σ pagamento &gt; 100%",IF(AND($B$27="Não",N($B$122)&gt;0),"⚠ absorção de pré sem pré-lançamento",IF(IF(AND($B$178=$B$121,$B$179="Parcelamento"),1,0)+IF(AND($B$186=$B$121,$B$187="Parcelamento"),1,0)+IF(AND($B$194=$B$121,$B$195="Parcelamento"),1,0)+IF(AND($B$202=$B$121,$B$203="Parcelamento"),1,0)+IF(AND($B$210=$B$121,$B$211="Parcelamento"),1,0)+IF(AND($B$218=$B$121,$B$219="Parcelamento"),1,0)+IF(AND($B$226=$B$121,$B$227="Parcelamento"),1,0)+IF(AND($B$234=$B$121,$B$235="Parcelamento"),1,0)+IF(AND($B$242=$B$121,$B$243="Parcelamento"),1,0)+IF(AND($B$250=$B$121,$B$251="Parcelamento"),1,0)&gt;4,"⚠ mais de 4 parcelamentos",IF(AND($B$128&lt;&gt;"",N($B$128)&lt;0.99999,$B$129=""),"⚠ repasse &lt; 100% sem nº de parcelas da carteira","OK")))))) </f>
        <v/>
      </c>
      <c r="C839" s="20" t="inlineStr">
        <is>
          <t>alerta</t>
        </is>
      </c>
      <c r="D839" s="21" t="inlineStr">
        <is>
          <t>calculado</t>
        </is>
      </c>
    </row>
    <row r="840">
      <c r="A840" s="18" t="inlineStr">
        <is>
          <t>Grupo 2 — Absorção Pós-chaves</t>
        </is>
      </c>
      <c r="B840" s="26">
        <f>IF($B$132="","",1-N($B$133)-N($B$134)-N($B$135))</f>
        <v/>
      </c>
      <c r="C840" s="20" t="inlineStr">
        <is>
          <t>% (= 100% − pré − lançamento − obra)</t>
        </is>
      </c>
      <c r="D840" s="21" t="inlineStr">
        <is>
          <t>calculado (absorcao pós-chaves)</t>
        </is>
      </c>
    </row>
    <row r="841">
      <c r="A841" s="18" t="inlineStr">
        <is>
          <t>Grupo 2 — Σ % do pagamento</t>
        </is>
      </c>
      <c r="B841" s="26">
        <f>IF($B$132="","",IF($B$178=$B$132,N($B$180),0)+IF($B$186=$B$132,N($B$188),0)+IF($B$194=$B$132,N($B$196),0)+IF($B$202=$B$132,N($B$204),0)+IF($B$210=$B$132,N($B$212),0)+IF($B$218=$B$132,N($B$220),0)+IF($B$226=$B$132,N($B$228),0)+IF($B$234=$B$132,N($B$236),0)+IF($B$242=$B$132,N($B$244),0)+IF($B$250=$B$132,N($B$252),0))</f>
        <v/>
      </c>
      <c r="C841" s="20" t="inlineStr">
        <is>
          <t>% do preço</t>
        </is>
      </c>
      <c r="D841" s="21" t="inlineStr">
        <is>
          <t>calculado</t>
        </is>
      </c>
    </row>
    <row r="842">
      <c r="A842" s="18" t="inlineStr">
        <is>
          <t>Grupo 2 — Repasse</t>
        </is>
      </c>
      <c r="B842" s="26">
        <f>IF($B$132="","",1-$B$841)</f>
        <v/>
      </c>
      <c r="C842" s="20" t="inlineStr">
        <is>
          <t>% (= 100% − Σ pagamento)</t>
        </is>
      </c>
      <c r="D842" s="21" t="inlineStr">
        <is>
          <t>calculado (repasse)</t>
        </is>
      </c>
    </row>
    <row r="843">
      <c r="A843" s="18" t="inlineStr">
        <is>
          <t>Grupo 2 — Carteira própria</t>
        </is>
      </c>
      <c r="B843" s="26">
        <f>IF($B$132="","",$B$842*(1-IF($B$139="",1,N($B$139))))</f>
        <v/>
      </c>
      <c r="C843" s="20" t="inlineStr">
        <is>
          <t>% do preço (= Repasse × (100% − Repasse bancário))</t>
        </is>
      </c>
      <c r="D843" s="21" t="inlineStr">
        <is>
          <t>calculado (carteira própria)</t>
        </is>
      </c>
    </row>
    <row r="844">
      <c r="A844" s="18" t="inlineStr">
        <is>
          <t>Grupo 2 — VGV de tabela</t>
        </is>
      </c>
      <c r="B844" s="24">
        <f>IF($B$132="","",IF($B$259=$B$132,$B$780,0)+IF($B$264=$B$132,$B$782,0)+IF($B$269=$B$132,$B$784,0)+IF($B$274=$B$132,$B$786,0)+IF($B$279=$B$132,$B$788,0)+IF($B$284=$B$132,$B$790,0)+IF($B$289=$B$132,$B$792,0)+IF($B$294=$B$132,$B$794,0)+IF($B$299=$B$132,$B$796,0)+IF($B$304=$B$132,$B$798,0))</f>
        <v/>
      </c>
      <c r="C844" s="20" t="inlineStr">
        <is>
          <t>R$</t>
        </is>
      </c>
      <c r="D844" s="21" t="inlineStr">
        <is>
          <t>calculado</t>
        </is>
      </c>
    </row>
    <row r="845">
      <c r="A845" s="18" t="inlineStr">
        <is>
          <t>Grupo 2 — conferência</t>
        </is>
      </c>
      <c r="B845" s="23">
        <f>IF($B$132="","",IF(N($B$133)+N($B$134)+N($B$135)&gt;1.00001,"⚠ absorção &gt; 100%",IF($B$841&gt;1.00001,"⚠ Σ pagamento &gt; 100%",IF(AND($B$27="Não",N($B$133)&gt;0),"⚠ absorção de pré sem pré-lançamento",IF(IF(AND($B$178=$B$132,$B$179="Parcelamento"),1,0)+IF(AND($B$186=$B$132,$B$187="Parcelamento"),1,0)+IF(AND($B$194=$B$132,$B$195="Parcelamento"),1,0)+IF(AND($B$202=$B$132,$B$203="Parcelamento"),1,0)+IF(AND($B$210=$B$132,$B$211="Parcelamento"),1,0)+IF(AND($B$218=$B$132,$B$219="Parcelamento"),1,0)+IF(AND($B$226=$B$132,$B$227="Parcelamento"),1,0)+IF(AND($B$234=$B$132,$B$235="Parcelamento"),1,0)+IF(AND($B$242=$B$132,$B$243="Parcelamento"),1,0)+IF(AND($B$250=$B$132,$B$251="Parcelamento"),1,0)&gt;4,"⚠ mais de 4 parcelamentos",IF(AND($B$139&lt;&gt;"",N($B$139)&lt;0.99999,$B$140=""),"⚠ repasse &lt; 100% sem nº de parcelas da carteira","OK")))))) </f>
        <v/>
      </c>
      <c r="C845" s="20" t="inlineStr">
        <is>
          <t>alerta</t>
        </is>
      </c>
      <c r="D845" s="21" t="inlineStr">
        <is>
          <t>calculado</t>
        </is>
      </c>
    </row>
    <row r="846">
      <c r="A846" s="18" t="inlineStr">
        <is>
          <t>Grupo 3 — Absorção Pós-chaves</t>
        </is>
      </c>
      <c r="B846" s="26">
        <f>IF($B$143="","",1-N($B$144)-N($B$145)-N($B$146))</f>
        <v/>
      </c>
      <c r="C846" s="20" t="inlineStr">
        <is>
          <t>% (= 100% − pré − lançamento − obra)</t>
        </is>
      </c>
      <c r="D846" s="21" t="inlineStr">
        <is>
          <t>calculado (absorcao pós-chaves)</t>
        </is>
      </c>
    </row>
    <row r="847">
      <c r="A847" s="18" t="inlineStr">
        <is>
          <t>Grupo 3 — Σ % do pagamento</t>
        </is>
      </c>
      <c r="B847" s="26">
        <f>IF($B$143="","",IF($B$178=$B$143,N($B$180),0)+IF($B$186=$B$143,N($B$188),0)+IF($B$194=$B$143,N($B$196),0)+IF($B$202=$B$143,N($B$204),0)+IF($B$210=$B$143,N($B$212),0)+IF($B$218=$B$143,N($B$220),0)+IF($B$226=$B$143,N($B$228),0)+IF($B$234=$B$143,N($B$236),0)+IF($B$242=$B$143,N($B$244),0)+IF($B$250=$B$143,N($B$252),0))</f>
        <v/>
      </c>
      <c r="C847" s="20" t="inlineStr">
        <is>
          <t>% do preço</t>
        </is>
      </c>
      <c r="D847" s="21" t="inlineStr">
        <is>
          <t>calculado</t>
        </is>
      </c>
    </row>
    <row r="848">
      <c r="A848" s="18" t="inlineStr">
        <is>
          <t>Grupo 3 — Repasse</t>
        </is>
      </c>
      <c r="B848" s="26">
        <f>IF($B$143="","",1-$B$847)</f>
        <v/>
      </c>
      <c r="C848" s="20" t="inlineStr">
        <is>
          <t>% (= 100% − Σ pagamento)</t>
        </is>
      </c>
      <c r="D848" s="21" t="inlineStr">
        <is>
          <t>calculado (repasse)</t>
        </is>
      </c>
    </row>
    <row r="849">
      <c r="A849" s="18" t="inlineStr">
        <is>
          <t>Grupo 3 — Carteira própria</t>
        </is>
      </c>
      <c r="B849" s="26">
        <f>IF($B$143="","",$B$848*(1-IF($B$150="",1,N($B$150))))</f>
        <v/>
      </c>
      <c r="C849" s="20" t="inlineStr">
        <is>
          <t>% do preço (= Repasse × (100% − Repasse bancário))</t>
        </is>
      </c>
      <c r="D849" s="21" t="inlineStr">
        <is>
          <t>calculado (carteira própria)</t>
        </is>
      </c>
    </row>
    <row r="850">
      <c r="A850" s="18" t="inlineStr">
        <is>
          <t>Grupo 3 — VGV de tabela</t>
        </is>
      </c>
      <c r="B850" s="24">
        <f>IF($B$143="","",IF($B$259=$B$143,$B$780,0)+IF($B$264=$B$143,$B$782,0)+IF($B$269=$B$143,$B$784,0)+IF($B$274=$B$143,$B$786,0)+IF($B$279=$B$143,$B$788,0)+IF($B$284=$B$143,$B$790,0)+IF($B$289=$B$143,$B$792,0)+IF($B$294=$B$143,$B$794,0)+IF($B$299=$B$143,$B$796,0)+IF($B$304=$B$143,$B$798,0))</f>
        <v/>
      </c>
      <c r="C850" s="20" t="inlineStr">
        <is>
          <t>R$</t>
        </is>
      </c>
      <c r="D850" s="21" t="inlineStr">
        <is>
          <t>calculado</t>
        </is>
      </c>
    </row>
    <row r="851">
      <c r="A851" s="18" t="inlineStr">
        <is>
          <t>Grupo 3 — conferência</t>
        </is>
      </c>
      <c r="B851" s="23">
        <f>IF($B$143="","",IF(N($B$144)+N($B$145)+N($B$146)&gt;1.00001,"⚠ absorção &gt; 100%",IF($B$847&gt;1.00001,"⚠ Σ pagamento &gt; 100%",IF(AND($B$27="Não",N($B$144)&gt;0),"⚠ absorção de pré sem pré-lançamento",IF(IF(AND($B$178=$B$143,$B$179="Parcelamento"),1,0)+IF(AND($B$186=$B$143,$B$187="Parcelamento"),1,0)+IF(AND($B$194=$B$143,$B$195="Parcelamento"),1,0)+IF(AND($B$202=$B$143,$B$203="Parcelamento"),1,0)+IF(AND($B$210=$B$143,$B$211="Parcelamento"),1,0)+IF(AND($B$218=$B$143,$B$219="Parcelamento"),1,0)+IF(AND($B$226=$B$143,$B$227="Parcelamento"),1,0)+IF(AND($B$234=$B$143,$B$235="Parcelamento"),1,0)+IF(AND($B$242=$B$143,$B$243="Parcelamento"),1,0)+IF(AND($B$250=$B$143,$B$251="Parcelamento"),1,0)&gt;4,"⚠ mais de 4 parcelamentos",IF(AND($B$150&lt;&gt;"",N($B$150)&lt;0.99999,$B$151=""),"⚠ repasse &lt; 100% sem nº de parcelas da carteira","OK")))))) </f>
        <v/>
      </c>
      <c r="C851" s="20" t="inlineStr">
        <is>
          <t>alerta</t>
        </is>
      </c>
      <c r="D851" s="21" t="inlineStr">
        <is>
          <t>calculado</t>
        </is>
      </c>
    </row>
    <row r="852">
      <c r="A852" s="18" t="inlineStr">
        <is>
          <t>Grupo 4 — Absorção Pós-chaves</t>
        </is>
      </c>
      <c r="B852" s="26">
        <f>IF($B$154="","",1-N($B$155)-N($B$156)-N($B$157))</f>
        <v/>
      </c>
      <c r="C852" s="20" t="inlineStr">
        <is>
          <t>% (= 100% − pré − lançamento − obra)</t>
        </is>
      </c>
      <c r="D852" s="21" t="inlineStr">
        <is>
          <t>calculado (absorcao pós-chaves)</t>
        </is>
      </c>
    </row>
    <row r="853">
      <c r="A853" s="18" t="inlineStr">
        <is>
          <t>Grupo 4 — Σ % do pagamento</t>
        </is>
      </c>
      <c r="B853" s="26">
        <f>IF($B$154="","",IF($B$178=$B$154,N($B$180),0)+IF($B$186=$B$154,N($B$188),0)+IF($B$194=$B$154,N($B$196),0)+IF($B$202=$B$154,N($B$204),0)+IF($B$210=$B$154,N($B$212),0)+IF($B$218=$B$154,N($B$220),0)+IF($B$226=$B$154,N($B$228),0)+IF($B$234=$B$154,N($B$236),0)+IF($B$242=$B$154,N($B$244),0)+IF($B$250=$B$154,N($B$252),0))</f>
        <v/>
      </c>
      <c r="C853" s="20" t="inlineStr">
        <is>
          <t>% do preço</t>
        </is>
      </c>
      <c r="D853" s="21" t="inlineStr">
        <is>
          <t>calculado</t>
        </is>
      </c>
    </row>
    <row r="854">
      <c r="A854" s="18" t="inlineStr">
        <is>
          <t>Grupo 4 — Repasse</t>
        </is>
      </c>
      <c r="B854" s="26">
        <f>IF($B$154="","",1-$B$853)</f>
        <v/>
      </c>
      <c r="C854" s="20" t="inlineStr">
        <is>
          <t>% (= 100% − Σ pagamento)</t>
        </is>
      </c>
      <c r="D854" s="21" t="inlineStr">
        <is>
          <t>calculado (repasse)</t>
        </is>
      </c>
    </row>
    <row r="855">
      <c r="A855" s="18" t="inlineStr">
        <is>
          <t>Grupo 4 — Carteira própria</t>
        </is>
      </c>
      <c r="B855" s="26">
        <f>IF($B$154="","",$B$854*(1-IF($B$161="",1,N($B$161))))</f>
        <v/>
      </c>
      <c r="C855" s="20" t="inlineStr">
        <is>
          <t>% do preço (= Repasse × (100% − Repasse bancário))</t>
        </is>
      </c>
      <c r="D855" s="21" t="inlineStr">
        <is>
          <t>calculado (carteira própria)</t>
        </is>
      </c>
    </row>
    <row r="856">
      <c r="A856" s="18" t="inlineStr">
        <is>
          <t>Grupo 4 — VGV de tabela</t>
        </is>
      </c>
      <c r="B856" s="24">
        <f>IF($B$154="","",IF($B$259=$B$154,$B$780,0)+IF($B$264=$B$154,$B$782,0)+IF($B$269=$B$154,$B$784,0)+IF($B$274=$B$154,$B$786,0)+IF($B$279=$B$154,$B$788,0)+IF($B$284=$B$154,$B$790,0)+IF($B$289=$B$154,$B$792,0)+IF($B$294=$B$154,$B$794,0)+IF($B$299=$B$154,$B$796,0)+IF($B$304=$B$154,$B$798,0))</f>
        <v/>
      </c>
      <c r="C856" s="20" t="inlineStr">
        <is>
          <t>R$</t>
        </is>
      </c>
      <c r="D856" s="21" t="inlineStr">
        <is>
          <t>calculado</t>
        </is>
      </c>
    </row>
    <row r="857">
      <c r="A857" s="18" t="inlineStr">
        <is>
          <t>Grupo 4 — conferência</t>
        </is>
      </c>
      <c r="B857" s="23">
        <f>IF($B$154="","",IF(N($B$155)+N($B$156)+N($B$157)&gt;1.00001,"⚠ absorção &gt; 100%",IF($B$853&gt;1.00001,"⚠ Σ pagamento &gt; 100%",IF(AND($B$27="Não",N($B$155)&gt;0),"⚠ absorção de pré sem pré-lançamento",IF(IF(AND($B$178=$B$154,$B$179="Parcelamento"),1,0)+IF(AND($B$186=$B$154,$B$187="Parcelamento"),1,0)+IF(AND($B$194=$B$154,$B$195="Parcelamento"),1,0)+IF(AND($B$202=$B$154,$B$203="Parcelamento"),1,0)+IF(AND($B$210=$B$154,$B$211="Parcelamento"),1,0)+IF(AND($B$218=$B$154,$B$219="Parcelamento"),1,0)+IF(AND($B$226=$B$154,$B$227="Parcelamento"),1,0)+IF(AND($B$234=$B$154,$B$235="Parcelamento"),1,0)+IF(AND($B$242=$B$154,$B$243="Parcelamento"),1,0)+IF(AND($B$250=$B$154,$B$251="Parcelamento"),1,0)&gt;4,"⚠ mais de 4 parcelamentos",IF(AND($B$161&lt;&gt;"",N($B$161)&lt;0.99999,$B$162=""),"⚠ repasse &lt; 100% sem nº de parcelas da carteira","OK")))))) </f>
        <v/>
      </c>
      <c r="C857" s="20" t="inlineStr">
        <is>
          <t>alerta</t>
        </is>
      </c>
      <c r="D857" s="21" t="inlineStr">
        <is>
          <t>calculado</t>
        </is>
      </c>
    </row>
    <row r="858">
      <c r="A858" s="18" t="inlineStr">
        <is>
          <t>Grupo 5 — Absorção Pós-chaves</t>
        </is>
      </c>
      <c r="B858" s="26">
        <f>IF($B$165="","",1-N($B$166)-N($B$167)-N($B$168))</f>
        <v/>
      </c>
      <c r="C858" s="20" t="inlineStr">
        <is>
          <t>% (= 100% − pré − lançamento − obra)</t>
        </is>
      </c>
      <c r="D858" s="21" t="inlineStr">
        <is>
          <t>calculado (absorcao pós-chaves)</t>
        </is>
      </c>
    </row>
    <row r="859">
      <c r="A859" s="18" t="inlineStr">
        <is>
          <t>Grupo 5 — Σ % do pagamento</t>
        </is>
      </c>
      <c r="B859" s="26">
        <f>IF($B$165="","",IF($B$178=$B$165,N($B$180),0)+IF($B$186=$B$165,N($B$188),0)+IF($B$194=$B$165,N($B$196),0)+IF($B$202=$B$165,N($B$204),0)+IF($B$210=$B$165,N($B$212),0)+IF($B$218=$B$165,N($B$220),0)+IF($B$226=$B$165,N($B$228),0)+IF($B$234=$B$165,N($B$236),0)+IF($B$242=$B$165,N($B$244),0)+IF($B$250=$B$165,N($B$252),0))</f>
        <v/>
      </c>
      <c r="C859" s="20" t="inlineStr">
        <is>
          <t>% do preço</t>
        </is>
      </c>
      <c r="D859" s="21" t="inlineStr">
        <is>
          <t>calculado</t>
        </is>
      </c>
    </row>
    <row r="860">
      <c r="A860" s="18" t="inlineStr">
        <is>
          <t>Grupo 5 — Repasse</t>
        </is>
      </c>
      <c r="B860" s="26">
        <f>IF($B$165="","",1-$B$859)</f>
        <v/>
      </c>
      <c r="C860" s="20" t="inlineStr">
        <is>
          <t>% (= 100% − Σ pagamento)</t>
        </is>
      </c>
      <c r="D860" s="21" t="inlineStr">
        <is>
          <t>calculado (repasse)</t>
        </is>
      </c>
    </row>
    <row r="861">
      <c r="A861" s="18" t="inlineStr">
        <is>
          <t>Grupo 5 — Carteira própria</t>
        </is>
      </c>
      <c r="B861" s="26">
        <f>IF($B$165="","",$B$860*(1-IF($B$172="",1,N($B$172))))</f>
        <v/>
      </c>
      <c r="C861" s="20" t="inlineStr">
        <is>
          <t>% do preço (= Repasse × (100% − Repasse bancário))</t>
        </is>
      </c>
      <c r="D861" s="21" t="inlineStr">
        <is>
          <t>calculado (carteira própria)</t>
        </is>
      </c>
    </row>
    <row r="862">
      <c r="A862" s="18" t="inlineStr">
        <is>
          <t>Grupo 5 — VGV de tabela</t>
        </is>
      </c>
      <c r="B862" s="24">
        <f>IF($B$165="","",IF($B$259=$B$165,$B$780,0)+IF($B$264=$B$165,$B$782,0)+IF($B$269=$B$165,$B$784,0)+IF($B$274=$B$165,$B$786,0)+IF($B$279=$B$165,$B$788,0)+IF($B$284=$B$165,$B$790,0)+IF($B$289=$B$165,$B$792,0)+IF($B$294=$B$165,$B$794,0)+IF($B$299=$B$165,$B$796,0)+IF($B$304=$B$165,$B$798,0))</f>
        <v/>
      </c>
      <c r="C862" s="20" t="inlineStr">
        <is>
          <t>R$</t>
        </is>
      </c>
      <c r="D862" s="21" t="inlineStr">
        <is>
          <t>calculado</t>
        </is>
      </c>
    </row>
    <row r="863">
      <c r="A863" s="18" t="inlineStr">
        <is>
          <t>Grupo 5 — conferência</t>
        </is>
      </c>
      <c r="B863" s="23">
        <f>IF($B$165="","",IF(N($B$166)+N($B$167)+N($B$168)&gt;1.00001,"⚠ absorção &gt; 100%",IF($B$859&gt;1.00001,"⚠ Σ pagamento &gt; 100%",IF(AND($B$27="Não",N($B$166)&gt;0),"⚠ absorção de pré sem pré-lançamento",IF(IF(AND($B$178=$B$165,$B$179="Parcelamento"),1,0)+IF(AND($B$186=$B$165,$B$187="Parcelamento"),1,0)+IF(AND($B$194=$B$165,$B$195="Parcelamento"),1,0)+IF(AND($B$202=$B$165,$B$203="Parcelamento"),1,0)+IF(AND($B$210=$B$165,$B$211="Parcelamento"),1,0)+IF(AND($B$218=$B$165,$B$219="Parcelamento"),1,0)+IF(AND($B$226=$B$165,$B$227="Parcelamento"),1,0)+IF(AND($B$234=$B$165,$B$235="Parcelamento"),1,0)+IF(AND($B$242=$B$165,$B$243="Parcelamento"),1,0)+IF(AND($B$250=$B$165,$B$251="Parcelamento"),1,0)&gt;4,"⚠ mais de 4 parcelamentos",IF(AND($B$172&lt;&gt;"",N($B$172)&lt;0.99999,$B$173=""),"⚠ repasse &lt; 100% sem nº de parcelas da carteira","OK")))))) </f>
        <v/>
      </c>
      <c r="C863" s="20" t="inlineStr">
        <is>
          <t>alerta</t>
        </is>
      </c>
      <c r="D863" s="21" t="inlineStr">
        <is>
          <t>calculado</t>
        </is>
      </c>
    </row>
    <row r="864">
      <c r="A864" s="15" t="inlineStr">
        <is>
          <t>Custos convertidos em R$ (quando dá para converter sem o fluxo)</t>
        </is>
      </c>
    </row>
    <row r="865">
      <c r="A865" s="18" t="inlineStr">
        <is>
          <t>Custo 1 — equivalente em R$</t>
        </is>
      </c>
      <c r="B865" s="24">
        <f>IF($B$315="","",IF($B$315="rs",N($B$316),IF($B$315="rs_m2_priv",N($B$316)*$B$799,IF($B$315="rs_m2_terreno",N($B$316)*N($B$15),IF($B$315="pct_vgv",N($B$317)*$B$801,"depende do fluxo (app)")))))</f>
        <v/>
      </c>
      <c r="C865" s="20" t="inlineStr">
        <is>
          <t>R$ (ou texto se depender do fluxo)</t>
        </is>
      </c>
      <c r="D865" s="21" t="inlineStr">
        <is>
          <t>calculado</t>
        </is>
      </c>
    </row>
    <row r="866">
      <c r="A866" s="18" t="inlineStr">
        <is>
          <t>Custo 2 — equivalente em R$</t>
        </is>
      </c>
      <c r="B866" s="24">
        <f>IF($B$326="","",IF($B$326="rs",N($B$327),IF($B$326="rs_m2_priv",N($B$327)*$B$799,IF($B$326="rs_m2_terreno",N($B$327)*N($B$15),IF($B$326="pct_vgv",N($B$328)*$B$801,"depende do fluxo (app)")))))</f>
        <v/>
      </c>
      <c r="C866" s="20" t="inlineStr">
        <is>
          <t>R$ (ou texto se depender do fluxo)</t>
        </is>
      </c>
      <c r="D866" s="21" t="inlineStr">
        <is>
          <t>calculado</t>
        </is>
      </c>
    </row>
    <row r="867">
      <c r="A867" s="18" t="inlineStr">
        <is>
          <t>Custo 3 — equivalente em R$</t>
        </is>
      </c>
      <c r="B867" s="24">
        <f>IF($B$337="","",IF($B$337="rs",N($B$338),IF($B$337="rs_m2_priv",N($B$338)*$B$799,IF($B$337="rs_m2_terreno",N($B$338)*N($B$15),IF($B$337="pct_vgv",N($B$339)*$B$801,"depende do fluxo (app)")))))</f>
        <v/>
      </c>
      <c r="C867" s="20" t="inlineStr">
        <is>
          <t>R$ (ou texto se depender do fluxo)</t>
        </is>
      </c>
      <c r="D867" s="21" t="inlineStr">
        <is>
          <t>calculado</t>
        </is>
      </c>
    </row>
    <row r="868">
      <c r="A868" s="18" t="inlineStr">
        <is>
          <t>Custo 4 — equivalente em R$</t>
        </is>
      </c>
      <c r="B868" s="24">
        <f>IF($B$348="","",IF($B$348="rs",N($B$349),IF($B$348="rs_m2_priv",N($B$349)*$B$799,IF($B$348="rs_m2_terreno",N($B$349)*N($B$15),IF($B$348="pct_vgv",N($B$350)*$B$801,"depende do fluxo (app)")))))</f>
        <v/>
      </c>
      <c r="C868" s="20" t="inlineStr">
        <is>
          <t>R$ (ou texto se depender do fluxo)</t>
        </is>
      </c>
      <c r="D868" s="21" t="inlineStr">
        <is>
          <t>calculado</t>
        </is>
      </c>
    </row>
    <row r="869">
      <c r="A869" s="18" t="inlineStr">
        <is>
          <t>Custo 5 — equivalente em R$</t>
        </is>
      </c>
      <c r="B869" s="24">
        <f>IF($B$359="","",IF($B$359="rs",N($B$360),IF($B$359="rs_m2_priv",N($B$360)*$B$799,IF($B$359="rs_m2_terreno",N($B$360)*N($B$15),IF($B$359="pct_vgv",N($B$361)*$B$801,"depende do fluxo (app)")))))</f>
        <v/>
      </c>
      <c r="C869" s="20" t="inlineStr">
        <is>
          <t>R$ (ou texto se depender do fluxo)</t>
        </is>
      </c>
      <c r="D869" s="21" t="inlineStr">
        <is>
          <t>calculado</t>
        </is>
      </c>
    </row>
    <row r="870">
      <c r="A870" s="18" t="inlineStr">
        <is>
          <t>Custo 6 — equivalente em R$</t>
        </is>
      </c>
      <c r="B870" s="24">
        <f>IF($B$370="","",IF($B$370="rs",N($B$371),IF($B$370="rs_m2_priv",N($B$371)*$B$799,IF($B$370="rs_m2_terreno",N($B$371)*N($B$15),IF($B$370="pct_vgv",N($B$372)*$B$801,"depende do fluxo (app)")))))</f>
        <v/>
      </c>
      <c r="C870" s="20" t="inlineStr">
        <is>
          <t>R$ (ou texto se depender do fluxo)</t>
        </is>
      </c>
      <c r="D870" s="21" t="inlineStr">
        <is>
          <t>calculado</t>
        </is>
      </c>
    </row>
    <row r="871">
      <c r="A871" s="18" t="inlineStr">
        <is>
          <t>Custo 7 — equivalente em R$</t>
        </is>
      </c>
      <c r="B871" s="24">
        <f>IF($B$381="","",IF($B$381="rs",N($B$382),IF($B$381="rs_m2_priv",N($B$382)*$B$799,IF($B$381="rs_m2_terreno",N($B$382)*N($B$15),IF($B$381="pct_vgv",N($B$383)*$B$801,"depende do fluxo (app)")))))</f>
        <v/>
      </c>
      <c r="C871" s="20" t="inlineStr">
        <is>
          <t>R$ (ou texto se depender do fluxo)</t>
        </is>
      </c>
      <c r="D871" s="21" t="inlineStr">
        <is>
          <t>calculado</t>
        </is>
      </c>
    </row>
    <row r="872">
      <c r="A872" s="18" t="inlineStr">
        <is>
          <t>Custo 8 — equivalente em R$</t>
        </is>
      </c>
      <c r="B872" s="24">
        <f>IF($B$392="","",IF($B$392="rs",N($B$393),IF($B$392="rs_m2_priv",N($B$393)*$B$799,IF($B$392="rs_m2_terreno",N($B$393)*N($B$15),IF($B$392="pct_vgv",N($B$394)*$B$801,"depende do fluxo (app)")))))</f>
        <v/>
      </c>
      <c r="C872" s="20" t="inlineStr">
        <is>
          <t>R$ (ou texto se depender do fluxo)</t>
        </is>
      </c>
      <c r="D872" s="21" t="inlineStr">
        <is>
          <t>calculado</t>
        </is>
      </c>
    </row>
    <row r="873">
      <c r="A873" s="18" t="inlineStr">
        <is>
          <t>Custo 9 — equivalente em R$</t>
        </is>
      </c>
      <c r="B873" s="24">
        <f>IF($B$403="","",IF($B$403="rs",N($B$404),IF($B$403="rs_m2_priv",N($B$404)*$B$799,IF($B$403="rs_m2_terreno",N($B$404)*N($B$15),IF($B$403="pct_vgv",N($B$405)*$B$801,"depende do fluxo (app)")))))</f>
        <v/>
      </c>
      <c r="C873" s="20" t="inlineStr">
        <is>
          <t>R$ (ou texto se depender do fluxo)</t>
        </is>
      </c>
      <c r="D873" s="21" t="inlineStr">
        <is>
          <t>calculado</t>
        </is>
      </c>
    </row>
    <row r="874">
      <c r="A874" s="18" t="inlineStr">
        <is>
          <t>Custo 10 — equivalente em R$</t>
        </is>
      </c>
      <c r="B874" s="24">
        <f>IF($B$414="","",IF($B$414="rs",N($B$415),IF($B$414="rs_m2_priv",N($B$415)*$B$799,IF($B$414="rs_m2_terreno",N($B$415)*N($B$15),IF($B$414="pct_vgv",N($B$416)*$B$801,"depende do fluxo (app)")))))</f>
        <v/>
      </c>
      <c r="C874" s="20" t="inlineStr">
        <is>
          <t>R$ (ou texto se depender do fluxo)</t>
        </is>
      </c>
      <c r="D874" s="21" t="inlineStr">
        <is>
          <t>calculado</t>
        </is>
      </c>
    </row>
    <row r="875">
      <c r="A875" s="18" t="inlineStr">
        <is>
          <t>Custo 11 — equivalente em R$</t>
        </is>
      </c>
      <c r="B875" s="24">
        <f>IF($B$425="","",IF($B$425="rs",N($B$426),IF($B$425="rs_m2_priv",N($B$426)*$B$799,IF($B$425="rs_m2_terreno",N($B$426)*N($B$15),IF($B$425="pct_vgv",N($B$427)*$B$801,"depende do fluxo (app)")))))</f>
        <v/>
      </c>
      <c r="C875" s="20" t="inlineStr">
        <is>
          <t>R$ (ou texto se depender do fluxo)</t>
        </is>
      </c>
      <c r="D875" s="21" t="inlineStr">
        <is>
          <t>calculado</t>
        </is>
      </c>
    </row>
    <row r="876">
      <c r="A876" s="18" t="inlineStr">
        <is>
          <t>Custo 12 — equivalente em R$</t>
        </is>
      </c>
      <c r="B876" s="24">
        <f>IF($B$436="","",IF($B$436="rs",N($B$437),IF($B$436="rs_m2_priv",N($B$437)*$B$799,IF($B$436="rs_m2_terreno",N($B$437)*N($B$15),IF($B$436="pct_vgv",N($B$438)*$B$801,"depende do fluxo (app)")))))</f>
        <v/>
      </c>
      <c r="C876" s="20" t="inlineStr">
        <is>
          <t>R$ (ou texto se depender do fluxo)</t>
        </is>
      </c>
      <c r="D876" s="21" t="inlineStr">
        <is>
          <t>calculado</t>
        </is>
      </c>
    </row>
    <row r="877">
      <c r="A877" s="18" t="inlineStr">
        <is>
          <t>Custo 13 — equivalente em R$</t>
        </is>
      </c>
      <c r="B877" s="24">
        <f>IF($B$447="","",IF($B$447="rs",N($B$448),IF($B$447="rs_m2_priv",N($B$448)*$B$799,IF($B$447="rs_m2_terreno",N($B$448)*N($B$15),IF($B$447="pct_vgv",N($B$449)*$B$801,"depende do fluxo (app)")))))</f>
        <v/>
      </c>
      <c r="C877" s="20" t="inlineStr">
        <is>
          <t>R$ (ou texto se depender do fluxo)</t>
        </is>
      </c>
      <c r="D877" s="21" t="inlineStr">
        <is>
          <t>calculado</t>
        </is>
      </c>
    </row>
    <row r="878">
      <c r="A878" s="18" t="inlineStr">
        <is>
          <t>Custo 14 — equivalente em R$</t>
        </is>
      </c>
      <c r="B878" s="24">
        <f>IF($B$458="","",IF($B$458="rs",N($B$459),IF($B$458="rs_m2_priv",N($B$459)*$B$799,IF($B$458="rs_m2_terreno",N($B$459)*N($B$15),IF($B$458="pct_vgv",N($B$460)*$B$801,"depende do fluxo (app)")))))</f>
        <v/>
      </c>
      <c r="C878" s="20" t="inlineStr">
        <is>
          <t>R$ (ou texto se depender do fluxo)</t>
        </is>
      </c>
      <c r="D878" s="21" t="inlineStr">
        <is>
          <t>calculado</t>
        </is>
      </c>
    </row>
    <row r="879">
      <c r="A879" s="18" t="inlineStr">
        <is>
          <t>Custo 15 — equivalente em R$</t>
        </is>
      </c>
      <c r="B879" s="24">
        <f>IF($B$469="","",IF($B$469="rs",N($B$470),IF($B$469="rs_m2_priv",N($B$470)*$B$799,IF($B$469="rs_m2_terreno",N($B$470)*N($B$15),IF($B$469="pct_vgv",N($B$471)*$B$801,"depende do fluxo (app)")))))</f>
        <v/>
      </c>
      <c r="C879" s="20" t="inlineStr">
        <is>
          <t>R$ (ou texto se depender do fluxo)</t>
        </is>
      </c>
      <c r="D879" s="21" t="inlineStr">
        <is>
          <t>calculado</t>
        </is>
      </c>
    </row>
    <row r="880">
      <c r="A880" s="18" t="inlineStr">
        <is>
          <t>Custo 16 — equivalente em R$</t>
        </is>
      </c>
      <c r="B880" s="24">
        <f>IF($B$480="","",IF($B$480="rs",N($B$481),IF($B$480="rs_m2_priv",N($B$481)*$B$799,IF($B$480="rs_m2_terreno",N($B$481)*N($B$15),IF($B$480="pct_vgv",N($B$482)*$B$801,"depende do fluxo (app)")))))</f>
        <v/>
      </c>
      <c r="C880" s="20" t="inlineStr">
        <is>
          <t>R$ (ou texto se depender do fluxo)</t>
        </is>
      </c>
      <c r="D880" s="21" t="inlineStr">
        <is>
          <t>calculado</t>
        </is>
      </c>
    </row>
    <row r="881">
      <c r="A881" s="18" t="inlineStr">
        <is>
          <t>Custo 17 — equivalente em R$</t>
        </is>
      </c>
      <c r="B881" s="24">
        <f>IF($B$491="","",IF($B$491="rs",N($B$492),IF($B$491="rs_m2_priv",N($B$492)*$B$799,IF($B$491="rs_m2_terreno",N($B$492)*N($B$15),IF($B$491="pct_vgv",N($B$493)*$B$801,"depende do fluxo (app)")))))</f>
        <v/>
      </c>
      <c r="C881" s="20" t="inlineStr">
        <is>
          <t>R$ (ou texto se depender do fluxo)</t>
        </is>
      </c>
      <c r="D881" s="21" t="inlineStr">
        <is>
          <t>calculado</t>
        </is>
      </c>
    </row>
    <row r="882">
      <c r="A882" s="18" t="inlineStr">
        <is>
          <t>Custo 18 — equivalente em R$</t>
        </is>
      </c>
      <c r="B882" s="24">
        <f>IF($B$502="","",IF($B$502="rs",N($B$503),IF($B$502="rs_m2_priv",N($B$503)*$B$799,IF($B$502="rs_m2_terreno",N($B$503)*N($B$15),IF($B$502="pct_vgv",N($B$504)*$B$801,"depende do fluxo (app)")))))</f>
        <v/>
      </c>
      <c r="C882" s="20" t="inlineStr">
        <is>
          <t>R$ (ou texto se depender do fluxo)</t>
        </is>
      </c>
      <c r="D882" s="21" t="inlineStr">
        <is>
          <t>calculado</t>
        </is>
      </c>
    </row>
    <row r="883">
      <c r="A883" s="18" t="inlineStr">
        <is>
          <t>Custo 19 — equivalente em R$</t>
        </is>
      </c>
      <c r="B883" s="24">
        <f>IF($B$513="","",IF($B$513="rs",N($B$514),IF($B$513="rs_m2_priv",N($B$514)*$B$799,IF($B$513="rs_m2_terreno",N($B$514)*N($B$15),IF($B$513="pct_vgv",N($B$515)*$B$801,"depende do fluxo (app)")))))</f>
        <v/>
      </c>
      <c r="C883" s="20" t="inlineStr">
        <is>
          <t>R$ (ou texto se depender do fluxo)</t>
        </is>
      </c>
      <c r="D883" s="21" t="inlineStr">
        <is>
          <t>calculado</t>
        </is>
      </c>
    </row>
    <row r="884">
      <c r="A884" s="18" t="inlineStr">
        <is>
          <t>Custo 20 — equivalente em R$</t>
        </is>
      </c>
      <c r="B884" s="24">
        <f>IF($B$524="","",IF($B$524="rs",N($B$525),IF($B$524="rs_m2_priv",N($B$525)*$B$799,IF($B$524="rs_m2_terreno",N($B$525)*N($B$15),IF($B$524="pct_vgv",N($B$526)*$B$801,"depende do fluxo (app)")))))</f>
        <v/>
      </c>
      <c r="C884" s="20" t="inlineStr">
        <is>
          <t>R$ (ou texto se depender do fluxo)</t>
        </is>
      </c>
      <c r="D884" s="21" t="inlineStr">
        <is>
          <t>calculado</t>
        </is>
      </c>
    </row>
    <row r="885">
      <c r="A885" s="18" t="inlineStr">
        <is>
          <t>Custo 21 — equivalente em R$</t>
        </is>
      </c>
      <c r="B885" s="24">
        <f>IF($B$535="","",IF($B$535="rs",N($B$536),IF($B$535="rs_m2_priv",N($B$536)*$B$799,IF($B$535="rs_m2_terreno",N($B$536)*N($B$15),IF($B$535="pct_vgv",N($B$537)*$B$801,"depende do fluxo (app)")))))</f>
        <v/>
      </c>
      <c r="C885" s="20" t="inlineStr">
        <is>
          <t>R$ (ou texto se depender do fluxo)</t>
        </is>
      </c>
      <c r="D885" s="21" t="inlineStr">
        <is>
          <t>calculado</t>
        </is>
      </c>
    </row>
    <row r="886">
      <c r="A886" s="18" t="inlineStr">
        <is>
          <t>Custo 22 — equivalente em R$</t>
        </is>
      </c>
      <c r="B886" s="24">
        <f>IF($B$546="","",IF($B$546="rs",N($B$547),IF($B$546="rs_m2_priv",N($B$547)*$B$799,IF($B$546="rs_m2_terreno",N($B$547)*N($B$15),IF($B$546="pct_vgv",N($B$548)*$B$801,"depende do fluxo (app)")))))</f>
        <v/>
      </c>
      <c r="C886" s="20" t="inlineStr">
        <is>
          <t>R$ (ou texto se depender do fluxo)</t>
        </is>
      </c>
      <c r="D886" s="21" t="inlineStr">
        <is>
          <t>calculado</t>
        </is>
      </c>
    </row>
    <row r="887">
      <c r="A887" s="18" t="inlineStr">
        <is>
          <t>Custo 23 — equivalente em R$</t>
        </is>
      </c>
      <c r="B887" s="24">
        <f>IF($B$557="","",IF($B$557="rs",N($B$558),IF($B$557="rs_m2_priv",N($B$558)*$B$799,IF($B$557="rs_m2_terreno",N($B$558)*N($B$15),IF($B$557="pct_vgv",N($B$559)*$B$801,"depende do fluxo (app)")))))</f>
        <v/>
      </c>
      <c r="C887" s="20" t="inlineStr">
        <is>
          <t>R$ (ou texto se depender do fluxo)</t>
        </is>
      </c>
      <c r="D887" s="21" t="inlineStr">
        <is>
          <t>calculado</t>
        </is>
      </c>
    </row>
    <row r="888">
      <c r="A888" s="18" t="inlineStr">
        <is>
          <t>Custo 24 — equivalente em R$</t>
        </is>
      </c>
      <c r="B888" s="24">
        <f>IF($B$568="","",IF($B$568="rs",N($B$569),IF($B$568="rs_m2_priv",N($B$569)*$B$799,IF($B$568="rs_m2_terreno",N($B$569)*N($B$15),IF($B$568="pct_vgv",N($B$570)*$B$801,"depende do fluxo (app)")))))</f>
        <v/>
      </c>
      <c r="C888" s="20" t="inlineStr">
        <is>
          <t>R$ (ou texto se depender do fluxo)</t>
        </is>
      </c>
      <c r="D888" s="21" t="inlineStr">
        <is>
          <t>calculado</t>
        </is>
      </c>
    </row>
    <row r="889">
      <c r="A889" s="18" t="inlineStr">
        <is>
          <t>Custo 25 — equivalente em R$</t>
        </is>
      </c>
      <c r="B889" s="24">
        <f>IF($B$579="","",IF($B$579="rs",N($B$580),IF($B$579="rs_m2_priv",N($B$580)*$B$799,IF($B$579="rs_m2_terreno",N($B$580)*N($B$15),IF($B$579="pct_vgv",N($B$581)*$B$801,"depende do fluxo (app)")))))</f>
        <v/>
      </c>
      <c r="C889" s="20" t="inlineStr">
        <is>
          <t>R$ (ou texto se depender do fluxo)</t>
        </is>
      </c>
      <c r="D889" s="21" t="inlineStr">
        <is>
          <t>calculado</t>
        </is>
      </c>
    </row>
    <row r="890">
      <c r="A890" s="18" t="inlineStr">
        <is>
          <t>Custo 26 — equivalente em R$</t>
        </is>
      </c>
      <c r="B890" s="24">
        <f>IF($B$590="","",IF($B$590="rs",N($B$591),IF($B$590="rs_m2_priv",N($B$591)*$B$799,IF($B$590="rs_m2_terreno",N($B$591)*N($B$15),IF($B$590="pct_vgv",N($B$592)*$B$801,"depende do fluxo (app)")))))</f>
        <v/>
      </c>
      <c r="C890" s="20" t="inlineStr">
        <is>
          <t>R$ (ou texto se depender do fluxo)</t>
        </is>
      </c>
      <c r="D890" s="21" t="inlineStr">
        <is>
          <t>calculado</t>
        </is>
      </c>
    </row>
    <row r="891">
      <c r="A891" s="18" t="inlineStr">
        <is>
          <t>Custo 27 — equivalente em R$</t>
        </is>
      </c>
      <c r="B891" s="24">
        <f>IF($B$601="","",IF($B$601="rs",N($B$602),IF($B$601="rs_m2_priv",N($B$602)*$B$799,IF($B$601="rs_m2_terreno",N($B$602)*N($B$15),IF($B$601="pct_vgv",N($B$603)*$B$801,"depende do fluxo (app)")))))</f>
        <v/>
      </c>
      <c r="C891" s="20" t="inlineStr">
        <is>
          <t>R$ (ou texto se depender do fluxo)</t>
        </is>
      </c>
      <c r="D891" s="21" t="inlineStr">
        <is>
          <t>calculado</t>
        </is>
      </c>
    </row>
    <row r="892">
      <c r="A892" s="18" t="inlineStr">
        <is>
          <t>Custo 28 — equivalente em R$</t>
        </is>
      </c>
      <c r="B892" s="24">
        <f>IF($B$612="","",IF($B$612="rs",N($B$613),IF($B$612="rs_m2_priv",N($B$613)*$B$799,IF($B$612="rs_m2_terreno",N($B$613)*N($B$15),IF($B$612="pct_vgv",N($B$614)*$B$801,"depende do fluxo (app)")))))</f>
        <v/>
      </c>
      <c r="C892" s="20" t="inlineStr">
        <is>
          <t>R$ (ou texto se depender do fluxo)</t>
        </is>
      </c>
      <c r="D892" s="21" t="inlineStr">
        <is>
          <t>calculado</t>
        </is>
      </c>
    </row>
    <row r="893">
      <c r="A893" s="18" t="inlineStr">
        <is>
          <t>Custo 1 — conferência</t>
        </is>
      </c>
      <c r="B893" s="23">
        <f>IF(AND($B$312="",$B$313=""),"",IF(OR($B$312="",$B$313="",$B$315=""),"⚠ falta grupo, categoria ou unidade",IF(NOT(OR(AND($B$312="terreno",$B$313="Preço",OR($B$315="rs",$B$315="rs_m2_terreno")),AND($B$312="terreno",$B$313="Registro",OR($B$315="rs",$B$315="rs_m2_priv")),AND($B$312="terreno",$B$313="Outro",OR($B$315="rs",$B$315="pct_vgv")),AND($B$312="obra",$B$313="Construção",OR($B$315="rs",$B$315="rs_m2_priv")),AND($B$312="obra",$B$313="Outorga",OR($B$315="rs",$B$315="pct_vgv")),AND($B$312="obra",$B$313="Decoração",OR($B$315="rs",$B$315="rs_m2_priv")),AND($B$312="obra",$B$313="Gestão da obra",OR($B$315="rs",$B$315="pct_obra")),AND($B$312="obra",$B$313="Contingência",OR($B$315="rs",$B$315="pct_vgv")),AND($B$312="obra",$B$313="Outro",OR($B$315="rs",$B$315="pct_vgv")),AND($B$312="diretos",$B$313="Marketing &amp; Publicidade",OR($B$315="rs",$B$315="pct_vgv",$B$315="pct_recebido")),AND($B$312="diretos",$B$313="Corretagem de vendas",OR($B$315="pct_vgv")),AND($B$312="diretos",$B$313="Projetos",OR($B$315="rs",$B$315="rs_m2_priv",$B$315="pct_constr")),AND($B$312="diretos",$B$313="Licenças e Aprovações",OR($B$315="rs",$B$315="rs_m2_priv")),AND($B$312="diretos",$B$313="Manutenção pós-obra",OR($B$315="rs",$B$315="pct_vgv",$B$315="pct_recebido")),AND($B$312="diretos",$B$313="Outro",OR($B$315="rs",$B$315="pct_vgv",$B$315="pct_recebido")),AND($B$312="indireto",$B$313="Marketing global",OR($B$315="rs",$B$315="pct_vgv",$B$315="pct_recebido")),AND($B$312="indireto",$B$313="Stand de vendas",OR($B$315="rs",$B$315="pct_vgv")),AND($B$312="indireto",$B$313="Gestão",OR($B$315="rs",$B$315="pct_vgv",$B$315="pct_recebido")),AND($B$312="indireto",$B$313="Outro",OR($B$315="rs",$B$315="pct_vgv",$B$315="pct_recebido")),AND($B$312="financeiro",$B$313="Juros de financiamento",OR($B$315="rs",$B$315="pct_vgv")),AND($B$312="financeiro",$B$313="Taxas bancárias",OR($B$315="rs",$B$315="pct_vgv")),AND($B$312="financeiro",$B$313="Estruturação de dívida",OR($B$315="rs",$B$315="pct_vgv")),AND($B$312="financeiro",$B$313="Investidores",OR($B$315="rs",$B$315="pct_vgv")),AND($B$312="financeiro",$B$313="Outro",OR($B$315="rs",$B$315="pct_vgv")))),"⚠ unidade não aceita nesta categoria",IF(AND($B$316&lt;&gt;"",$B$317&lt;&gt;""),"⚠ preencha só uma linha de valor",IF(IF(LEFT($B$315,3)="pct",$B$317="",$B$316=""),"⚠ falta o valor na linha certa","OK")))))</f>
        <v/>
      </c>
      <c r="C893" s="20" t="inlineStr">
        <is>
          <t>alerta</t>
        </is>
      </c>
      <c r="D893" s="21" t="inlineStr">
        <is>
          <t>calculado</t>
        </is>
      </c>
    </row>
    <row r="894">
      <c r="A894" s="18" t="inlineStr">
        <is>
          <t>Custo 2 — conferência</t>
        </is>
      </c>
      <c r="B894" s="23">
        <f>IF(AND($B$323="",$B$324=""),"",IF(OR($B$323="",$B$324="",$B$326=""),"⚠ falta grupo, categoria ou unidade",IF(NOT(OR(AND($B$323="terreno",$B$324="Preço",OR($B$326="rs",$B$326="rs_m2_terreno")),AND($B$323="terreno",$B$324="Registro",OR($B$326="rs",$B$326="rs_m2_priv")),AND($B$323="terreno",$B$324="Outro",OR($B$326="rs",$B$326="pct_vgv")),AND($B$323="obra",$B$324="Construção",OR($B$326="rs",$B$326="rs_m2_priv")),AND($B$323="obra",$B$324="Outorga",OR($B$326="rs",$B$326="pct_vgv")),AND($B$323="obra",$B$324="Decoração",OR($B$326="rs",$B$326="rs_m2_priv")),AND($B$323="obra",$B$324="Gestão da obra",OR($B$326="rs",$B$326="pct_obra")),AND($B$323="obra",$B$324="Contingência",OR($B$326="rs",$B$326="pct_vgv")),AND($B$323="obra",$B$324="Outro",OR($B$326="rs",$B$326="pct_vgv")),AND($B$323="diretos",$B$324="Marketing &amp; Publicidade",OR($B$326="rs",$B$326="pct_vgv",$B$326="pct_recebido")),AND($B$323="diretos",$B$324="Corretagem de vendas",OR($B$326="pct_vgv")),AND($B$323="diretos",$B$324="Projetos",OR($B$326="rs",$B$326="rs_m2_priv",$B$326="pct_constr")),AND($B$323="diretos",$B$324="Licenças e Aprovações",OR($B$326="rs",$B$326="rs_m2_priv")),AND($B$323="diretos",$B$324="Manutenção pós-obra",OR($B$326="rs",$B$326="pct_vgv",$B$326="pct_recebido")),AND($B$323="diretos",$B$324="Outro",OR($B$326="rs",$B$326="pct_vgv",$B$326="pct_recebido")),AND($B$323="indireto",$B$324="Marketing global",OR($B$326="rs",$B$326="pct_vgv",$B$326="pct_recebido")),AND($B$323="indireto",$B$324="Stand de vendas",OR($B$326="rs",$B$326="pct_vgv")),AND($B$323="indireto",$B$324="Gestão",OR($B$326="rs",$B$326="pct_vgv",$B$326="pct_recebido")),AND($B$323="indireto",$B$324="Outro",OR($B$326="rs",$B$326="pct_vgv",$B$326="pct_recebido")),AND($B$323="financeiro",$B$324="Juros de financiamento",OR($B$326="rs",$B$326="pct_vgv")),AND($B$323="financeiro",$B$324="Taxas bancárias",OR($B$326="rs",$B$326="pct_vgv")),AND($B$323="financeiro",$B$324="Estruturação de dívida",OR($B$326="rs",$B$326="pct_vgv")),AND($B$323="financeiro",$B$324="Investidores",OR($B$326="rs",$B$326="pct_vgv")),AND($B$323="financeiro",$B$324="Outro",OR($B$326="rs",$B$326="pct_vgv")))),"⚠ unidade não aceita nesta categoria",IF(AND($B$327&lt;&gt;"",$B$328&lt;&gt;""),"⚠ preencha só uma linha de valor",IF(IF(LEFT($B$326,3)="pct",$B$328="",$B$327=""),"⚠ falta o valor na linha certa","OK")))))</f>
        <v/>
      </c>
      <c r="C894" s="20" t="inlineStr">
        <is>
          <t>alerta</t>
        </is>
      </c>
      <c r="D894" s="21" t="inlineStr">
        <is>
          <t>calculado</t>
        </is>
      </c>
    </row>
    <row r="895">
      <c r="A895" s="18" t="inlineStr">
        <is>
          <t>Custo 3 — conferência</t>
        </is>
      </c>
      <c r="B895" s="23">
        <f>IF(AND($B$334="",$B$335=""),"",IF(OR($B$334="",$B$335="",$B$337=""),"⚠ falta grupo, categoria ou unidade",IF(NOT(OR(AND($B$334="terreno",$B$335="Preço",OR($B$337="rs",$B$337="rs_m2_terreno")),AND($B$334="terreno",$B$335="Registro",OR($B$337="rs",$B$337="rs_m2_priv")),AND($B$334="terreno",$B$335="Outro",OR($B$337="rs",$B$337="pct_vgv")),AND($B$334="obra",$B$335="Construção",OR($B$337="rs",$B$337="rs_m2_priv")),AND($B$334="obra",$B$335="Outorga",OR($B$337="rs",$B$337="pct_vgv")),AND($B$334="obra",$B$335="Decoração",OR($B$337="rs",$B$337="rs_m2_priv")),AND($B$334="obra",$B$335="Gestão da obra",OR($B$337="rs",$B$337="pct_obra")),AND($B$334="obra",$B$335="Contingência",OR($B$337="rs",$B$337="pct_vgv")),AND($B$334="obra",$B$335="Outro",OR($B$337="rs",$B$337="pct_vgv")),AND($B$334="diretos",$B$335="Marketing &amp; Publicidade",OR($B$337="rs",$B$337="pct_vgv",$B$337="pct_recebido")),AND($B$334="diretos",$B$335="Corretagem de vendas",OR($B$337="pct_vgv")),AND($B$334="diretos",$B$335="Projetos",OR($B$337="rs",$B$337="rs_m2_priv",$B$337="pct_constr")),AND($B$334="diretos",$B$335="Licenças e Aprovações",OR($B$337="rs",$B$337="rs_m2_priv")),AND($B$334="diretos",$B$335="Manutenção pós-obra",OR($B$337="rs",$B$337="pct_vgv",$B$337="pct_recebido")),AND($B$334="diretos",$B$335="Outro",OR($B$337="rs",$B$337="pct_vgv",$B$337="pct_recebido")),AND($B$334="indireto",$B$335="Marketing global",OR($B$337="rs",$B$337="pct_vgv",$B$337="pct_recebido")),AND($B$334="indireto",$B$335="Stand de vendas",OR($B$337="rs",$B$337="pct_vgv")),AND($B$334="indireto",$B$335="Gestão",OR($B$337="rs",$B$337="pct_vgv",$B$337="pct_recebido")),AND($B$334="indireto",$B$335="Outro",OR($B$337="rs",$B$337="pct_vgv",$B$337="pct_recebido")),AND($B$334="financeiro",$B$335="Juros de financiamento",OR($B$337="rs",$B$337="pct_vgv")),AND($B$334="financeiro",$B$335="Taxas bancárias",OR($B$337="rs",$B$337="pct_vgv")),AND($B$334="financeiro",$B$335="Estruturação de dívida",OR($B$337="rs",$B$337="pct_vgv")),AND($B$334="financeiro",$B$335="Investidores",OR($B$337="rs",$B$337="pct_vgv")),AND($B$334="financeiro",$B$335="Outro",OR($B$337="rs",$B$337="pct_vgv")))),"⚠ unidade não aceita nesta categoria",IF(AND($B$338&lt;&gt;"",$B$339&lt;&gt;""),"⚠ preencha só uma linha de valor",IF(IF(LEFT($B$337,3)="pct",$B$339="",$B$338=""),"⚠ falta o valor na linha certa","OK")))))</f>
        <v/>
      </c>
      <c r="C895" s="20" t="inlineStr">
        <is>
          <t>alerta</t>
        </is>
      </c>
      <c r="D895" s="21" t="inlineStr">
        <is>
          <t>calculado</t>
        </is>
      </c>
    </row>
    <row r="896">
      <c r="A896" s="18" t="inlineStr">
        <is>
          <t>Custo 4 — conferência</t>
        </is>
      </c>
      <c r="B896" s="23">
        <f>IF(AND($B$345="",$B$346=""),"",IF(OR($B$345="",$B$346="",$B$348=""),"⚠ falta grupo, categoria ou unidade",IF(NOT(OR(AND($B$345="terreno",$B$346="Preço",OR($B$348="rs",$B$348="rs_m2_terreno")),AND($B$345="terreno",$B$346="Registro",OR($B$348="rs",$B$348="rs_m2_priv")),AND($B$345="terreno",$B$346="Outro",OR($B$348="rs",$B$348="pct_vgv")),AND($B$345="obra",$B$346="Construção",OR($B$348="rs",$B$348="rs_m2_priv")),AND($B$345="obra",$B$346="Outorga",OR($B$348="rs",$B$348="pct_vgv")),AND($B$345="obra",$B$346="Decoração",OR($B$348="rs",$B$348="rs_m2_priv")),AND($B$345="obra",$B$346="Gestão da obra",OR($B$348="rs",$B$348="pct_obra")),AND($B$345="obra",$B$346="Contingência",OR($B$348="rs",$B$348="pct_vgv")),AND($B$345="obra",$B$346="Outro",OR($B$348="rs",$B$348="pct_vgv")),AND($B$345="diretos",$B$346="Marketing &amp; Publicidade",OR($B$348="rs",$B$348="pct_vgv",$B$348="pct_recebido")),AND($B$345="diretos",$B$346="Corretagem de vendas",OR($B$348="pct_vgv")),AND($B$345="diretos",$B$346="Projetos",OR($B$348="rs",$B$348="rs_m2_priv",$B$348="pct_constr")),AND($B$345="diretos",$B$346="Licenças e Aprovações",OR($B$348="rs",$B$348="rs_m2_priv")),AND($B$345="diretos",$B$346="Manutenção pós-obra",OR($B$348="rs",$B$348="pct_vgv",$B$348="pct_recebido")),AND($B$345="diretos",$B$346="Outro",OR($B$348="rs",$B$348="pct_vgv",$B$348="pct_recebido")),AND($B$345="indireto",$B$346="Marketing global",OR($B$348="rs",$B$348="pct_vgv",$B$348="pct_recebido")),AND($B$345="indireto",$B$346="Stand de vendas",OR($B$348="rs",$B$348="pct_vgv")),AND($B$345="indireto",$B$346="Gestão",OR($B$348="rs",$B$348="pct_vgv",$B$348="pct_recebido")),AND($B$345="indireto",$B$346="Outro",OR($B$348="rs",$B$348="pct_vgv",$B$348="pct_recebido")),AND($B$345="financeiro",$B$346="Juros de financiamento",OR($B$348="rs",$B$348="pct_vgv")),AND($B$345="financeiro",$B$346="Taxas bancárias",OR($B$348="rs",$B$348="pct_vgv")),AND($B$345="financeiro",$B$346="Estruturação de dívida",OR($B$348="rs",$B$348="pct_vgv")),AND($B$345="financeiro",$B$346="Investidores",OR($B$348="rs",$B$348="pct_vgv")),AND($B$345="financeiro",$B$346="Outro",OR($B$348="rs",$B$348="pct_vgv")))),"⚠ unidade não aceita nesta categoria",IF(AND($B$349&lt;&gt;"",$B$350&lt;&gt;""),"⚠ preencha só uma linha de valor",IF(IF(LEFT($B$348,3)="pct",$B$350="",$B$349=""),"⚠ falta o valor na linha certa","OK")))))</f>
        <v/>
      </c>
      <c r="C896" s="20" t="inlineStr">
        <is>
          <t>alerta</t>
        </is>
      </c>
      <c r="D896" s="21" t="inlineStr">
        <is>
          <t>calculado</t>
        </is>
      </c>
    </row>
    <row r="897">
      <c r="A897" s="18" t="inlineStr">
        <is>
          <t>Custo 5 — conferência</t>
        </is>
      </c>
      <c r="B897" s="23">
        <f>IF(AND($B$356="",$B$357=""),"",IF(OR($B$356="",$B$357="",$B$359=""),"⚠ falta grupo, categoria ou unidade",IF(NOT(OR(AND($B$356="terreno",$B$357="Preço",OR($B$359="rs",$B$359="rs_m2_terreno")),AND($B$356="terreno",$B$357="Registro",OR($B$359="rs",$B$359="rs_m2_priv")),AND($B$356="terreno",$B$357="Outro",OR($B$359="rs",$B$359="pct_vgv")),AND($B$356="obra",$B$357="Construção",OR($B$359="rs",$B$359="rs_m2_priv")),AND($B$356="obra",$B$357="Outorga",OR($B$359="rs",$B$359="pct_vgv")),AND($B$356="obra",$B$357="Decoração",OR($B$359="rs",$B$359="rs_m2_priv")),AND($B$356="obra",$B$357="Gestão da obra",OR($B$359="rs",$B$359="pct_obra")),AND($B$356="obra",$B$357="Contingência",OR($B$359="rs",$B$359="pct_vgv")),AND($B$356="obra",$B$357="Outro",OR($B$359="rs",$B$359="pct_vgv")),AND($B$356="diretos",$B$357="Marketing &amp; Publicidade",OR($B$359="rs",$B$359="pct_vgv",$B$359="pct_recebido")),AND($B$356="diretos",$B$357="Corretagem de vendas",OR($B$359="pct_vgv")),AND($B$356="diretos",$B$357="Projetos",OR($B$359="rs",$B$359="rs_m2_priv",$B$359="pct_constr")),AND($B$356="diretos",$B$357="Licenças e Aprovações",OR($B$359="rs",$B$359="rs_m2_priv")),AND($B$356="diretos",$B$357="Manutenção pós-obra",OR($B$359="rs",$B$359="pct_vgv",$B$359="pct_recebido")),AND($B$356="diretos",$B$357="Outro",OR($B$359="rs",$B$359="pct_vgv",$B$359="pct_recebido")),AND($B$356="indireto",$B$357="Marketing global",OR($B$359="rs",$B$359="pct_vgv",$B$359="pct_recebido")),AND($B$356="indireto",$B$357="Stand de vendas",OR($B$359="rs",$B$359="pct_vgv")),AND($B$356="indireto",$B$357="Gestão",OR($B$359="rs",$B$359="pct_vgv",$B$359="pct_recebido")),AND($B$356="indireto",$B$357="Outro",OR($B$359="rs",$B$359="pct_vgv",$B$359="pct_recebido")),AND($B$356="financeiro",$B$357="Juros de financiamento",OR($B$359="rs",$B$359="pct_vgv")),AND($B$356="financeiro",$B$357="Taxas bancárias",OR($B$359="rs",$B$359="pct_vgv")),AND($B$356="financeiro",$B$357="Estruturação de dívida",OR($B$359="rs",$B$359="pct_vgv")),AND($B$356="financeiro",$B$357="Investidores",OR($B$359="rs",$B$359="pct_vgv")),AND($B$356="financeiro",$B$357="Outro",OR($B$359="rs",$B$359="pct_vgv")))),"⚠ unidade não aceita nesta categoria",IF(AND($B$360&lt;&gt;"",$B$361&lt;&gt;""),"⚠ preencha só uma linha de valor",IF(IF(LEFT($B$359,3)="pct",$B$361="",$B$360=""),"⚠ falta o valor na linha certa","OK")))))</f>
        <v/>
      </c>
      <c r="C897" s="20" t="inlineStr">
        <is>
          <t>alerta</t>
        </is>
      </c>
      <c r="D897" s="21" t="inlineStr">
        <is>
          <t>calculado</t>
        </is>
      </c>
    </row>
    <row r="898">
      <c r="A898" s="18" t="inlineStr">
        <is>
          <t>Custo 6 — conferência</t>
        </is>
      </c>
      <c r="B898" s="23">
        <f>IF(AND($B$367="",$B$368=""),"",IF(OR($B$367="",$B$368="",$B$370=""),"⚠ falta grupo, categoria ou unidade",IF(NOT(OR(AND($B$367="terreno",$B$368="Preço",OR($B$370="rs",$B$370="rs_m2_terreno")),AND($B$367="terreno",$B$368="Registro",OR($B$370="rs",$B$370="rs_m2_priv")),AND($B$367="terreno",$B$368="Outro",OR($B$370="rs",$B$370="pct_vgv")),AND($B$367="obra",$B$368="Construção",OR($B$370="rs",$B$370="rs_m2_priv")),AND($B$367="obra",$B$368="Outorga",OR($B$370="rs",$B$370="pct_vgv")),AND($B$367="obra",$B$368="Decoração",OR($B$370="rs",$B$370="rs_m2_priv")),AND($B$367="obra",$B$368="Gestão da obra",OR($B$370="rs",$B$370="pct_obra")),AND($B$367="obra",$B$368="Contingência",OR($B$370="rs",$B$370="pct_vgv")),AND($B$367="obra",$B$368="Outro",OR($B$370="rs",$B$370="pct_vgv")),AND($B$367="diretos",$B$368="Marketing &amp; Publicidade",OR($B$370="rs",$B$370="pct_vgv",$B$370="pct_recebido")),AND($B$367="diretos",$B$368="Corretagem de vendas",OR($B$370="pct_vgv")),AND($B$367="diretos",$B$368="Projetos",OR($B$370="rs",$B$370="rs_m2_priv",$B$370="pct_constr")),AND($B$367="diretos",$B$368="Licenças e Aprovações",OR($B$370="rs",$B$370="rs_m2_priv")),AND($B$367="diretos",$B$368="Manutenção pós-obra",OR($B$370="rs",$B$370="pct_vgv",$B$370="pct_recebido")),AND($B$367="diretos",$B$368="Outro",OR($B$370="rs",$B$370="pct_vgv",$B$370="pct_recebido")),AND($B$367="indireto",$B$368="Marketing global",OR($B$370="rs",$B$370="pct_vgv",$B$370="pct_recebido")),AND($B$367="indireto",$B$368="Stand de vendas",OR($B$370="rs",$B$370="pct_vgv")),AND($B$367="indireto",$B$368="Gestão",OR($B$370="rs",$B$370="pct_vgv",$B$370="pct_recebido")),AND($B$367="indireto",$B$368="Outro",OR($B$370="rs",$B$370="pct_vgv",$B$370="pct_recebido")),AND($B$367="financeiro",$B$368="Juros de financiamento",OR($B$370="rs",$B$370="pct_vgv")),AND($B$367="financeiro",$B$368="Taxas bancárias",OR($B$370="rs",$B$370="pct_vgv")),AND($B$367="financeiro",$B$368="Estruturação de dívida",OR($B$370="rs",$B$370="pct_vgv")),AND($B$367="financeiro",$B$368="Investidores",OR($B$370="rs",$B$370="pct_vgv")),AND($B$367="financeiro",$B$368="Outro",OR($B$370="rs",$B$370="pct_vgv")))),"⚠ unidade não aceita nesta categoria",IF(AND($B$371&lt;&gt;"",$B$372&lt;&gt;""),"⚠ preencha só uma linha de valor",IF(IF(LEFT($B$370,3)="pct",$B$372="",$B$371=""),"⚠ falta o valor na linha certa","OK")))))</f>
        <v/>
      </c>
      <c r="C898" s="20" t="inlineStr">
        <is>
          <t>alerta</t>
        </is>
      </c>
      <c r="D898" s="21" t="inlineStr">
        <is>
          <t>calculado</t>
        </is>
      </c>
    </row>
    <row r="899">
      <c r="A899" s="18" t="inlineStr">
        <is>
          <t>Custo 7 — conferência</t>
        </is>
      </c>
      <c r="B899" s="23">
        <f>IF(AND($B$378="",$B$379=""),"",IF(OR($B$378="",$B$379="",$B$381=""),"⚠ falta grupo, categoria ou unidade",IF(NOT(OR(AND($B$378="terreno",$B$379="Preço",OR($B$381="rs",$B$381="rs_m2_terreno")),AND($B$378="terreno",$B$379="Registro",OR($B$381="rs",$B$381="rs_m2_priv")),AND($B$378="terreno",$B$379="Outro",OR($B$381="rs",$B$381="pct_vgv")),AND($B$378="obra",$B$379="Construção",OR($B$381="rs",$B$381="rs_m2_priv")),AND($B$378="obra",$B$379="Outorga",OR($B$381="rs",$B$381="pct_vgv")),AND($B$378="obra",$B$379="Decoração",OR($B$381="rs",$B$381="rs_m2_priv")),AND($B$378="obra",$B$379="Gestão da obra",OR($B$381="rs",$B$381="pct_obra")),AND($B$378="obra",$B$379="Contingência",OR($B$381="rs",$B$381="pct_vgv")),AND($B$378="obra",$B$379="Outro",OR($B$381="rs",$B$381="pct_vgv")),AND($B$378="diretos",$B$379="Marketing &amp; Publicidade",OR($B$381="rs",$B$381="pct_vgv",$B$381="pct_recebido")),AND($B$378="diretos",$B$379="Corretagem de vendas",OR($B$381="pct_vgv")),AND($B$378="diretos",$B$379="Projetos",OR($B$381="rs",$B$381="rs_m2_priv",$B$381="pct_constr")),AND($B$378="diretos",$B$379="Licenças e Aprovações",OR($B$381="rs",$B$381="rs_m2_priv")),AND($B$378="diretos",$B$379="Manutenção pós-obra",OR($B$381="rs",$B$381="pct_vgv",$B$381="pct_recebido")),AND($B$378="diretos",$B$379="Outro",OR($B$381="rs",$B$381="pct_vgv",$B$381="pct_recebido")),AND($B$378="indireto",$B$379="Marketing global",OR($B$381="rs",$B$381="pct_vgv",$B$381="pct_recebido")),AND($B$378="indireto",$B$379="Stand de vendas",OR($B$381="rs",$B$381="pct_vgv")),AND($B$378="indireto",$B$379="Gestão",OR($B$381="rs",$B$381="pct_vgv",$B$381="pct_recebido")),AND($B$378="indireto",$B$379="Outro",OR($B$381="rs",$B$381="pct_vgv",$B$381="pct_recebido")),AND($B$378="financeiro",$B$379="Juros de financiamento",OR($B$381="rs",$B$381="pct_vgv")),AND($B$378="financeiro",$B$379="Taxas bancárias",OR($B$381="rs",$B$381="pct_vgv")),AND($B$378="financeiro",$B$379="Estruturação de dívida",OR($B$381="rs",$B$381="pct_vgv")),AND($B$378="financeiro",$B$379="Investidores",OR($B$381="rs",$B$381="pct_vgv")),AND($B$378="financeiro",$B$379="Outro",OR($B$381="rs",$B$381="pct_vgv")))),"⚠ unidade não aceita nesta categoria",IF(AND($B$382&lt;&gt;"",$B$383&lt;&gt;""),"⚠ preencha só uma linha de valor",IF(IF(LEFT($B$381,3)="pct",$B$383="",$B$382=""),"⚠ falta o valor na linha certa","OK")))))</f>
        <v/>
      </c>
      <c r="C899" s="20" t="inlineStr">
        <is>
          <t>alerta</t>
        </is>
      </c>
      <c r="D899" s="21" t="inlineStr">
        <is>
          <t>calculado</t>
        </is>
      </c>
    </row>
    <row r="900">
      <c r="A900" s="18" t="inlineStr">
        <is>
          <t>Custo 8 — conferência</t>
        </is>
      </c>
      <c r="B900" s="23">
        <f>IF(AND($B$389="",$B$390=""),"",IF(OR($B$389="",$B$390="",$B$392=""),"⚠ falta grupo, categoria ou unidade",IF(NOT(OR(AND($B$389="terreno",$B$390="Preço",OR($B$392="rs",$B$392="rs_m2_terreno")),AND($B$389="terreno",$B$390="Registro",OR($B$392="rs",$B$392="rs_m2_priv")),AND($B$389="terreno",$B$390="Outro",OR($B$392="rs",$B$392="pct_vgv")),AND($B$389="obra",$B$390="Construção",OR($B$392="rs",$B$392="rs_m2_priv")),AND($B$389="obra",$B$390="Outorga",OR($B$392="rs",$B$392="pct_vgv")),AND($B$389="obra",$B$390="Decoração",OR($B$392="rs",$B$392="rs_m2_priv")),AND($B$389="obra",$B$390="Gestão da obra",OR($B$392="rs",$B$392="pct_obra")),AND($B$389="obra",$B$390="Contingência",OR($B$392="rs",$B$392="pct_vgv")),AND($B$389="obra",$B$390="Outro",OR($B$392="rs",$B$392="pct_vgv")),AND($B$389="diretos",$B$390="Marketing &amp; Publicidade",OR($B$392="rs",$B$392="pct_vgv",$B$392="pct_recebido")),AND($B$389="diretos",$B$390="Corretagem de vendas",OR($B$392="pct_vgv")),AND($B$389="diretos",$B$390="Projetos",OR($B$392="rs",$B$392="rs_m2_priv",$B$392="pct_constr")),AND($B$389="diretos",$B$390="Licenças e Aprovações",OR($B$392="rs",$B$392="rs_m2_priv")),AND($B$389="diretos",$B$390="Manutenção pós-obra",OR($B$392="rs",$B$392="pct_vgv",$B$392="pct_recebido")),AND($B$389="diretos",$B$390="Outro",OR($B$392="rs",$B$392="pct_vgv",$B$392="pct_recebido")),AND($B$389="indireto",$B$390="Marketing global",OR($B$392="rs",$B$392="pct_vgv",$B$392="pct_recebido")),AND($B$389="indireto",$B$390="Stand de vendas",OR($B$392="rs",$B$392="pct_vgv")),AND($B$389="indireto",$B$390="Gestão",OR($B$392="rs",$B$392="pct_vgv",$B$392="pct_recebido")),AND($B$389="indireto",$B$390="Outro",OR($B$392="rs",$B$392="pct_vgv",$B$392="pct_recebido")),AND($B$389="financeiro",$B$390="Juros de financiamento",OR($B$392="rs",$B$392="pct_vgv")),AND($B$389="financeiro",$B$390="Taxas bancárias",OR($B$392="rs",$B$392="pct_vgv")),AND($B$389="financeiro",$B$390="Estruturação de dívida",OR($B$392="rs",$B$392="pct_vgv")),AND($B$389="financeiro",$B$390="Investidores",OR($B$392="rs",$B$392="pct_vgv")),AND($B$389="financeiro",$B$390="Outro",OR($B$392="rs",$B$392="pct_vgv")))),"⚠ unidade não aceita nesta categoria",IF(AND($B$393&lt;&gt;"",$B$394&lt;&gt;""),"⚠ preencha só uma linha de valor",IF(IF(LEFT($B$392,3)="pct",$B$394="",$B$393=""),"⚠ falta o valor na linha certa","OK")))))</f>
        <v/>
      </c>
      <c r="C900" s="20" t="inlineStr">
        <is>
          <t>alerta</t>
        </is>
      </c>
      <c r="D900" s="21" t="inlineStr">
        <is>
          <t>calculado</t>
        </is>
      </c>
    </row>
    <row r="901">
      <c r="A901" s="18" t="inlineStr">
        <is>
          <t>Custo 9 — conferência</t>
        </is>
      </c>
      <c r="B901" s="23">
        <f>IF(AND($B$400="",$B$401=""),"",IF(OR($B$400="",$B$401="",$B$403=""),"⚠ falta grupo, categoria ou unidade",IF(NOT(OR(AND($B$400="terreno",$B$401="Preço",OR($B$403="rs",$B$403="rs_m2_terreno")),AND($B$400="terreno",$B$401="Registro",OR($B$403="rs",$B$403="rs_m2_priv")),AND($B$400="terreno",$B$401="Outro",OR($B$403="rs",$B$403="pct_vgv")),AND($B$400="obra",$B$401="Construção",OR($B$403="rs",$B$403="rs_m2_priv")),AND($B$400="obra",$B$401="Outorga",OR($B$403="rs",$B$403="pct_vgv")),AND($B$400="obra",$B$401="Decoração",OR($B$403="rs",$B$403="rs_m2_priv")),AND($B$400="obra",$B$401="Gestão da obra",OR($B$403="rs",$B$403="pct_obra")),AND($B$400="obra",$B$401="Contingência",OR($B$403="rs",$B$403="pct_vgv")),AND($B$400="obra",$B$401="Outro",OR($B$403="rs",$B$403="pct_vgv")),AND($B$400="diretos",$B$401="Marketing &amp; Publicidade",OR($B$403="rs",$B$403="pct_vgv",$B$403="pct_recebido")),AND($B$400="diretos",$B$401="Corretagem de vendas",OR($B$403="pct_vgv")),AND($B$400="diretos",$B$401="Projetos",OR($B$403="rs",$B$403="rs_m2_priv",$B$403="pct_constr")),AND($B$400="diretos",$B$401="Licenças e Aprovações",OR($B$403="rs",$B$403="rs_m2_priv")),AND($B$400="diretos",$B$401="Manutenção pós-obra",OR($B$403="rs",$B$403="pct_vgv",$B$403="pct_recebido")),AND($B$400="diretos",$B$401="Outro",OR($B$403="rs",$B$403="pct_vgv",$B$403="pct_recebido")),AND($B$400="indireto",$B$401="Marketing global",OR($B$403="rs",$B$403="pct_vgv",$B$403="pct_recebido")),AND($B$400="indireto",$B$401="Stand de vendas",OR($B$403="rs",$B$403="pct_vgv")),AND($B$400="indireto",$B$401="Gestão",OR($B$403="rs",$B$403="pct_vgv",$B$403="pct_recebido")),AND($B$400="indireto",$B$401="Outro",OR($B$403="rs",$B$403="pct_vgv",$B$403="pct_recebido")),AND($B$400="financeiro",$B$401="Juros de financiamento",OR($B$403="rs",$B$403="pct_vgv")),AND($B$400="financeiro",$B$401="Taxas bancárias",OR($B$403="rs",$B$403="pct_vgv")),AND($B$400="financeiro",$B$401="Estruturação de dívida",OR($B$403="rs",$B$403="pct_vgv")),AND($B$400="financeiro",$B$401="Investidores",OR($B$403="rs",$B$403="pct_vgv")),AND($B$400="financeiro",$B$401="Outro",OR($B$403="rs",$B$403="pct_vgv")))),"⚠ unidade não aceita nesta categoria",IF(AND($B$404&lt;&gt;"",$B$405&lt;&gt;""),"⚠ preencha só uma linha de valor",IF(IF(LEFT($B$403,3)="pct",$B$405="",$B$404=""),"⚠ falta o valor na linha certa","OK")))))</f>
        <v/>
      </c>
      <c r="C901" s="20" t="inlineStr">
        <is>
          <t>alerta</t>
        </is>
      </c>
      <c r="D901" s="21" t="inlineStr">
        <is>
          <t>calculado</t>
        </is>
      </c>
    </row>
    <row r="902">
      <c r="A902" s="18" t="inlineStr">
        <is>
          <t>Custo 10 — conferência</t>
        </is>
      </c>
      <c r="B902" s="23">
        <f>IF(AND($B$411="",$B$412=""),"",IF(OR($B$411="",$B$412="",$B$414=""),"⚠ falta grupo, categoria ou unidade",IF(NOT(OR(AND($B$411="terreno",$B$412="Preço",OR($B$414="rs",$B$414="rs_m2_terreno")),AND($B$411="terreno",$B$412="Registro",OR($B$414="rs",$B$414="rs_m2_priv")),AND($B$411="terreno",$B$412="Outro",OR($B$414="rs",$B$414="pct_vgv")),AND($B$411="obra",$B$412="Construção",OR($B$414="rs",$B$414="rs_m2_priv")),AND($B$411="obra",$B$412="Outorga",OR($B$414="rs",$B$414="pct_vgv")),AND($B$411="obra",$B$412="Decoração",OR($B$414="rs",$B$414="rs_m2_priv")),AND($B$411="obra",$B$412="Gestão da obra",OR($B$414="rs",$B$414="pct_obra")),AND($B$411="obra",$B$412="Contingência",OR($B$414="rs",$B$414="pct_vgv")),AND($B$411="obra",$B$412="Outro",OR($B$414="rs",$B$414="pct_vgv")),AND($B$411="diretos",$B$412="Marketing &amp; Publicidade",OR($B$414="rs",$B$414="pct_vgv",$B$414="pct_recebido")),AND($B$411="diretos",$B$412="Corretagem de vendas",OR($B$414="pct_vgv")),AND($B$411="diretos",$B$412="Projetos",OR($B$414="rs",$B$414="rs_m2_priv",$B$414="pct_constr")),AND($B$411="diretos",$B$412="Licenças e Aprovações",OR($B$414="rs",$B$414="rs_m2_priv")),AND($B$411="diretos",$B$412="Manutenção pós-obra",OR($B$414="rs",$B$414="pct_vgv",$B$414="pct_recebido")),AND($B$411="diretos",$B$412="Outro",OR($B$414="rs",$B$414="pct_vgv",$B$414="pct_recebido")),AND($B$411="indireto",$B$412="Marketing global",OR($B$414="rs",$B$414="pct_vgv",$B$414="pct_recebido")),AND($B$411="indireto",$B$412="Stand de vendas",OR($B$414="rs",$B$414="pct_vgv")),AND($B$411="indireto",$B$412="Gestão",OR($B$414="rs",$B$414="pct_vgv",$B$414="pct_recebido")),AND($B$411="indireto",$B$412="Outro",OR($B$414="rs",$B$414="pct_vgv",$B$414="pct_recebido")),AND($B$411="financeiro",$B$412="Juros de financiamento",OR($B$414="rs",$B$414="pct_vgv")),AND($B$411="financeiro",$B$412="Taxas bancárias",OR($B$414="rs",$B$414="pct_vgv")),AND($B$411="financeiro",$B$412="Estruturação de dívida",OR($B$414="rs",$B$414="pct_vgv")),AND($B$411="financeiro",$B$412="Investidores",OR($B$414="rs",$B$414="pct_vgv")),AND($B$411="financeiro",$B$412="Outro",OR($B$414="rs",$B$414="pct_vgv")))),"⚠ unidade não aceita nesta categoria",IF(AND($B$415&lt;&gt;"",$B$416&lt;&gt;""),"⚠ preencha só uma linha de valor",IF(IF(LEFT($B$414,3)="pct",$B$416="",$B$415=""),"⚠ falta o valor na linha certa","OK")))))</f>
        <v/>
      </c>
      <c r="C902" s="20" t="inlineStr">
        <is>
          <t>alerta</t>
        </is>
      </c>
      <c r="D902" s="21" t="inlineStr">
        <is>
          <t>calculado</t>
        </is>
      </c>
    </row>
    <row r="903">
      <c r="A903" s="18" t="inlineStr">
        <is>
          <t>Custo 11 — conferência</t>
        </is>
      </c>
      <c r="B903" s="23">
        <f>IF(AND($B$422="",$B$423=""),"",IF(OR($B$422="",$B$423="",$B$425=""),"⚠ falta grupo, categoria ou unidade",IF(NOT(OR(AND($B$422="terreno",$B$423="Preço",OR($B$425="rs",$B$425="rs_m2_terreno")),AND($B$422="terreno",$B$423="Registro",OR($B$425="rs",$B$425="rs_m2_priv")),AND($B$422="terreno",$B$423="Outro",OR($B$425="rs",$B$425="pct_vgv")),AND($B$422="obra",$B$423="Construção",OR($B$425="rs",$B$425="rs_m2_priv")),AND($B$422="obra",$B$423="Outorga",OR($B$425="rs",$B$425="pct_vgv")),AND($B$422="obra",$B$423="Decoração",OR($B$425="rs",$B$425="rs_m2_priv")),AND($B$422="obra",$B$423="Gestão da obra",OR($B$425="rs",$B$425="pct_obra")),AND($B$422="obra",$B$423="Contingência",OR($B$425="rs",$B$425="pct_vgv")),AND($B$422="obra",$B$423="Outro",OR($B$425="rs",$B$425="pct_vgv")),AND($B$422="diretos",$B$423="Marketing &amp; Publicidade",OR($B$425="rs",$B$425="pct_vgv",$B$425="pct_recebido")),AND($B$422="diretos",$B$423="Corretagem de vendas",OR($B$425="pct_vgv")),AND($B$422="diretos",$B$423="Projetos",OR($B$425="rs",$B$425="rs_m2_priv",$B$425="pct_constr")),AND($B$422="diretos",$B$423="Licenças e Aprovações",OR($B$425="rs",$B$425="rs_m2_priv")),AND($B$422="diretos",$B$423="Manutenção pós-obra",OR($B$425="rs",$B$425="pct_vgv",$B$425="pct_recebido")),AND($B$422="diretos",$B$423="Outro",OR($B$425="rs",$B$425="pct_vgv",$B$425="pct_recebido")),AND($B$422="indireto",$B$423="Marketing global",OR($B$425="rs",$B$425="pct_vgv",$B$425="pct_recebido")),AND($B$422="indireto",$B$423="Stand de vendas",OR($B$425="rs",$B$425="pct_vgv")),AND($B$422="indireto",$B$423="Gestão",OR($B$425="rs",$B$425="pct_vgv",$B$425="pct_recebido")),AND($B$422="indireto",$B$423="Outro",OR($B$425="rs",$B$425="pct_vgv",$B$425="pct_recebido")),AND($B$422="financeiro",$B$423="Juros de financiamento",OR($B$425="rs",$B$425="pct_vgv")),AND($B$422="financeiro",$B$423="Taxas bancárias",OR($B$425="rs",$B$425="pct_vgv")),AND($B$422="financeiro",$B$423="Estruturação de dívida",OR($B$425="rs",$B$425="pct_vgv")),AND($B$422="financeiro",$B$423="Investidores",OR($B$425="rs",$B$425="pct_vgv")),AND($B$422="financeiro",$B$423="Outro",OR($B$425="rs",$B$425="pct_vgv")))),"⚠ unidade não aceita nesta categoria",IF(AND($B$426&lt;&gt;"",$B$427&lt;&gt;""),"⚠ preencha só uma linha de valor",IF(IF(LEFT($B$425,3)="pct",$B$427="",$B$426=""),"⚠ falta o valor na linha certa","OK")))))</f>
        <v/>
      </c>
      <c r="C903" s="20" t="inlineStr">
        <is>
          <t>alerta</t>
        </is>
      </c>
      <c r="D903" s="21" t="inlineStr">
        <is>
          <t>calculado</t>
        </is>
      </c>
    </row>
    <row r="904">
      <c r="A904" s="18" t="inlineStr">
        <is>
          <t>Custo 12 — conferência</t>
        </is>
      </c>
      <c r="B904" s="23">
        <f>IF(AND($B$433="",$B$434=""),"",IF(OR($B$433="",$B$434="",$B$436=""),"⚠ falta grupo, categoria ou unidade",IF(NOT(OR(AND($B$433="terreno",$B$434="Preço",OR($B$436="rs",$B$436="rs_m2_terreno")),AND($B$433="terreno",$B$434="Registro",OR($B$436="rs",$B$436="rs_m2_priv")),AND($B$433="terreno",$B$434="Outro",OR($B$436="rs",$B$436="pct_vgv")),AND($B$433="obra",$B$434="Construção",OR($B$436="rs",$B$436="rs_m2_priv")),AND($B$433="obra",$B$434="Outorga",OR($B$436="rs",$B$436="pct_vgv")),AND($B$433="obra",$B$434="Decoração",OR($B$436="rs",$B$436="rs_m2_priv")),AND($B$433="obra",$B$434="Gestão da obra",OR($B$436="rs",$B$436="pct_obra")),AND($B$433="obra",$B$434="Contingência",OR($B$436="rs",$B$436="pct_vgv")),AND($B$433="obra",$B$434="Outro",OR($B$436="rs",$B$436="pct_vgv")),AND($B$433="diretos",$B$434="Marketing &amp; Publicidade",OR($B$436="rs",$B$436="pct_vgv",$B$436="pct_recebido")),AND($B$433="diretos",$B$434="Corretagem de vendas",OR($B$436="pct_vgv")),AND($B$433="diretos",$B$434="Projetos",OR($B$436="rs",$B$436="rs_m2_priv",$B$436="pct_constr")),AND($B$433="diretos",$B$434="Licenças e Aprovações",OR($B$436="rs",$B$436="rs_m2_priv")),AND($B$433="diretos",$B$434="Manutenção pós-obra",OR($B$436="rs",$B$436="pct_vgv",$B$436="pct_recebido")),AND($B$433="diretos",$B$434="Outro",OR($B$436="rs",$B$436="pct_vgv",$B$436="pct_recebido")),AND($B$433="indireto",$B$434="Marketing global",OR($B$436="rs",$B$436="pct_vgv",$B$436="pct_recebido")),AND($B$433="indireto",$B$434="Stand de vendas",OR($B$436="rs",$B$436="pct_vgv")),AND($B$433="indireto",$B$434="Gestão",OR($B$436="rs",$B$436="pct_vgv",$B$436="pct_recebido")),AND($B$433="indireto",$B$434="Outro",OR($B$436="rs",$B$436="pct_vgv",$B$436="pct_recebido")),AND($B$433="financeiro",$B$434="Juros de financiamento",OR($B$436="rs",$B$436="pct_vgv")),AND($B$433="financeiro",$B$434="Taxas bancárias",OR($B$436="rs",$B$436="pct_vgv")),AND($B$433="financeiro",$B$434="Estruturação de dívida",OR($B$436="rs",$B$436="pct_vgv")),AND($B$433="financeiro",$B$434="Investidores",OR($B$436="rs",$B$436="pct_vgv")),AND($B$433="financeiro",$B$434="Outro",OR($B$436="rs",$B$436="pct_vgv")))),"⚠ unidade não aceita nesta categoria",IF(AND($B$437&lt;&gt;"",$B$438&lt;&gt;""),"⚠ preencha só uma linha de valor",IF(IF(LEFT($B$436,3)="pct",$B$438="",$B$437=""),"⚠ falta o valor na linha certa","OK")))))</f>
        <v/>
      </c>
      <c r="C904" s="20" t="inlineStr">
        <is>
          <t>alerta</t>
        </is>
      </c>
      <c r="D904" s="21" t="inlineStr">
        <is>
          <t>calculado</t>
        </is>
      </c>
    </row>
    <row r="905">
      <c r="A905" s="18" t="inlineStr">
        <is>
          <t>Custo 13 — conferência</t>
        </is>
      </c>
      <c r="B905" s="23">
        <f>IF(AND($B$444="",$B$445=""),"",IF(OR($B$444="",$B$445="",$B$447=""),"⚠ falta grupo, categoria ou unidade",IF(NOT(OR(AND($B$444="terreno",$B$445="Preço",OR($B$447="rs",$B$447="rs_m2_terreno")),AND($B$444="terreno",$B$445="Registro",OR($B$447="rs",$B$447="rs_m2_priv")),AND($B$444="terreno",$B$445="Outro",OR($B$447="rs",$B$447="pct_vgv")),AND($B$444="obra",$B$445="Construção",OR($B$447="rs",$B$447="rs_m2_priv")),AND($B$444="obra",$B$445="Outorga",OR($B$447="rs",$B$447="pct_vgv")),AND($B$444="obra",$B$445="Decoração",OR($B$447="rs",$B$447="rs_m2_priv")),AND($B$444="obra",$B$445="Gestão da obra",OR($B$447="rs",$B$447="pct_obra")),AND($B$444="obra",$B$445="Contingência",OR($B$447="rs",$B$447="pct_vgv")),AND($B$444="obra",$B$445="Outro",OR($B$447="rs",$B$447="pct_vgv")),AND($B$444="diretos",$B$445="Marketing &amp; Publicidade",OR($B$447="rs",$B$447="pct_vgv",$B$447="pct_recebido")),AND($B$444="diretos",$B$445="Corretagem de vendas",OR($B$447="pct_vgv")),AND($B$444="diretos",$B$445="Projetos",OR($B$447="rs",$B$447="rs_m2_priv",$B$447="pct_constr")),AND($B$444="diretos",$B$445="Licenças e Aprovações",OR($B$447="rs",$B$447="rs_m2_priv")),AND($B$444="diretos",$B$445="Manutenção pós-obra",OR($B$447="rs",$B$447="pct_vgv",$B$447="pct_recebido")),AND($B$444="diretos",$B$445="Outro",OR($B$447="rs",$B$447="pct_vgv",$B$447="pct_recebido")),AND($B$444="indireto",$B$445="Marketing global",OR($B$447="rs",$B$447="pct_vgv",$B$447="pct_recebido")),AND($B$444="indireto",$B$445="Stand de vendas",OR($B$447="rs",$B$447="pct_vgv")),AND($B$444="indireto",$B$445="Gestão",OR($B$447="rs",$B$447="pct_vgv",$B$447="pct_recebido")),AND($B$444="indireto",$B$445="Outro",OR($B$447="rs",$B$447="pct_vgv",$B$447="pct_recebido")),AND($B$444="financeiro",$B$445="Juros de financiamento",OR($B$447="rs",$B$447="pct_vgv")),AND($B$444="financeiro",$B$445="Taxas bancárias",OR($B$447="rs",$B$447="pct_vgv")),AND($B$444="financeiro",$B$445="Estruturação de dívida",OR($B$447="rs",$B$447="pct_vgv")),AND($B$444="financeiro",$B$445="Investidores",OR($B$447="rs",$B$447="pct_vgv")),AND($B$444="financeiro",$B$445="Outro",OR($B$447="rs",$B$447="pct_vgv")))),"⚠ unidade não aceita nesta categoria",IF(AND($B$448&lt;&gt;"",$B$449&lt;&gt;""),"⚠ preencha só uma linha de valor",IF(IF(LEFT($B$447,3)="pct",$B$449="",$B$448=""),"⚠ falta o valor na linha certa","OK")))))</f>
        <v/>
      </c>
      <c r="C905" s="20" t="inlineStr">
        <is>
          <t>alerta</t>
        </is>
      </c>
      <c r="D905" s="21" t="inlineStr">
        <is>
          <t>calculado</t>
        </is>
      </c>
    </row>
    <row r="906">
      <c r="A906" s="18" t="inlineStr">
        <is>
          <t>Custo 14 — conferência</t>
        </is>
      </c>
      <c r="B906" s="23">
        <f>IF(AND($B$455="",$B$456=""),"",IF(OR($B$455="",$B$456="",$B$458=""),"⚠ falta grupo, categoria ou unidade",IF(NOT(OR(AND($B$455="terreno",$B$456="Preço",OR($B$458="rs",$B$458="rs_m2_terreno")),AND($B$455="terreno",$B$456="Registro",OR($B$458="rs",$B$458="rs_m2_priv")),AND($B$455="terreno",$B$456="Outro",OR($B$458="rs",$B$458="pct_vgv")),AND($B$455="obra",$B$456="Construção",OR($B$458="rs",$B$458="rs_m2_priv")),AND($B$455="obra",$B$456="Outorga",OR($B$458="rs",$B$458="pct_vgv")),AND($B$455="obra",$B$456="Decoração",OR($B$458="rs",$B$458="rs_m2_priv")),AND($B$455="obra",$B$456="Gestão da obra",OR($B$458="rs",$B$458="pct_obra")),AND($B$455="obra",$B$456="Contingência",OR($B$458="rs",$B$458="pct_vgv")),AND($B$455="obra",$B$456="Outro",OR($B$458="rs",$B$458="pct_vgv")),AND($B$455="diretos",$B$456="Marketing &amp; Publicidade",OR($B$458="rs",$B$458="pct_vgv",$B$458="pct_recebido")),AND($B$455="diretos",$B$456="Corretagem de vendas",OR($B$458="pct_vgv")),AND($B$455="diretos",$B$456="Projetos",OR($B$458="rs",$B$458="rs_m2_priv",$B$458="pct_constr")),AND($B$455="diretos",$B$456="Licenças e Aprovações",OR($B$458="rs",$B$458="rs_m2_priv")),AND($B$455="diretos",$B$456="Manutenção pós-obra",OR($B$458="rs",$B$458="pct_vgv",$B$458="pct_recebido")),AND($B$455="diretos",$B$456="Outro",OR($B$458="rs",$B$458="pct_vgv",$B$458="pct_recebido")),AND($B$455="indireto",$B$456="Marketing global",OR($B$458="rs",$B$458="pct_vgv",$B$458="pct_recebido")),AND($B$455="indireto",$B$456="Stand de vendas",OR($B$458="rs",$B$458="pct_vgv")),AND($B$455="indireto",$B$456="Gestão",OR($B$458="rs",$B$458="pct_vgv",$B$458="pct_recebido")),AND($B$455="indireto",$B$456="Outro",OR($B$458="rs",$B$458="pct_vgv",$B$458="pct_recebido")),AND($B$455="financeiro",$B$456="Juros de financiamento",OR($B$458="rs",$B$458="pct_vgv")),AND($B$455="financeiro",$B$456="Taxas bancárias",OR($B$458="rs",$B$458="pct_vgv")),AND($B$455="financeiro",$B$456="Estruturação de dívida",OR($B$458="rs",$B$458="pct_vgv")),AND($B$455="financeiro",$B$456="Investidores",OR($B$458="rs",$B$458="pct_vgv")),AND($B$455="financeiro",$B$456="Outro",OR($B$458="rs",$B$458="pct_vgv")))),"⚠ unidade não aceita nesta categoria",IF(AND($B$459&lt;&gt;"",$B$460&lt;&gt;""),"⚠ preencha só uma linha de valor",IF(IF(LEFT($B$458,3)="pct",$B$460="",$B$459=""),"⚠ falta o valor na linha certa","OK")))))</f>
        <v/>
      </c>
      <c r="C906" s="20" t="inlineStr">
        <is>
          <t>alerta</t>
        </is>
      </c>
      <c r="D906" s="21" t="inlineStr">
        <is>
          <t>calculado</t>
        </is>
      </c>
    </row>
    <row r="907">
      <c r="A907" s="18" t="inlineStr">
        <is>
          <t>Custo 15 — conferência</t>
        </is>
      </c>
      <c r="B907" s="23">
        <f>IF(AND($B$466="",$B$467=""),"",IF(OR($B$466="",$B$467="",$B$469=""),"⚠ falta grupo, categoria ou unidade",IF(NOT(OR(AND($B$466="terreno",$B$467="Preço",OR($B$469="rs",$B$469="rs_m2_terreno")),AND($B$466="terreno",$B$467="Registro",OR($B$469="rs",$B$469="rs_m2_priv")),AND($B$466="terreno",$B$467="Outro",OR($B$469="rs",$B$469="pct_vgv")),AND($B$466="obra",$B$467="Construção",OR($B$469="rs",$B$469="rs_m2_priv")),AND($B$466="obra",$B$467="Outorga",OR($B$469="rs",$B$469="pct_vgv")),AND($B$466="obra",$B$467="Decoração",OR($B$469="rs",$B$469="rs_m2_priv")),AND($B$466="obra",$B$467="Gestão da obra",OR($B$469="rs",$B$469="pct_obra")),AND($B$466="obra",$B$467="Contingência",OR($B$469="rs",$B$469="pct_vgv")),AND($B$466="obra",$B$467="Outro",OR($B$469="rs",$B$469="pct_vgv")),AND($B$466="diretos",$B$467="Marketing &amp; Publicidade",OR($B$469="rs",$B$469="pct_vgv",$B$469="pct_recebido")),AND($B$466="diretos",$B$467="Corretagem de vendas",OR($B$469="pct_vgv")),AND($B$466="diretos",$B$467="Projetos",OR($B$469="rs",$B$469="rs_m2_priv",$B$469="pct_constr")),AND($B$466="diretos",$B$467="Licenças e Aprovações",OR($B$469="rs",$B$469="rs_m2_priv")),AND($B$466="diretos",$B$467="Manutenção pós-obra",OR($B$469="rs",$B$469="pct_vgv",$B$469="pct_recebido")),AND($B$466="diretos",$B$467="Outro",OR($B$469="rs",$B$469="pct_vgv",$B$469="pct_recebido")),AND($B$466="indireto",$B$467="Marketing global",OR($B$469="rs",$B$469="pct_vgv",$B$469="pct_recebido")),AND($B$466="indireto",$B$467="Stand de vendas",OR($B$469="rs",$B$469="pct_vgv")),AND($B$466="indireto",$B$467="Gestão",OR($B$469="rs",$B$469="pct_vgv",$B$469="pct_recebido")),AND($B$466="indireto",$B$467="Outro",OR($B$469="rs",$B$469="pct_vgv",$B$469="pct_recebido")),AND($B$466="financeiro",$B$467="Juros de financiamento",OR($B$469="rs",$B$469="pct_vgv")),AND($B$466="financeiro",$B$467="Taxas bancárias",OR($B$469="rs",$B$469="pct_vgv")),AND($B$466="financeiro",$B$467="Estruturação de dívida",OR($B$469="rs",$B$469="pct_vgv")),AND($B$466="financeiro",$B$467="Investidores",OR($B$469="rs",$B$469="pct_vgv")),AND($B$466="financeiro",$B$467="Outro",OR($B$469="rs",$B$469="pct_vgv")))),"⚠ unidade não aceita nesta categoria",IF(AND($B$470&lt;&gt;"",$B$471&lt;&gt;""),"⚠ preencha só uma linha de valor",IF(IF(LEFT($B$469,3)="pct",$B$471="",$B$470=""),"⚠ falta o valor na linha certa","OK")))))</f>
        <v/>
      </c>
      <c r="C907" s="20" t="inlineStr">
        <is>
          <t>alerta</t>
        </is>
      </c>
      <c r="D907" s="21" t="inlineStr">
        <is>
          <t>calculado</t>
        </is>
      </c>
    </row>
    <row r="908">
      <c r="A908" s="18" t="inlineStr">
        <is>
          <t>Custo 16 — conferência</t>
        </is>
      </c>
      <c r="B908" s="23">
        <f>IF(AND($B$477="",$B$478=""),"",IF(OR($B$477="",$B$478="",$B$480=""),"⚠ falta grupo, categoria ou unidade",IF(NOT(OR(AND($B$477="terreno",$B$478="Preço",OR($B$480="rs",$B$480="rs_m2_terreno")),AND($B$477="terreno",$B$478="Registro",OR($B$480="rs",$B$480="rs_m2_priv")),AND($B$477="terreno",$B$478="Outro",OR($B$480="rs",$B$480="pct_vgv")),AND($B$477="obra",$B$478="Construção",OR($B$480="rs",$B$480="rs_m2_priv")),AND($B$477="obra",$B$478="Outorga",OR($B$480="rs",$B$480="pct_vgv")),AND($B$477="obra",$B$478="Decoração",OR($B$480="rs",$B$480="rs_m2_priv")),AND($B$477="obra",$B$478="Gestão da obra",OR($B$480="rs",$B$480="pct_obra")),AND($B$477="obra",$B$478="Contingência",OR($B$480="rs",$B$480="pct_vgv")),AND($B$477="obra",$B$478="Outro",OR($B$480="rs",$B$480="pct_vgv")),AND($B$477="diretos",$B$478="Marketing &amp; Publicidade",OR($B$480="rs",$B$480="pct_vgv",$B$480="pct_recebido")),AND($B$477="diretos",$B$478="Corretagem de vendas",OR($B$480="pct_vgv")),AND($B$477="diretos",$B$478="Projetos",OR($B$480="rs",$B$480="rs_m2_priv",$B$480="pct_constr")),AND($B$477="diretos",$B$478="Licenças e Aprovações",OR($B$480="rs",$B$480="rs_m2_priv")),AND($B$477="diretos",$B$478="Manutenção pós-obra",OR($B$480="rs",$B$480="pct_vgv",$B$480="pct_recebido")),AND($B$477="diretos",$B$478="Outro",OR($B$480="rs",$B$480="pct_vgv",$B$480="pct_recebido")),AND($B$477="indireto",$B$478="Marketing global",OR($B$480="rs",$B$480="pct_vgv",$B$480="pct_recebido")),AND($B$477="indireto",$B$478="Stand de vendas",OR($B$480="rs",$B$480="pct_vgv")),AND($B$477="indireto",$B$478="Gestão",OR($B$480="rs",$B$480="pct_vgv",$B$480="pct_recebido")),AND($B$477="indireto",$B$478="Outro",OR($B$480="rs",$B$480="pct_vgv",$B$480="pct_recebido")),AND($B$477="financeiro",$B$478="Juros de financiamento",OR($B$480="rs",$B$480="pct_vgv")),AND($B$477="financeiro",$B$478="Taxas bancárias",OR($B$480="rs",$B$480="pct_vgv")),AND($B$477="financeiro",$B$478="Estruturação de dívida",OR($B$480="rs",$B$480="pct_vgv")),AND($B$477="financeiro",$B$478="Investidores",OR($B$480="rs",$B$480="pct_vgv")),AND($B$477="financeiro",$B$478="Outro",OR($B$480="rs",$B$480="pct_vgv")))),"⚠ unidade não aceita nesta categoria",IF(AND($B$481&lt;&gt;"",$B$482&lt;&gt;""),"⚠ preencha só uma linha de valor",IF(IF(LEFT($B$480,3)="pct",$B$482="",$B$481=""),"⚠ falta o valor na linha certa","OK")))))</f>
        <v/>
      </c>
      <c r="C908" s="20" t="inlineStr">
        <is>
          <t>alerta</t>
        </is>
      </c>
      <c r="D908" s="21" t="inlineStr">
        <is>
          <t>calculado</t>
        </is>
      </c>
    </row>
    <row r="909">
      <c r="A909" s="18" t="inlineStr">
        <is>
          <t>Custo 17 — conferência</t>
        </is>
      </c>
      <c r="B909" s="23">
        <f>IF(AND($B$488="",$B$489=""),"",IF(OR($B$488="",$B$489="",$B$491=""),"⚠ falta grupo, categoria ou unidade",IF(NOT(OR(AND($B$488="terreno",$B$489="Preço",OR($B$491="rs",$B$491="rs_m2_terreno")),AND($B$488="terreno",$B$489="Registro",OR($B$491="rs",$B$491="rs_m2_priv")),AND($B$488="terreno",$B$489="Outro",OR($B$491="rs",$B$491="pct_vgv")),AND($B$488="obra",$B$489="Construção",OR($B$491="rs",$B$491="rs_m2_priv")),AND($B$488="obra",$B$489="Outorga",OR($B$491="rs",$B$491="pct_vgv")),AND($B$488="obra",$B$489="Decoração",OR($B$491="rs",$B$491="rs_m2_priv")),AND($B$488="obra",$B$489="Gestão da obra",OR($B$491="rs",$B$491="pct_obra")),AND($B$488="obra",$B$489="Contingência",OR($B$491="rs",$B$491="pct_vgv")),AND($B$488="obra",$B$489="Outro",OR($B$491="rs",$B$491="pct_vgv")),AND($B$488="diretos",$B$489="Marketing &amp; Publicidade",OR($B$491="rs",$B$491="pct_vgv",$B$491="pct_recebido")),AND($B$488="diretos",$B$489="Corretagem de vendas",OR($B$491="pct_vgv")),AND($B$488="diretos",$B$489="Projetos",OR($B$491="rs",$B$491="rs_m2_priv",$B$491="pct_constr")),AND($B$488="diretos",$B$489="Licenças e Aprovações",OR($B$491="rs",$B$491="rs_m2_priv")),AND($B$488="diretos",$B$489="Manutenção pós-obra",OR($B$491="rs",$B$491="pct_vgv",$B$491="pct_recebido")),AND($B$488="diretos",$B$489="Outro",OR($B$491="rs",$B$491="pct_vgv",$B$491="pct_recebido")),AND($B$488="indireto",$B$489="Marketing global",OR($B$491="rs",$B$491="pct_vgv",$B$491="pct_recebido")),AND($B$488="indireto",$B$489="Stand de vendas",OR($B$491="rs",$B$491="pct_vgv")),AND($B$488="indireto",$B$489="Gestão",OR($B$491="rs",$B$491="pct_vgv",$B$491="pct_recebido")),AND($B$488="indireto",$B$489="Outro",OR($B$491="rs",$B$491="pct_vgv",$B$491="pct_recebido")),AND($B$488="financeiro",$B$489="Juros de financiamento",OR($B$491="rs",$B$491="pct_vgv")),AND($B$488="financeiro",$B$489="Taxas bancárias",OR($B$491="rs",$B$491="pct_vgv")),AND($B$488="financeiro",$B$489="Estruturação de dívida",OR($B$491="rs",$B$491="pct_vgv")),AND($B$488="financeiro",$B$489="Investidores",OR($B$491="rs",$B$491="pct_vgv")),AND($B$488="financeiro",$B$489="Outro",OR($B$491="rs",$B$491="pct_vgv")))),"⚠ unidade não aceita nesta categoria",IF(AND($B$492&lt;&gt;"",$B$493&lt;&gt;""),"⚠ preencha só uma linha de valor",IF(IF(LEFT($B$491,3)="pct",$B$493="",$B$492=""),"⚠ falta o valor na linha certa","OK")))))</f>
        <v/>
      </c>
      <c r="C909" s="20" t="inlineStr">
        <is>
          <t>alerta</t>
        </is>
      </c>
      <c r="D909" s="21" t="inlineStr">
        <is>
          <t>calculado</t>
        </is>
      </c>
    </row>
    <row r="910">
      <c r="A910" s="18" t="inlineStr">
        <is>
          <t>Custo 18 — conferência</t>
        </is>
      </c>
      <c r="B910" s="23">
        <f>IF(AND($B$499="",$B$500=""),"",IF(OR($B$499="",$B$500="",$B$502=""),"⚠ falta grupo, categoria ou unidade",IF(NOT(OR(AND($B$499="terreno",$B$500="Preço",OR($B$502="rs",$B$502="rs_m2_terreno")),AND($B$499="terreno",$B$500="Registro",OR($B$502="rs",$B$502="rs_m2_priv")),AND($B$499="terreno",$B$500="Outro",OR($B$502="rs",$B$502="pct_vgv")),AND($B$499="obra",$B$500="Construção",OR($B$502="rs",$B$502="rs_m2_priv")),AND($B$499="obra",$B$500="Outorga",OR($B$502="rs",$B$502="pct_vgv")),AND($B$499="obra",$B$500="Decoração",OR($B$502="rs",$B$502="rs_m2_priv")),AND($B$499="obra",$B$500="Gestão da obra",OR($B$502="rs",$B$502="pct_obra")),AND($B$499="obra",$B$500="Contingência",OR($B$502="rs",$B$502="pct_vgv")),AND($B$499="obra",$B$500="Outro",OR($B$502="rs",$B$502="pct_vgv")),AND($B$499="diretos",$B$500="Marketing &amp; Publicidade",OR($B$502="rs",$B$502="pct_vgv",$B$502="pct_recebido")),AND($B$499="diretos",$B$500="Corretagem de vendas",OR($B$502="pct_vgv")),AND($B$499="diretos",$B$500="Projetos",OR($B$502="rs",$B$502="rs_m2_priv",$B$502="pct_constr")),AND($B$499="diretos",$B$500="Licenças e Aprovações",OR($B$502="rs",$B$502="rs_m2_priv")),AND($B$499="diretos",$B$500="Manutenção pós-obra",OR($B$502="rs",$B$502="pct_vgv",$B$502="pct_recebido")),AND($B$499="diretos",$B$500="Outro",OR($B$502="rs",$B$502="pct_vgv",$B$502="pct_recebido")),AND($B$499="indireto",$B$500="Marketing global",OR($B$502="rs",$B$502="pct_vgv",$B$502="pct_recebido")),AND($B$499="indireto",$B$500="Stand de vendas",OR($B$502="rs",$B$502="pct_vgv")),AND($B$499="indireto",$B$500="Gestão",OR($B$502="rs",$B$502="pct_vgv",$B$502="pct_recebido")),AND($B$499="indireto",$B$500="Outro",OR($B$502="rs",$B$502="pct_vgv",$B$502="pct_recebido")),AND($B$499="financeiro",$B$500="Juros de financiamento",OR($B$502="rs",$B$502="pct_vgv")),AND($B$499="financeiro",$B$500="Taxas bancárias",OR($B$502="rs",$B$502="pct_vgv")),AND($B$499="financeiro",$B$500="Estruturação de dívida",OR($B$502="rs",$B$502="pct_vgv")),AND($B$499="financeiro",$B$500="Investidores",OR($B$502="rs",$B$502="pct_vgv")),AND($B$499="financeiro",$B$500="Outro",OR($B$502="rs",$B$502="pct_vgv")))),"⚠ unidade não aceita nesta categoria",IF(AND($B$503&lt;&gt;"",$B$504&lt;&gt;""),"⚠ preencha só uma linha de valor",IF(IF(LEFT($B$502,3)="pct",$B$504="",$B$503=""),"⚠ falta o valor na linha certa","OK")))))</f>
        <v/>
      </c>
      <c r="C910" s="20" t="inlineStr">
        <is>
          <t>alerta</t>
        </is>
      </c>
      <c r="D910" s="21" t="inlineStr">
        <is>
          <t>calculado</t>
        </is>
      </c>
    </row>
    <row r="911">
      <c r="A911" s="18" t="inlineStr">
        <is>
          <t>Custo 19 — conferência</t>
        </is>
      </c>
      <c r="B911" s="23">
        <f>IF(AND($B$510="",$B$511=""),"",IF(OR($B$510="",$B$511="",$B$513=""),"⚠ falta grupo, categoria ou unidade",IF(NOT(OR(AND($B$510="terreno",$B$511="Preço",OR($B$513="rs",$B$513="rs_m2_terreno")),AND($B$510="terreno",$B$511="Registro",OR($B$513="rs",$B$513="rs_m2_priv")),AND($B$510="terreno",$B$511="Outro",OR($B$513="rs",$B$513="pct_vgv")),AND($B$510="obra",$B$511="Construção",OR($B$513="rs",$B$513="rs_m2_priv")),AND($B$510="obra",$B$511="Outorga",OR($B$513="rs",$B$513="pct_vgv")),AND($B$510="obra",$B$511="Decoração",OR($B$513="rs",$B$513="rs_m2_priv")),AND($B$510="obra",$B$511="Gestão da obra",OR($B$513="rs",$B$513="pct_obra")),AND($B$510="obra",$B$511="Contingência",OR($B$513="rs",$B$513="pct_vgv")),AND($B$510="obra",$B$511="Outro",OR($B$513="rs",$B$513="pct_vgv")),AND($B$510="diretos",$B$511="Marketing &amp; Publicidade",OR($B$513="rs",$B$513="pct_vgv",$B$513="pct_recebido")),AND($B$510="diretos",$B$511="Corretagem de vendas",OR($B$513="pct_vgv")),AND($B$510="diretos",$B$511="Projetos",OR($B$513="rs",$B$513="rs_m2_priv",$B$513="pct_constr")),AND($B$510="diretos",$B$511="Licenças e Aprovações",OR($B$513="rs",$B$513="rs_m2_priv")),AND($B$510="diretos",$B$511="Manutenção pós-obra",OR($B$513="rs",$B$513="pct_vgv",$B$513="pct_recebido")),AND($B$510="diretos",$B$511="Outro",OR($B$513="rs",$B$513="pct_vgv",$B$513="pct_recebido")),AND($B$510="indireto",$B$511="Marketing global",OR($B$513="rs",$B$513="pct_vgv",$B$513="pct_recebido")),AND($B$510="indireto",$B$511="Stand de vendas",OR($B$513="rs",$B$513="pct_vgv")),AND($B$510="indireto",$B$511="Gestão",OR($B$513="rs",$B$513="pct_vgv",$B$513="pct_recebido")),AND($B$510="indireto",$B$511="Outro",OR($B$513="rs",$B$513="pct_vgv",$B$513="pct_recebido")),AND($B$510="financeiro",$B$511="Juros de financiamento",OR($B$513="rs",$B$513="pct_vgv")),AND($B$510="financeiro",$B$511="Taxas bancárias",OR($B$513="rs",$B$513="pct_vgv")),AND($B$510="financeiro",$B$511="Estruturação de dívida",OR($B$513="rs",$B$513="pct_vgv")),AND($B$510="financeiro",$B$511="Investidores",OR($B$513="rs",$B$513="pct_vgv")),AND($B$510="financeiro",$B$511="Outro",OR($B$513="rs",$B$513="pct_vgv")))),"⚠ unidade não aceita nesta categoria",IF(AND($B$514&lt;&gt;"",$B$515&lt;&gt;""),"⚠ preencha só uma linha de valor",IF(IF(LEFT($B$513,3)="pct",$B$515="",$B$514=""),"⚠ falta o valor na linha certa","OK")))))</f>
        <v/>
      </c>
      <c r="C911" s="20" t="inlineStr">
        <is>
          <t>alerta</t>
        </is>
      </c>
      <c r="D911" s="21" t="inlineStr">
        <is>
          <t>calculado</t>
        </is>
      </c>
    </row>
    <row r="912">
      <c r="A912" s="18" t="inlineStr">
        <is>
          <t>Custo 20 — conferência</t>
        </is>
      </c>
      <c r="B912" s="23">
        <f>IF(AND($B$521="",$B$522=""),"",IF(OR($B$521="",$B$522="",$B$524=""),"⚠ falta grupo, categoria ou unidade",IF(NOT(OR(AND($B$521="terreno",$B$522="Preço",OR($B$524="rs",$B$524="rs_m2_terreno")),AND($B$521="terreno",$B$522="Registro",OR($B$524="rs",$B$524="rs_m2_priv")),AND($B$521="terreno",$B$522="Outro",OR($B$524="rs",$B$524="pct_vgv")),AND($B$521="obra",$B$522="Construção",OR($B$524="rs",$B$524="rs_m2_priv")),AND($B$521="obra",$B$522="Outorga",OR($B$524="rs",$B$524="pct_vgv")),AND($B$521="obra",$B$522="Decoração",OR($B$524="rs",$B$524="rs_m2_priv")),AND($B$521="obra",$B$522="Gestão da obra",OR($B$524="rs",$B$524="pct_obra")),AND($B$521="obra",$B$522="Contingência",OR($B$524="rs",$B$524="pct_vgv")),AND($B$521="obra",$B$522="Outro",OR($B$524="rs",$B$524="pct_vgv")),AND($B$521="diretos",$B$522="Marketing &amp; Publicidade",OR($B$524="rs",$B$524="pct_vgv",$B$524="pct_recebido")),AND($B$521="diretos",$B$522="Corretagem de vendas",OR($B$524="pct_vgv")),AND($B$521="diretos",$B$522="Projetos",OR($B$524="rs",$B$524="rs_m2_priv",$B$524="pct_constr")),AND($B$521="diretos",$B$522="Licenças e Aprovações",OR($B$524="rs",$B$524="rs_m2_priv")),AND($B$521="diretos",$B$522="Manutenção pós-obra",OR($B$524="rs",$B$524="pct_vgv",$B$524="pct_recebido")),AND($B$521="diretos",$B$522="Outro",OR($B$524="rs",$B$524="pct_vgv",$B$524="pct_recebido")),AND($B$521="indireto",$B$522="Marketing global",OR($B$524="rs",$B$524="pct_vgv",$B$524="pct_recebido")),AND($B$521="indireto",$B$522="Stand de vendas",OR($B$524="rs",$B$524="pct_vgv")),AND($B$521="indireto",$B$522="Gestão",OR($B$524="rs",$B$524="pct_vgv",$B$524="pct_recebido")),AND($B$521="indireto",$B$522="Outro",OR($B$524="rs",$B$524="pct_vgv",$B$524="pct_recebido")),AND($B$521="financeiro",$B$522="Juros de financiamento",OR($B$524="rs",$B$524="pct_vgv")),AND($B$521="financeiro",$B$522="Taxas bancárias",OR($B$524="rs",$B$524="pct_vgv")),AND($B$521="financeiro",$B$522="Estruturação de dívida",OR($B$524="rs",$B$524="pct_vgv")),AND($B$521="financeiro",$B$522="Investidores",OR($B$524="rs",$B$524="pct_vgv")),AND($B$521="financeiro",$B$522="Outro",OR($B$524="rs",$B$524="pct_vgv")))),"⚠ unidade não aceita nesta categoria",IF(AND($B$525&lt;&gt;"",$B$526&lt;&gt;""),"⚠ preencha só uma linha de valor",IF(IF(LEFT($B$524,3)="pct",$B$526="",$B$525=""),"⚠ falta o valor na linha certa","OK")))))</f>
        <v/>
      </c>
      <c r="C912" s="20" t="inlineStr">
        <is>
          <t>alerta</t>
        </is>
      </c>
      <c r="D912" s="21" t="inlineStr">
        <is>
          <t>calculado</t>
        </is>
      </c>
    </row>
    <row r="913">
      <c r="A913" s="18" t="inlineStr">
        <is>
          <t>Custo 21 — conferência</t>
        </is>
      </c>
      <c r="B913" s="23">
        <f>IF(AND($B$532="",$B$533=""),"",IF(OR($B$532="",$B$533="",$B$535=""),"⚠ falta grupo, categoria ou unidade",IF(NOT(OR(AND($B$532="terreno",$B$533="Preço",OR($B$535="rs",$B$535="rs_m2_terreno")),AND($B$532="terreno",$B$533="Registro",OR($B$535="rs",$B$535="rs_m2_priv")),AND($B$532="terreno",$B$533="Outro",OR($B$535="rs",$B$535="pct_vgv")),AND($B$532="obra",$B$533="Construção",OR($B$535="rs",$B$535="rs_m2_priv")),AND($B$532="obra",$B$533="Outorga",OR($B$535="rs",$B$535="pct_vgv")),AND($B$532="obra",$B$533="Decoração",OR($B$535="rs",$B$535="rs_m2_priv")),AND($B$532="obra",$B$533="Gestão da obra",OR($B$535="rs",$B$535="pct_obra")),AND($B$532="obra",$B$533="Contingência",OR($B$535="rs",$B$535="pct_vgv")),AND($B$532="obra",$B$533="Outro",OR($B$535="rs",$B$535="pct_vgv")),AND($B$532="diretos",$B$533="Marketing &amp; Publicidade",OR($B$535="rs",$B$535="pct_vgv",$B$535="pct_recebido")),AND($B$532="diretos",$B$533="Corretagem de vendas",OR($B$535="pct_vgv")),AND($B$532="diretos",$B$533="Projetos",OR($B$535="rs",$B$535="rs_m2_priv",$B$535="pct_constr")),AND($B$532="diretos",$B$533="Licenças e Aprovações",OR($B$535="rs",$B$535="rs_m2_priv")),AND($B$532="diretos",$B$533="Manutenção pós-obra",OR($B$535="rs",$B$535="pct_vgv",$B$535="pct_recebido")),AND($B$532="diretos",$B$533="Outro",OR($B$535="rs",$B$535="pct_vgv",$B$535="pct_recebido")),AND($B$532="indireto",$B$533="Marketing global",OR($B$535="rs",$B$535="pct_vgv",$B$535="pct_recebido")),AND($B$532="indireto",$B$533="Stand de vendas",OR($B$535="rs",$B$535="pct_vgv")),AND($B$532="indireto",$B$533="Gestão",OR($B$535="rs",$B$535="pct_vgv",$B$535="pct_recebido")),AND($B$532="indireto",$B$533="Outro",OR($B$535="rs",$B$535="pct_vgv",$B$535="pct_recebido")),AND($B$532="financeiro",$B$533="Juros de financiamento",OR($B$535="rs",$B$535="pct_vgv")),AND($B$532="financeiro",$B$533="Taxas bancárias",OR($B$535="rs",$B$535="pct_vgv")),AND($B$532="financeiro",$B$533="Estruturação de dívida",OR($B$535="rs",$B$535="pct_vgv")),AND($B$532="financeiro",$B$533="Investidores",OR($B$535="rs",$B$535="pct_vgv")),AND($B$532="financeiro",$B$533="Outro",OR($B$535="rs",$B$535="pct_vgv")))),"⚠ unidade não aceita nesta categoria",IF(AND($B$536&lt;&gt;"",$B$537&lt;&gt;""),"⚠ preencha só uma linha de valor",IF(IF(LEFT($B$535,3)="pct",$B$537="",$B$536=""),"⚠ falta o valor na linha certa","OK")))))</f>
        <v/>
      </c>
      <c r="C913" s="20" t="inlineStr">
        <is>
          <t>alerta</t>
        </is>
      </c>
      <c r="D913" s="21" t="inlineStr">
        <is>
          <t>calculado</t>
        </is>
      </c>
    </row>
    <row r="914">
      <c r="A914" s="18" t="inlineStr">
        <is>
          <t>Custo 22 — conferência</t>
        </is>
      </c>
      <c r="B914" s="23">
        <f>IF(AND($B$543="",$B$544=""),"",IF(OR($B$543="",$B$544="",$B$546=""),"⚠ falta grupo, categoria ou unidade",IF(NOT(OR(AND($B$543="terreno",$B$544="Preço",OR($B$546="rs",$B$546="rs_m2_terreno")),AND($B$543="terreno",$B$544="Registro",OR($B$546="rs",$B$546="rs_m2_priv")),AND($B$543="terreno",$B$544="Outro",OR($B$546="rs",$B$546="pct_vgv")),AND($B$543="obra",$B$544="Construção",OR($B$546="rs",$B$546="rs_m2_priv")),AND($B$543="obra",$B$544="Outorga",OR($B$546="rs",$B$546="pct_vgv")),AND($B$543="obra",$B$544="Decoração",OR($B$546="rs",$B$546="rs_m2_priv")),AND($B$543="obra",$B$544="Gestão da obra",OR($B$546="rs",$B$546="pct_obra")),AND($B$543="obra",$B$544="Contingência",OR($B$546="rs",$B$546="pct_vgv")),AND($B$543="obra",$B$544="Outro",OR($B$546="rs",$B$546="pct_vgv")),AND($B$543="diretos",$B$544="Marketing &amp; Publicidade",OR($B$546="rs",$B$546="pct_vgv",$B$546="pct_recebido")),AND($B$543="diretos",$B$544="Corretagem de vendas",OR($B$546="pct_vgv")),AND($B$543="diretos",$B$544="Projetos",OR($B$546="rs",$B$546="rs_m2_priv",$B$546="pct_constr")),AND($B$543="diretos",$B$544="Licenças e Aprovações",OR($B$546="rs",$B$546="rs_m2_priv")),AND($B$543="diretos",$B$544="Manutenção pós-obra",OR($B$546="rs",$B$546="pct_vgv",$B$546="pct_recebido")),AND($B$543="diretos",$B$544="Outro",OR($B$546="rs",$B$546="pct_vgv",$B$546="pct_recebido")),AND($B$543="indireto",$B$544="Marketing global",OR($B$546="rs",$B$546="pct_vgv",$B$546="pct_recebido")),AND($B$543="indireto",$B$544="Stand de vendas",OR($B$546="rs",$B$546="pct_vgv")),AND($B$543="indireto",$B$544="Gestão",OR($B$546="rs",$B$546="pct_vgv",$B$546="pct_recebido")),AND($B$543="indireto",$B$544="Outro",OR($B$546="rs",$B$546="pct_vgv",$B$546="pct_recebido")),AND($B$543="financeiro",$B$544="Juros de financiamento",OR($B$546="rs",$B$546="pct_vgv")),AND($B$543="financeiro",$B$544="Taxas bancárias",OR($B$546="rs",$B$546="pct_vgv")),AND($B$543="financeiro",$B$544="Estruturação de dívida",OR($B$546="rs",$B$546="pct_vgv")),AND($B$543="financeiro",$B$544="Investidores",OR($B$546="rs",$B$546="pct_vgv")),AND($B$543="financeiro",$B$544="Outro",OR($B$546="rs",$B$546="pct_vgv")))),"⚠ unidade não aceita nesta categoria",IF(AND($B$547&lt;&gt;"",$B$548&lt;&gt;""),"⚠ preencha só uma linha de valor",IF(IF(LEFT($B$546,3)="pct",$B$548="",$B$547=""),"⚠ falta o valor na linha certa","OK")))))</f>
        <v/>
      </c>
      <c r="C914" s="20" t="inlineStr">
        <is>
          <t>alerta</t>
        </is>
      </c>
      <c r="D914" s="21" t="inlineStr">
        <is>
          <t>calculado</t>
        </is>
      </c>
    </row>
    <row r="915">
      <c r="A915" s="18" t="inlineStr">
        <is>
          <t>Custo 23 — conferência</t>
        </is>
      </c>
      <c r="B915" s="23">
        <f>IF(AND($B$554="",$B$555=""),"",IF(OR($B$554="",$B$555="",$B$557=""),"⚠ falta grupo, categoria ou unidade",IF(NOT(OR(AND($B$554="terreno",$B$555="Preço",OR($B$557="rs",$B$557="rs_m2_terreno")),AND($B$554="terreno",$B$555="Registro",OR($B$557="rs",$B$557="rs_m2_priv")),AND($B$554="terreno",$B$555="Outro",OR($B$557="rs",$B$557="pct_vgv")),AND($B$554="obra",$B$555="Construção",OR($B$557="rs",$B$557="rs_m2_priv")),AND($B$554="obra",$B$555="Outorga",OR($B$557="rs",$B$557="pct_vgv")),AND($B$554="obra",$B$555="Decoração",OR($B$557="rs",$B$557="rs_m2_priv")),AND($B$554="obra",$B$555="Gestão da obra",OR($B$557="rs",$B$557="pct_obra")),AND($B$554="obra",$B$555="Contingência",OR($B$557="rs",$B$557="pct_vgv")),AND($B$554="obra",$B$555="Outro",OR($B$557="rs",$B$557="pct_vgv")),AND($B$554="diretos",$B$555="Marketing &amp; Publicidade",OR($B$557="rs",$B$557="pct_vgv",$B$557="pct_recebido")),AND($B$554="diretos",$B$555="Corretagem de vendas",OR($B$557="pct_vgv")),AND($B$554="diretos",$B$555="Projetos",OR($B$557="rs",$B$557="rs_m2_priv",$B$557="pct_constr")),AND($B$554="diretos",$B$555="Licenças e Aprovações",OR($B$557="rs",$B$557="rs_m2_priv")),AND($B$554="diretos",$B$555="Manutenção pós-obra",OR($B$557="rs",$B$557="pct_vgv",$B$557="pct_recebido")),AND($B$554="diretos",$B$555="Outro",OR($B$557="rs",$B$557="pct_vgv",$B$557="pct_recebido")),AND($B$554="indireto",$B$555="Marketing global",OR($B$557="rs",$B$557="pct_vgv",$B$557="pct_recebido")),AND($B$554="indireto",$B$555="Stand de vendas",OR($B$557="rs",$B$557="pct_vgv")),AND($B$554="indireto",$B$555="Gestão",OR($B$557="rs",$B$557="pct_vgv",$B$557="pct_recebido")),AND($B$554="indireto",$B$555="Outro",OR($B$557="rs",$B$557="pct_vgv",$B$557="pct_recebido")),AND($B$554="financeiro",$B$555="Juros de financiamento",OR($B$557="rs",$B$557="pct_vgv")),AND($B$554="financeiro",$B$555="Taxas bancárias",OR($B$557="rs",$B$557="pct_vgv")),AND($B$554="financeiro",$B$555="Estruturação de dívida",OR($B$557="rs",$B$557="pct_vgv")),AND($B$554="financeiro",$B$555="Investidores",OR($B$557="rs",$B$557="pct_vgv")),AND($B$554="financeiro",$B$555="Outro",OR($B$557="rs",$B$557="pct_vgv")))),"⚠ unidade não aceita nesta categoria",IF(AND($B$558&lt;&gt;"",$B$559&lt;&gt;""),"⚠ preencha só uma linha de valor",IF(IF(LEFT($B$557,3)="pct",$B$559="",$B$558=""),"⚠ falta o valor na linha certa","OK")))))</f>
        <v/>
      </c>
      <c r="C915" s="20" t="inlineStr">
        <is>
          <t>alerta</t>
        </is>
      </c>
      <c r="D915" s="21" t="inlineStr">
        <is>
          <t>calculado</t>
        </is>
      </c>
    </row>
    <row r="916">
      <c r="A916" s="18" t="inlineStr">
        <is>
          <t>Custo 24 — conferência</t>
        </is>
      </c>
      <c r="B916" s="23">
        <f>IF(AND($B$565="",$B$566=""),"",IF(OR($B$565="",$B$566="",$B$568=""),"⚠ falta grupo, categoria ou unidade",IF(NOT(OR(AND($B$565="terreno",$B$566="Preço",OR($B$568="rs",$B$568="rs_m2_terreno")),AND($B$565="terreno",$B$566="Registro",OR($B$568="rs",$B$568="rs_m2_priv")),AND($B$565="terreno",$B$566="Outro",OR($B$568="rs",$B$568="pct_vgv")),AND($B$565="obra",$B$566="Construção",OR($B$568="rs",$B$568="rs_m2_priv")),AND($B$565="obra",$B$566="Outorga",OR($B$568="rs",$B$568="pct_vgv")),AND($B$565="obra",$B$566="Decoração",OR($B$568="rs",$B$568="rs_m2_priv")),AND($B$565="obra",$B$566="Gestão da obra",OR($B$568="rs",$B$568="pct_obra")),AND($B$565="obra",$B$566="Contingência",OR($B$568="rs",$B$568="pct_vgv")),AND($B$565="obra",$B$566="Outro",OR($B$568="rs",$B$568="pct_vgv")),AND($B$565="diretos",$B$566="Marketing &amp; Publicidade",OR($B$568="rs",$B$568="pct_vgv",$B$568="pct_recebido")),AND($B$565="diretos",$B$566="Corretagem de vendas",OR($B$568="pct_vgv")),AND($B$565="diretos",$B$566="Projetos",OR($B$568="rs",$B$568="rs_m2_priv",$B$568="pct_constr")),AND($B$565="diretos",$B$566="Licenças e Aprovações",OR($B$568="rs",$B$568="rs_m2_priv")),AND($B$565="diretos",$B$566="Manutenção pós-obra",OR($B$568="rs",$B$568="pct_vgv",$B$568="pct_recebido")),AND($B$565="diretos",$B$566="Outro",OR($B$568="rs",$B$568="pct_vgv",$B$568="pct_recebido")),AND($B$565="indireto",$B$566="Marketing global",OR($B$568="rs",$B$568="pct_vgv",$B$568="pct_recebido")),AND($B$565="indireto",$B$566="Stand de vendas",OR($B$568="rs",$B$568="pct_vgv")),AND($B$565="indireto",$B$566="Gestão",OR($B$568="rs",$B$568="pct_vgv",$B$568="pct_recebido")),AND($B$565="indireto",$B$566="Outro",OR($B$568="rs",$B$568="pct_vgv",$B$568="pct_recebido")),AND($B$565="financeiro",$B$566="Juros de financiamento",OR($B$568="rs",$B$568="pct_vgv")),AND($B$565="financeiro",$B$566="Taxas bancárias",OR($B$568="rs",$B$568="pct_vgv")),AND($B$565="financeiro",$B$566="Estruturação de dívida",OR($B$568="rs",$B$568="pct_vgv")),AND($B$565="financeiro",$B$566="Investidores",OR($B$568="rs",$B$568="pct_vgv")),AND($B$565="financeiro",$B$566="Outro",OR($B$568="rs",$B$568="pct_vgv")))),"⚠ unidade não aceita nesta categoria",IF(AND($B$569&lt;&gt;"",$B$570&lt;&gt;""),"⚠ preencha só uma linha de valor",IF(IF(LEFT($B$568,3)="pct",$B$570="",$B$569=""),"⚠ falta o valor na linha certa","OK")))))</f>
        <v/>
      </c>
      <c r="C916" s="20" t="inlineStr">
        <is>
          <t>alerta</t>
        </is>
      </c>
      <c r="D916" s="21" t="inlineStr">
        <is>
          <t>calculado</t>
        </is>
      </c>
    </row>
    <row r="917">
      <c r="A917" s="18" t="inlineStr">
        <is>
          <t>Custo 25 — conferência</t>
        </is>
      </c>
      <c r="B917" s="23">
        <f>IF(AND($B$576="",$B$577=""),"",IF(OR($B$576="",$B$577="",$B$579=""),"⚠ falta grupo, categoria ou unidade",IF(NOT(OR(AND($B$576="terreno",$B$577="Preço",OR($B$579="rs",$B$579="rs_m2_terreno")),AND($B$576="terreno",$B$577="Registro",OR($B$579="rs",$B$579="rs_m2_priv")),AND($B$576="terreno",$B$577="Outro",OR($B$579="rs",$B$579="pct_vgv")),AND($B$576="obra",$B$577="Construção",OR($B$579="rs",$B$579="rs_m2_priv")),AND($B$576="obra",$B$577="Outorga",OR($B$579="rs",$B$579="pct_vgv")),AND($B$576="obra",$B$577="Decoração",OR($B$579="rs",$B$579="rs_m2_priv")),AND($B$576="obra",$B$577="Gestão da obra",OR($B$579="rs",$B$579="pct_obra")),AND($B$576="obra",$B$577="Contingência",OR($B$579="rs",$B$579="pct_vgv")),AND($B$576="obra",$B$577="Outro",OR($B$579="rs",$B$579="pct_vgv")),AND($B$576="diretos",$B$577="Marketing &amp; Publicidade",OR($B$579="rs",$B$579="pct_vgv",$B$579="pct_recebido")),AND($B$576="diretos",$B$577="Corretagem de vendas",OR($B$579="pct_vgv")),AND($B$576="diretos",$B$577="Projetos",OR($B$579="rs",$B$579="rs_m2_priv",$B$579="pct_constr")),AND($B$576="diretos",$B$577="Licenças e Aprovações",OR($B$579="rs",$B$579="rs_m2_priv")),AND($B$576="diretos",$B$577="Manutenção pós-obra",OR($B$579="rs",$B$579="pct_vgv",$B$579="pct_recebido")),AND($B$576="diretos",$B$577="Outro",OR($B$579="rs",$B$579="pct_vgv",$B$579="pct_recebido")),AND($B$576="indireto",$B$577="Marketing global",OR($B$579="rs",$B$579="pct_vgv",$B$579="pct_recebido")),AND($B$576="indireto",$B$577="Stand de vendas",OR($B$579="rs",$B$579="pct_vgv")),AND($B$576="indireto",$B$577="Gestão",OR($B$579="rs",$B$579="pct_vgv",$B$579="pct_recebido")),AND($B$576="indireto",$B$577="Outro",OR($B$579="rs",$B$579="pct_vgv",$B$579="pct_recebido")),AND($B$576="financeiro",$B$577="Juros de financiamento",OR($B$579="rs",$B$579="pct_vgv")),AND($B$576="financeiro",$B$577="Taxas bancárias",OR($B$579="rs",$B$579="pct_vgv")),AND($B$576="financeiro",$B$577="Estruturação de dívida",OR($B$579="rs",$B$579="pct_vgv")),AND($B$576="financeiro",$B$577="Investidores",OR($B$579="rs",$B$579="pct_vgv")),AND($B$576="financeiro",$B$577="Outro",OR($B$579="rs",$B$579="pct_vgv")))),"⚠ unidade não aceita nesta categoria",IF(AND($B$580&lt;&gt;"",$B$581&lt;&gt;""),"⚠ preencha só uma linha de valor",IF(IF(LEFT($B$579,3)="pct",$B$581="",$B$580=""),"⚠ falta o valor na linha certa","OK")))))</f>
        <v/>
      </c>
      <c r="C917" s="20" t="inlineStr">
        <is>
          <t>alerta</t>
        </is>
      </c>
      <c r="D917" s="21" t="inlineStr">
        <is>
          <t>calculado</t>
        </is>
      </c>
    </row>
    <row r="918">
      <c r="A918" s="18" t="inlineStr">
        <is>
          <t>Custo 26 — conferência</t>
        </is>
      </c>
      <c r="B918" s="23">
        <f>IF(AND($B$587="",$B$588=""),"",IF(OR($B$587="",$B$588="",$B$590=""),"⚠ falta grupo, categoria ou unidade",IF(NOT(OR(AND($B$587="terreno",$B$588="Preço",OR($B$590="rs",$B$590="rs_m2_terreno")),AND($B$587="terreno",$B$588="Registro",OR($B$590="rs",$B$590="rs_m2_priv")),AND($B$587="terreno",$B$588="Outro",OR($B$590="rs",$B$590="pct_vgv")),AND($B$587="obra",$B$588="Construção",OR($B$590="rs",$B$590="rs_m2_priv")),AND($B$587="obra",$B$588="Outorga",OR($B$590="rs",$B$590="pct_vgv")),AND($B$587="obra",$B$588="Decoração",OR($B$590="rs",$B$590="rs_m2_priv")),AND($B$587="obra",$B$588="Gestão da obra",OR($B$590="rs",$B$590="pct_obra")),AND($B$587="obra",$B$588="Contingência",OR($B$590="rs",$B$590="pct_vgv")),AND($B$587="obra",$B$588="Outro",OR($B$590="rs",$B$590="pct_vgv")),AND($B$587="diretos",$B$588="Marketing &amp; Publicidade",OR($B$590="rs",$B$590="pct_vgv",$B$590="pct_recebido")),AND($B$587="diretos",$B$588="Corretagem de vendas",OR($B$590="pct_vgv")),AND($B$587="diretos",$B$588="Projetos",OR($B$590="rs",$B$590="rs_m2_priv",$B$590="pct_constr")),AND($B$587="diretos",$B$588="Licenças e Aprovações",OR($B$590="rs",$B$590="rs_m2_priv")),AND($B$587="diretos",$B$588="Manutenção pós-obra",OR($B$590="rs",$B$590="pct_vgv",$B$590="pct_recebido")),AND($B$587="diretos",$B$588="Outro",OR($B$590="rs",$B$590="pct_vgv",$B$590="pct_recebido")),AND($B$587="indireto",$B$588="Marketing global",OR($B$590="rs",$B$590="pct_vgv",$B$590="pct_recebido")),AND($B$587="indireto",$B$588="Stand de vendas",OR($B$590="rs",$B$590="pct_vgv")),AND($B$587="indireto",$B$588="Gestão",OR($B$590="rs",$B$590="pct_vgv",$B$590="pct_recebido")),AND($B$587="indireto",$B$588="Outro",OR($B$590="rs",$B$590="pct_vgv",$B$590="pct_recebido")),AND($B$587="financeiro",$B$588="Juros de financiamento",OR($B$590="rs",$B$590="pct_vgv")),AND($B$587="financeiro",$B$588="Taxas bancárias",OR($B$590="rs",$B$590="pct_vgv")),AND($B$587="financeiro",$B$588="Estruturação de dívida",OR($B$590="rs",$B$590="pct_vgv")),AND($B$587="financeiro",$B$588="Investidores",OR($B$590="rs",$B$590="pct_vgv")),AND($B$587="financeiro",$B$588="Outro",OR($B$590="rs",$B$590="pct_vgv")))),"⚠ unidade não aceita nesta categoria",IF(AND($B$591&lt;&gt;"",$B$592&lt;&gt;""),"⚠ preencha só uma linha de valor",IF(IF(LEFT($B$590,3)="pct",$B$592="",$B$591=""),"⚠ falta o valor na linha certa","OK")))))</f>
        <v/>
      </c>
      <c r="C918" s="20" t="inlineStr">
        <is>
          <t>alerta</t>
        </is>
      </c>
      <c r="D918" s="21" t="inlineStr">
        <is>
          <t>calculado</t>
        </is>
      </c>
    </row>
    <row r="919">
      <c r="A919" s="18" t="inlineStr">
        <is>
          <t>Custo 27 — conferência</t>
        </is>
      </c>
      <c r="B919" s="23">
        <f>IF(AND($B$598="",$B$599=""),"",IF(OR($B$598="",$B$599="",$B$601=""),"⚠ falta grupo, categoria ou unidade",IF(NOT(OR(AND($B$598="terreno",$B$599="Preço",OR($B$601="rs",$B$601="rs_m2_terreno")),AND($B$598="terreno",$B$599="Registro",OR($B$601="rs",$B$601="rs_m2_priv")),AND($B$598="terreno",$B$599="Outro",OR($B$601="rs",$B$601="pct_vgv")),AND($B$598="obra",$B$599="Construção",OR($B$601="rs",$B$601="rs_m2_priv")),AND($B$598="obra",$B$599="Outorga",OR($B$601="rs",$B$601="pct_vgv")),AND($B$598="obra",$B$599="Decoração",OR($B$601="rs",$B$601="rs_m2_priv")),AND($B$598="obra",$B$599="Gestão da obra",OR($B$601="rs",$B$601="pct_obra")),AND($B$598="obra",$B$599="Contingência",OR($B$601="rs",$B$601="pct_vgv")),AND($B$598="obra",$B$599="Outro",OR($B$601="rs",$B$601="pct_vgv")),AND($B$598="diretos",$B$599="Marketing &amp; Publicidade",OR($B$601="rs",$B$601="pct_vgv",$B$601="pct_recebido")),AND($B$598="diretos",$B$599="Corretagem de vendas",OR($B$601="pct_vgv")),AND($B$598="diretos",$B$599="Projetos",OR($B$601="rs",$B$601="rs_m2_priv",$B$601="pct_constr")),AND($B$598="diretos",$B$599="Licenças e Aprovações",OR($B$601="rs",$B$601="rs_m2_priv")),AND($B$598="diretos",$B$599="Manutenção pós-obra",OR($B$601="rs",$B$601="pct_vgv",$B$601="pct_recebido")),AND($B$598="diretos",$B$599="Outro",OR($B$601="rs",$B$601="pct_vgv",$B$601="pct_recebido")),AND($B$598="indireto",$B$599="Marketing global",OR($B$601="rs",$B$601="pct_vgv",$B$601="pct_recebido")),AND($B$598="indireto",$B$599="Stand de vendas",OR($B$601="rs",$B$601="pct_vgv")),AND($B$598="indireto",$B$599="Gestão",OR($B$601="rs",$B$601="pct_vgv",$B$601="pct_recebido")),AND($B$598="indireto",$B$599="Outro",OR($B$601="rs",$B$601="pct_vgv",$B$601="pct_recebido")),AND($B$598="financeiro",$B$599="Juros de financiamento",OR($B$601="rs",$B$601="pct_vgv")),AND($B$598="financeiro",$B$599="Taxas bancárias",OR($B$601="rs",$B$601="pct_vgv")),AND($B$598="financeiro",$B$599="Estruturação de dívida",OR($B$601="rs",$B$601="pct_vgv")),AND($B$598="financeiro",$B$599="Investidores",OR($B$601="rs",$B$601="pct_vgv")),AND($B$598="financeiro",$B$599="Outro",OR($B$601="rs",$B$601="pct_vgv")))),"⚠ unidade não aceita nesta categoria",IF(AND($B$602&lt;&gt;"",$B$603&lt;&gt;""),"⚠ preencha só uma linha de valor",IF(IF(LEFT($B$601,3)="pct",$B$603="",$B$602=""),"⚠ falta o valor na linha certa","OK")))))</f>
        <v/>
      </c>
      <c r="C919" s="20" t="inlineStr">
        <is>
          <t>alerta</t>
        </is>
      </c>
      <c r="D919" s="21" t="inlineStr">
        <is>
          <t>calculado</t>
        </is>
      </c>
    </row>
    <row r="920">
      <c r="A920" s="18" t="inlineStr">
        <is>
          <t>Custo 28 — conferência</t>
        </is>
      </c>
      <c r="B920" s="23">
        <f>IF(AND($B$609="",$B$610=""),"",IF(OR($B$609="",$B$610="",$B$612=""),"⚠ falta grupo, categoria ou unidade",IF(NOT(OR(AND($B$609="terreno",$B$610="Preço",OR($B$612="rs",$B$612="rs_m2_terreno")),AND($B$609="terreno",$B$610="Registro",OR($B$612="rs",$B$612="rs_m2_priv")),AND($B$609="terreno",$B$610="Outro",OR($B$612="rs",$B$612="pct_vgv")),AND($B$609="obra",$B$610="Construção",OR($B$612="rs",$B$612="rs_m2_priv")),AND($B$609="obra",$B$610="Outorga",OR($B$612="rs",$B$612="pct_vgv")),AND($B$609="obra",$B$610="Decoração",OR($B$612="rs",$B$612="rs_m2_priv")),AND($B$609="obra",$B$610="Gestão da obra",OR($B$612="rs",$B$612="pct_obra")),AND($B$609="obra",$B$610="Contingência",OR($B$612="rs",$B$612="pct_vgv")),AND($B$609="obra",$B$610="Outro",OR($B$612="rs",$B$612="pct_vgv")),AND($B$609="diretos",$B$610="Marketing &amp; Publicidade",OR($B$612="rs",$B$612="pct_vgv",$B$612="pct_recebido")),AND($B$609="diretos",$B$610="Corretagem de vendas",OR($B$612="pct_vgv")),AND($B$609="diretos",$B$610="Projetos",OR($B$612="rs",$B$612="rs_m2_priv",$B$612="pct_constr")),AND($B$609="diretos",$B$610="Licenças e Aprovações",OR($B$612="rs",$B$612="rs_m2_priv")),AND($B$609="diretos",$B$610="Manutenção pós-obra",OR($B$612="rs",$B$612="pct_vgv",$B$612="pct_recebido")),AND($B$609="diretos",$B$610="Outro",OR($B$612="rs",$B$612="pct_vgv",$B$612="pct_recebido")),AND($B$609="indireto",$B$610="Marketing global",OR($B$612="rs",$B$612="pct_vgv",$B$612="pct_recebido")),AND($B$609="indireto",$B$610="Stand de vendas",OR($B$612="rs",$B$612="pct_vgv")),AND($B$609="indireto",$B$610="Gestão",OR($B$612="rs",$B$612="pct_vgv",$B$612="pct_recebido")),AND($B$609="indireto",$B$610="Outro",OR($B$612="rs",$B$612="pct_vgv",$B$612="pct_recebido")),AND($B$609="financeiro",$B$610="Juros de financiamento",OR($B$612="rs",$B$612="pct_vgv")),AND($B$609="financeiro",$B$610="Taxas bancárias",OR($B$612="rs",$B$612="pct_vgv")),AND($B$609="financeiro",$B$610="Estruturação de dívida",OR($B$612="rs",$B$612="pct_vgv")),AND($B$609="financeiro",$B$610="Investidores",OR($B$612="rs",$B$612="pct_vgv")),AND($B$609="financeiro",$B$610="Outro",OR($B$612="rs",$B$612="pct_vgv")))),"⚠ unidade não aceita nesta categoria",IF(AND($B$613&lt;&gt;"",$B$614&lt;&gt;""),"⚠ preencha só uma linha de valor",IF(IF(LEFT($B$612,3)="pct",$B$614="",$B$613=""),"⚠ falta o valor na linha certa","OK")))))</f>
        <v/>
      </c>
      <c r="C920" s="20" t="inlineStr">
        <is>
          <t>alerta</t>
        </is>
      </c>
      <c r="D920" s="21" t="inlineStr">
        <is>
          <t>calculado</t>
        </is>
      </c>
    </row>
    <row r="921">
      <c r="A921" s="18" t="inlineStr">
        <is>
          <t>Cada 1% do VGV de tabela equivale a (para converter Projetos, que não aceita % do VGV)</t>
        </is>
      </c>
      <c r="B921" s="24">
        <f>$B$801*0.01</f>
        <v/>
      </c>
      <c r="C921" s="20" t="inlineStr">
        <is>
          <t>R$</t>
        </is>
      </c>
      <c r="D921" s="21" t="inlineStr">
        <is>
          <t>calculado</t>
        </is>
      </c>
    </row>
    <row r="922">
      <c r="A922" s="18" t="inlineStr">
        <is>
          <t>Σ custos conversíveis — terreno</t>
        </is>
      </c>
      <c r="B922" s="24">
        <f>IF($B$312="terreno",N($B$865),0)+IF($B$323="terreno",N($B$866),0)+IF($B$334="terreno",N($B$867),0)+IF($B$345="terreno",N($B$868),0)+IF($B$356="terreno",N($B$869),0)+IF($B$367="terreno",N($B$870),0)+IF($B$378="terreno",N($B$871),0)+IF($B$389="terreno",N($B$872),0)+IF($B$400="terreno",N($B$873),0)+IF($B$411="terreno",N($B$874),0)+IF($B$422="terreno",N($B$875),0)+IF($B$433="terreno",N($B$876),0)+IF($B$444="terreno",N($B$877),0)+IF($B$455="terreno",N($B$878),0)+IF($B$466="terreno",N($B$879),0)+IF($B$477="terreno",N($B$880),0)+IF($B$488="terreno",N($B$881),0)+IF($B$499="terreno",N($B$882),0)+IF($B$510="terreno",N($B$883),0)+IF($B$521="terreno",N($B$884),0)+IF($B$532="terreno",N($B$885),0)+IF($B$543="terreno",N($B$886),0)+IF($B$554="terreno",N($B$887),0)+IF($B$565="terreno",N($B$888),0)+IF($B$576="terreno",N($B$889),0)+IF($B$587="terreno",N($B$890),0)+IF($B$598="terreno",N($B$891),0)+IF($B$609="terreno",N($B$892),0)</f>
        <v/>
      </c>
      <c r="C922" s="20" t="inlineStr">
        <is>
          <t>R$</t>
        </is>
      </c>
      <c r="D922" s="21" t="inlineStr">
        <is>
          <t>calculado</t>
        </is>
      </c>
    </row>
    <row r="923">
      <c r="A923" s="18" t="inlineStr">
        <is>
          <t>Σ custos conversíveis — obra</t>
        </is>
      </c>
      <c r="B923" s="24">
        <f>IF($B$312="obra",N($B$865),0)+IF($B$323="obra",N($B$866),0)+IF($B$334="obra",N($B$867),0)+IF($B$345="obra",N($B$868),0)+IF($B$356="obra",N($B$869),0)+IF($B$367="obra",N($B$870),0)+IF($B$378="obra",N($B$871),0)+IF($B$389="obra",N($B$872),0)+IF($B$400="obra",N($B$873),0)+IF($B$411="obra",N($B$874),0)+IF($B$422="obra",N($B$875),0)+IF($B$433="obra",N($B$876),0)+IF($B$444="obra",N($B$877),0)+IF($B$455="obra",N($B$878),0)+IF($B$466="obra",N($B$879),0)+IF($B$477="obra",N($B$880),0)+IF($B$488="obra",N($B$881),0)+IF($B$499="obra",N($B$882),0)+IF($B$510="obra",N($B$883),0)+IF($B$521="obra",N($B$884),0)+IF($B$532="obra",N($B$885),0)+IF($B$543="obra",N($B$886),0)+IF($B$554="obra",N($B$887),0)+IF($B$565="obra",N($B$888),0)+IF($B$576="obra",N($B$889),0)+IF($B$587="obra",N($B$890),0)+IF($B$598="obra",N($B$891),0)+IF($B$609="obra",N($B$892),0)</f>
        <v/>
      </c>
      <c r="C923" s="20" t="inlineStr">
        <is>
          <t>R$</t>
        </is>
      </c>
      <c r="D923" s="21" t="inlineStr">
        <is>
          <t>calculado</t>
        </is>
      </c>
    </row>
    <row r="924">
      <c r="A924" s="18" t="inlineStr">
        <is>
          <t>Σ custos conversíveis — diretos</t>
        </is>
      </c>
      <c r="B924" s="24">
        <f>IF($B$312="diretos",N($B$865),0)+IF($B$323="diretos",N($B$866),0)+IF($B$334="diretos",N($B$867),0)+IF($B$345="diretos",N($B$868),0)+IF($B$356="diretos",N($B$869),0)+IF($B$367="diretos",N($B$870),0)+IF($B$378="diretos",N($B$871),0)+IF($B$389="diretos",N($B$872),0)+IF($B$400="diretos",N($B$873),0)+IF($B$411="diretos",N($B$874),0)+IF($B$422="diretos",N($B$875),0)+IF($B$433="diretos",N($B$876),0)+IF($B$444="diretos",N($B$877),0)+IF($B$455="diretos",N($B$878),0)+IF($B$466="diretos",N($B$879),0)+IF($B$477="diretos",N($B$880),0)+IF($B$488="diretos",N($B$881),0)+IF($B$499="diretos",N($B$882),0)+IF($B$510="diretos",N($B$883),0)+IF($B$521="diretos",N($B$884),0)+IF($B$532="diretos",N($B$885),0)+IF($B$543="diretos",N($B$886),0)+IF($B$554="diretos",N($B$887),0)+IF($B$565="diretos",N($B$888),0)+IF($B$576="diretos",N($B$889),0)+IF($B$587="diretos",N($B$890),0)+IF($B$598="diretos",N($B$891),0)+IF($B$609="diretos",N($B$892),0)</f>
        <v/>
      </c>
      <c r="C924" s="20" t="inlineStr">
        <is>
          <t>R$</t>
        </is>
      </c>
      <c r="D924" s="21" t="inlineStr">
        <is>
          <t>calculado</t>
        </is>
      </c>
    </row>
    <row r="925">
      <c r="A925" s="18" t="inlineStr">
        <is>
          <t>Σ custos conversíveis — indireto</t>
        </is>
      </c>
      <c r="B925" s="24">
        <f>IF($B$312="indireto",N($B$865),0)+IF($B$323="indireto",N($B$866),0)+IF($B$334="indireto",N($B$867),0)+IF($B$345="indireto",N($B$868),0)+IF($B$356="indireto",N($B$869),0)+IF($B$367="indireto",N($B$870),0)+IF($B$378="indireto",N($B$871),0)+IF($B$389="indireto",N($B$872),0)+IF($B$400="indireto",N($B$873),0)+IF($B$411="indireto",N($B$874),0)+IF($B$422="indireto",N($B$875),0)+IF($B$433="indireto",N($B$876),0)+IF($B$444="indireto",N($B$877),0)+IF($B$455="indireto",N($B$878),0)+IF($B$466="indireto",N($B$879),0)+IF($B$477="indireto",N($B$880),0)+IF($B$488="indireto",N($B$881),0)+IF($B$499="indireto",N($B$882),0)+IF($B$510="indireto",N($B$883),0)+IF($B$521="indireto",N($B$884),0)+IF($B$532="indireto",N($B$885),0)+IF($B$543="indireto",N($B$886),0)+IF($B$554="indireto",N($B$887),0)+IF($B$565="indireto",N($B$888),0)+IF($B$576="indireto",N($B$889),0)+IF($B$587="indireto",N($B$890),0)+IF($B$598="indireto",N($B$891),0)+IF($B$609="indireto",N($B$892),0)</f>
        <v/>
      </c>
      <c r="C925" s="20" t="inlineStr">
        <is>
          <t>R$</t>
        </is>
      </c>
      <c r="D925" s="21" t="inlineStr">
        <is>
          <t>calculado</t>
        </is>
      </c>
    </row>
    <row r="926">
      <c r="A926" s="18" t="inlineStr">
        <is>
          <t>Σ custos conversíveis — financeiro</t>
        </is>
      </c>
      <c r="B926" s="24">
        <f>IF($B$312="financeiro",N($B$865),0)+IF($B$323="financeiro",N($B$866),0)+IF($B$334="financeiro",N($B$867),0)+IF($B$345="financeiro",N($B$868),0)+IF($B$356="financeiro",N($B$869),0)+IF($B$367="financeiro",N($B$870),0)+IF($B$378="financeiro",N($B$871),0)+IF($B$389="financeiro",N($B$872),0)+IF($B$400="financeiro",N($B$873),0)+IF($B$411="financeiro",N($B$874),0)+IF($B$422="financeiro",N($B$875),0)+IF($B$433="financeiro",N($B$876),0)+IF($B$444="financeiro",N($B$877),0)+IF($B$455="financeiro",N($B$878),0)+IF($B$466="financeiro",N($B$879),0)+IF($B$477="financeiro",N($B$880),0)+IF($B$488="financeiro",N($B$881),0)+IF($B$499="financeiro",N($B$882),0)+IF($B$510="financeiro",N($B$883),0)+IF($B$521="financeiro",N($B$884),0)+IF($B$532="financeiro",N($B$885),0)+IF($B$543="financeiro",N($B$886),0)+IF($B$554="financeiro",N($B$887),0)+IF($B$565="financeiro",N($B$888),0)+IF($B$576="financeiro",N($B$889),0)+IF($B$587="financeiro",N($B$890),0)+IF($B$598="financeiro",N($B$891),0)+IF($B$609="financeiro",N($B$892),0)</f>
        <v/>
      </c>
      <c r="C926" s="20" t="inlineStr">
        <is>
          <t>R$</t>
        </is>
      </c>
      <c r="D926" s="21" t="inlineStr">
        <is>
          <t>calculado</t>
        </is>
      </c>
    </row>
    <row r="927">
      <c r="A927" s="18" t="inlineStr">
        <is>
          <t>Permuta física 1 — VGV entregue (unidades × área × preço sugerido)</t>
        </is>
      </c>
      <c r="B927" s="24">
        <f>IF($B$620="",0,N($B$621)*(($B$58=$B$620)*(N($B$59)+N($B$60))*N($B$62)+($B$64=$B$620)*(N($B$65)+N($B$66))*N($B$68)+($B$70=$B$620)*(N($B$71)+N($B$72))*N($B$74)+($B$76=$B$620)*(N($B$77)+N($B$78))*N($B$80)+($B$82=$B$620)*(N($B$83)+N($B$84))*N($B$86)+($B$88=$B$620)*(N($B$89)+N($B$90))*N($B$92)+($B$94=$B$620)*(N($B$95)+N($B$96))*N($B$98)+($B$100=$B$620)*(N($B$101)+N($B$102))*N($B$104)+($B$106=$B$620)*(N($B$107)+N($B$108))*N($B$110)+($B$112=$B$620)*(N($B$113)+N($B$114))*N($B$116)))</f>
        <v/>
      </c>
      <c r="C927" s="20" t="inlineStr">
        <is>
          <t>R$</t>
        </is>
      </c>
      <c r="D927" s="21" t="inlineStr">
        <is>
          <t>calculado</t>
        </is>
      </c>
    </row>
    <row r="928">
      <c r="A928" s="18" t="inlineStr">
        <is>
          <t>Permuta financeira 1 — equivalente em R$</t>
        </is>
      </c>
      <c r="B928" s="24">
        <f>IF($B$625="pct_vgv",N($B$627)*$B$801,IF($B$625="rs",N($B$626),0))</f>
        <v/>
      </c>
      <c r="C928" s="20" t="inlineStr">
        <is>
          <t>R$</t>
        </is>
      </c>
      <c r="D928" s="21" t="inlineStr">
        <is>
          <t>calculado</t>
        </is>
      </c>
    </row>
    <row r="929">
      <c r="A929" s="18" t="inlineStr">
        <is>
          <t>Permuta física 2 — VGV entregue (unidades × área × preço sugerido)</t>
        </is>
      </c>
      <c r="B929" s="24">
        <f>IF($B$622="",0,N($B$623)*(($B$58=$B$622)*(N($B$59)+N($B$60))*N($B$62)+($B$64=$B$622)*(N($B$65)+N($B$66))*N($B$68)+($B$70=$B$622)*(N($B$71)+N($B$72))*N($B$74)+($B$76=$B$622)*(N($B$77)+N($B$78))*N($B$80)+($B$82=$B$622)*(N($B$83)+N($B$84))*N($B$86)+($B$88=$B$622)*(N($B$89)+N($B$90))*N($B$92)+($B$94=$B$622)*(N($B$95)+N($B$96))*N($B$98)+($B$100=$B$622)*(N($B$101)+N($B$102))*N($B$104)+($B$106=$B$622)*(N($B$107)+N($B$108))*N($B$110)+($B$112=$B$622)*(N($B$113)+N($B$114))*N($B$116)))</f>
        <v/>
      </c>
      <c r="C929" s="20" t="inlineStr">
        <is>
          <t>R$</t>
        </is>
      </c>
      <c r="D929" s="21" t="inlineStr">
        <is>
          <t>calculado</t>
        </is>
      </c>
    </row>
    <row r="930">
      <c r="A930" s="18" t="inlineStr">
        <is>
          <t>Permuta financeira 2 — equivalente em R$</t>
        </is>
      </c>
      <c r="B930" s="24">
        <f>IF($B$630="pct_vgv",N($B$632)*$B$801,IF($B$630="rs",N($B$631),0))</f>
        <v/>
      </c>
      <c r="C930" s="20" t="inlineStr">
        <is>
          <t>R$</t>
        </is>
      </c>
      <c r="D930" s="21" t="inlineStr">
        <is>
          <t>calculado</t>
        </is>
      </c>
    </row>
    <row r="931">
      <c r="A931" s="18" t="inlineStr">
        <is>
          <t>Σ valor das dívidas</t>
        </is>
      </c>
      <c r="B931" s="24">
        <f>N($B$647)+N($B$660)+N($B$673)</f>
        <v/>
      </c>
      <c r="C931" s="20" t="inlineStr">
        <is>
          <t>R$</t>
        </is>
      </c>
      <c r="D931" s="21" t="inlineStr">
        <is>
          <t>calculado</t>
        </is>
      </c>
    </row>
    <row r="932">
      <c r="A932" s="18" t="inlineStr">
        <is>
          <t>Σ valor dos equities</t>
        </is>
      </c>
      <c r="B932" s="24">
        <f>N($B$686)+N($B$693)+N($B$700)</f>
        <v/>
      </c>
      <c r="C932" s="20" t="inlineStr">
        <is>
          <t>R$</t>
        </is>
      </c>
      <c r="D932" s="21" t="inlineStr">
        <is>
          <t>calculado</t>
        </is>
      </c>
    </row>
    <row r="935">
      <c r="F935" t="inlineStr">
        <is>
          <t>Preço</t>
        </is>
      </c>
    </row>
    <row r="936">
      <c r="F936" t="inlineStr">
        <is>
          <t>Registro</t>
        </is>
      </c>
    </row>
    <row r="937">
      <c r="F937" t="inlineStr">
        <is>
          <t>Outro</t>
        </is>
      </c>
    </row>
    <row r="938">
      <c r="F938" t="inlineStr">
        <is>
          <t>Construção</t>
        </is>
      </c>
    </row>
    <row r="939">
      <c r="F939" t="inlineStr">
        <is>
          <t>Outorga</t>
        </is>
      </c>
    </row>
    <row r="940">
      <c r="F940" t="inlineStr">
        <is>
          <t>Decoração</t>
        </is>
      </c>
    </row>
    <row r="941">
      <c r="F941" t="inlineStr">
        <is>
          <t>Gestão da obra</t>
        </is>
      </c>
    </row>
    <row r="942">
      <c r="F942" t="inlineStr">
        <is>
          <t>Contingência</t>
        </is>
      </c>
    </row>
    <row r="943">
      <c r="F943" t="inlineStr">
        <is>
          <t>Marketing &amp; Publicidade</t>
        </is>
      </c>
    </row>
    <row r="944">
      <c r="F944" t="inlineStr">
        <is>
          <t>Corretagem de vendas</t>
        </is>
      </c>
    </row>
    <row r="945">
      <c r="F945" t="inlineStr">
        <is>
          <t>Projetos</t>
        </is>
      </c>
    </row>
    <row r="946">
      <c r="F946" t="inlineStr">
        <is>
          <t>Licenças e Aprovações</t>
        </is>
      </c>
    </row>
    <row r="947">
      <c r="F947" t="inlineStr">
        <is>
          <t>Manutenção pós-obra</t>
        </is>
      </c>
    </row>
    <row r="948">
      <c r="F948" t="inlineStr">
        <is>
          <t>Marketing global</t>
        </is>
      </c>
    </row>
    <row r="949">
      <c r="F949" t="inlineStr">
        <is>
          <t>Gestão</t>
        </is>
      </c>
    </row>
    <row r="950">
      <c r="F950" t="inlineStr">
        <is>
          <t>Stand de vendas</t>
        </is>
      </c>
    </row>
    <row r="951">
      <c r="F951" t="inlineStr">
        <is>
          <t>Juros de financiamento</t>
        </is>
      </c>
    </row>
    <row r="952">
      <c r="F952" t="inlineStr">
        <is>
          <t>Taxas bancárias</t>
        </is>
      </c>
    </row>
    <row r="953">
      <c r="F953" t="inlineStr">
        <is>
          <t>Estruturação de dívida</t>
        </is>
      </c>
    </row>
    <row r="954">
      <c r="F954" t="inlineStr">
        <is>
          <t>Investidores</t>
        </is>
      </c>
    </row>
    <row r="956">
      <c r="F956" t="inlineStr">
        <is>
          <t>planejamento</t>
        </is>
      </c>
    </row>
    <row r="957">
      <c r="F957" t="inlineStr">
        <is>
          <t>pre_lancamento</t>
        </is>
      </c>
    </row>
    <row r="958">
      <c r="F958" t="inlineStr">
        <is>
          <t>lancamento</t>
        </is>
      </c>
    </row>
    <row r="959">
      <c r="F959" t="inlineStr">
        <is>
          <t>obra</t>
        </is>
      </c>
    </row>
    <row r="960">
      <c r="F960" t="inlineStr">
        <is>
          <t>pos_obra</t>
        </is>
      </c>
    </row>
    <row r="961">
      <c r="F961" t="inlineStr">
        <is>
          <t>customizado</t>
        </is>
      </c>
    </row>
    <row r="963">
      <c r="F963" t="inlineStr">
        <is>
          <t>Linear</t>
        </is>
      </c>
    </row>
    <row r="964">
      <c r="F964" t="inlineStr">
        <is>
          <t>Curva S</t>
        </is>
      </c>
    </row>
    <row r="965">
      <c r="F965" t="inlineStr">
        <is>
          <t>unit_delivery</t>
        </is>
      </c>
    </row>
    <row r="966">
      <c r="F966" t="inlineStr">
        <is>
          <t>sales_revenue</t>
        </is>
      </c>
    </row>
  </sheetData>
  <sheetProtection selectLockedCells="0" selectUnlockedCells="0" sheet="1" objects="0" insertRows="1" insertHyperlinks="1" autoFilter="1" scenarios="0" formatColumns="0" deleteColumns="1" insertColumns="1" pivotTables="1" deleteRows="1" formatCells="1" formatRows="0" sort="1"/>
  <mergeCells count="105">
    <mergeCell ref="A263:D263"/>
    <mergeCell ref="A303:D303"/>
    <mergeCell ref="A684:D684"/>
    <mergeCell ref="A671:D671"/>
    <mergeCell ref="A81:D81"/>
    <mergeCell ref="A288:D288"/>
    <mergeCell ref="A249:D249"/>
    <mergeCell ref="A176:D176"/>
    <mergeCell ref="A258:D258"/>
    <mergeCell ref="A421:D421"/>
    <mergeCell ref="A257:D257"/>
    <mergeCell ref="A24:D24"/>
    <mergeCell ref="A51:D51"/>
    <mergeCell ref="A751:D751"/>
    <mergeCell ref="A564:D564"/>
    <mergeCell ref="A476:D476"/>
    <mergeCell ref="A778:D778"/>
    <mergeCell ref="A241:D241"/>
    <mergeCell ref="A399:D399"/>
    <mergeCell ref="A355:D355"/>
    <mergeCell ref="A658:D658"/>
    <mergeCell ref="A283:D283"/>
    <mergeCell ref="A99:D99"/>
    <mergeCell ref="A164:D164"/>
    <mergeCell ref="A619:D619"/>
    <mergeCell ref="A575:D575"/>
    <mergeCell ref="A56:D56"/>
    <mergeCell ref="A2:D2"/>
    <mergeCell ref="A553:D553"/>
    <mergeCell ref="A278:D278"/>
    <mergeCell ref="A311:D311"/>
    <mergeCell ref="A35:D35"/>
    <mergeCell ref="A377:D377"/>
    <mergeCell ref="A333:D333"/>
    <mergeCell ref="A117:D117"/>
    <mergeCell ref="A111:D111"/>
    <mergeCell ref="A724:D724"/>
    <mergeCell ref="A142:D142"/>
    <mergeCell ref="A11:D11"/>
    <mergeCell ref="A225:D225"/>
    <mergeCell ref="A750:D750"/>
    <mergeCell ref="A153:D153"/>
    <mergeCell ref="A635:D635"/>
    <mergeCell ref="A177:D177"/>
    <mergeCell ref="A268:D268"/>
    <mergeCell ref="A217:D217"/>
    <mergeCell ref="A388:D388"/>
    <mergeCell ref="A366:D366"/>
    <mergeCell ref="A624:D624"/>
    <mergeCell ref="A864:D864"/>
    <mergeCell ref="A105:D105"/>
    <mergeCell ref="A443:D443"/>
    <mergeCell ref="A586:D586"/>
    <mergeCell ref="A322:D322"/>
    <mergeCell ref="A309:D309"/>
    <mergeCell ref="A715:D715"/>
    <mergeCell ref="A131:D131"/>
    <mergeCell ref="A542:D542"/>
    <mergeCell ref="A705:D705"/>
    <mergeCell ref="A63:D63"/>
    <mergeCell ref="A765:D765"/>
    <mergeCell ref="A293:D293"/>
    <mergeCell ref="A93:D93"/>
    <mergeCell ref="A308:D308"/>
    <mergeCell ref="A344:D344"/>
    <mergeCell ref="A310:D310"/>
    <mergeCell ref="A608:D608"/>
    <mergeCell ref="A691:D691"/>
    <mergeCell ref="A1:D1"/>
    <mergeCell ref="A69:D69"/>
    <mergeCell ref="A498:D498"/>
    <mergeCell ref="A87:D87"/>
    <mergeCell ref="A193:D193"/>
    <mergeCell ref="A233:D233"/>
    <mergeCell ref="A273:D273"/>
    <mergeCell ref="A531:D531"/>
    <mergeCell ref="A120:D120"/>
    <mergeCell ref="A57:D57"/>
    <mergeCell ref="A298:D298"/>
    <mergeCell ref="A185:D185"/>
    <mergeCell ref="A597:D597"/>
    <mergeCell ref="A4:D4"/>
    <mergeCell ref="A209:D209"/>
    <mergeCell ref="A833:D833"/>
    <mergeCell ref="A454:D454"/>
    <mergeCell ref="A432:D432"/>
    <mergeCell ref="A509:D509"/>
    <mergeCell ref="A201:D201"/>
    <mergeCell ref="A520:D520"/>
    <mergeCell ref="A119:D119"/>
    <mergeCell ref="A706:D706"/>
    <mergeCell ref="A733:D733"/>
    <mergeCell ref="A25:D25"/>
    <mergeCell ref="A410:D410"/>
    <mergeCell ref="A118:D118"/>
    <mergeCell ref="A75:D75"/>
    <mergeCell ref="A18:D18"/>
    <mergeCell ref="A487:D487"/>
    <mergeCell ref="A465:D465"/>
    <mergeCell ref="A636:D636"/>
    <mergeCell ref="A698:D698"/>
    <mergeCell ref="A749:D749"/>
    <mergeCell ref="A645:D645"/>
    <mergeCell ref="A55:D55"/>
    <mergeCell ref="A175:D175"/>
  </mergeCells>
  <dataValidations count="24">
    <dataValidation sqref="B5 B14" showDropDown="0" showInputMessage="0" showErrorMessage="0" allowBlank="1" error="No máximo 200 caracteres." type="textLength" errorStyle="warning" operator="lessThanOrEqual">
      <formula1>200</formula1>
    </dataValidation>
    <dataValidation sqref="B8" showDropDown="0" showInputMessage="0" showErrorMessage="0" allowBlank="1" errorTitle="Valor inválido" error="Escolha um valor da lista." type="list">
      <formula1>"manual,nucleo"</formula1>
    </dataValidation>
    <dataValidation sqref="B9" showDropDown="0" showInputMessage="0" showErrorMessage="0" allowBlank="1" error="No máximo 2 caracteres." type="textLength" errorStyle="warning" operator="lessThanOrEqual">
      <formula1>2</formula1>
    </dataValidation>
    <dataValidation sqref="B12 B58 B64 B70 B76 B82 B88 B94 B100 B106 B112" showDropDown="0" showInputMessage="0" showErrorMessage="0" allowBlank="1" error="No máximo 100 caracteres." type="textLength" errorStyle="warning" operator="lessThanOrEqual">
      <formula1>100</formula1>
    </dataValidation>
    <dataValidation sqref="B15 B59 B60 B62 B65 B66 B68 B71 B72 B74 B77 B78 B80 B83 B84 B86 B89 B90 B92 B95 B96 B98 B101 B102 B104 B107 B108 B110 B113 B114 B116 B262 B267 B272 B277 B282 B287 B292 B297 B302 B307 B316 B327 B338 B349 B360 B371 B382 B393 B404 B415 B426 B437 B448 B459 B470 B481 B492 B503 B514 B525 B536 B547 B558 B569 B580 B591 B602 B613 B626 B631 B639 B647 B656 B657 B660 B669 B670 B673 B682 B683 B686 B693 B700 B713 B714 B722 B723 B731 B732" showDropDown="0" showInputMessage="0" showErrorMessage="0" allowBlank="1" errorTitle="Confira o valor" error="Valor fora da faixa esperada (0 a 1000000000000.0)." type="decimal" errorStyle="warning" operator="between">
      <formula1>0</formula1>
      <formula2>1000000000000.0</formula2>
    </dataValidation>
    <dataValidation sqref="B19" showDropDown="0" showInputMessage="0" showErrorMessage="0" allowBlank="1" errorTitle="Confira o valor" error="Valor fora da faixa esperada (0 a 9.9999)." type="decimal" errorStyle="warning" operator="between">
      <formula1>0</formula1>
      <formula2>9.9999</formula2>
    </dataValidation>
    <dataValidation sqref="B20 B23 B122 B123 B124 B128 B133 B134 B135 B139 B144 B145 B146 B150 B155 B156 B157 B161 B166 B167 B168 B172 B180 B182 B183 B188 B190 B191 B196 B198 B199 B204 B206 B207 B212 B214 B215 B220 B222 B223 B228 B230 B231 B236 B238 B239 B244 B246 B247 B252 B254 B255 B627 B632 B640 B641 B642 B652 B655 B665 B668 B678 B681 B690 B697 B704 B711 B712 B720 B721 B729 B730" showDropDown="0" showInputMessage="0" showErrorMessage="0" allowBlank="1" errorTitle="Confira o valor" error="Valor fora da faixa esperada (0 a 1)." type="decimal" errorStyle="warning" operator="between">
      <formula1>0</formula1>
      <formula2>1</formula2>
    </dataValidation>
    <dataValidation sqref="B21 B22 B27 B126 B137 B148 B159 B170 B184 B192 B200 B208 B216 B224 B232 B240 B248 B256 B628 B629 B633 B634 B638 B643 B650 B663 B676" showDropDown="0" showInputMessage="0" showErrorMessage="0" allowBlank="1" errorTitle="Valor inválido" error="Escolha um valor da lista." type="list">
      <formula1>"Sim,Não"</formula1>
    </dataValidation>
    <dataValidation sqref="B28 B32 B37 B40 B43 B46 B49 B61 B67 B73 B79 B85 B91 B97 B103 B109 B115 B130 B141 B152 B163 B174 B261 B266 B271 B276 B281 B286 B291 B296 B301 B306 B320 B331 B342 B353 B364 B375 B386 B397 B408 B419 B430 B441 B452 B463 B474 B485 B496 B507 B518 B529 B540 B551 B562 B573 B584 B595 B606 B617 B621 B623 B649 B653 B654 B662 B666 B667 B675 B679 B680 B688 B695 B702 B709 B718 B727" showDropDown="0" showInputMessage="0" showErrorMessage="0" allowBlank="1" errorTitle="Confira o valor" error="Valor fora da faixa esperada (0 a 1000000000000.0)." type="whole" errorStyle="warning" operator="between">
      <formula1>0</formula1>
      <formula2>1000000000000.0</formula2>
    </dataValidation>
    <dataValidation sqref="B29 B30 B31 B33 B34 B38 B41 B44 B47 B50 B129 B140 B151 B162 B173 B181 B189 B197 B205 B213 B221 B229 B237 B245 B253 B321 B332 B343 B354 B365 B376 B387 B398 B409 B420 B431 B442 B453 B464 B475 B486 B497 B508 B519 B530 B541 B552 B563 B574 B585 B596 B607 B618 B651 B664 B677" showDropDown="0" showInputMessage="0" showErrorMessage="0" allowBlank="1" errorTitle="Confira o valor" error="Valor fora da faixa esperada (1 a 1000000000000.0)." type="whole" errorStyle="warning" operator="between">
      <formula1>1</formula1>
      <formula2>1000000000000.0</formula2>
    </dataValidation>
    <dataValidation sqref="B53" showDropDown="0" showInputMessage="0" showErrorMessage="0" allowBlank="1" errorTitle="Valor inválido" error="Escolha um valor da lista." type="list">
      <formula1>"anuncios,populacao,mercado,outro"</formula1>
    </dataValidation>
    <dataValidation sqref="B125 B136 B147 B158 B169" showDropDown="0" showInputMessage="0" showErrorMessage="0" allowBlank="1" errorTitle="Confira o valor" error="Valor fora da faixa esperada (1 a 12)." type="whole" errorStyle="warning" operator="between">
      <formula1>1</formula1>
      <formula2>12</formula2>
    </dataValidation>
    <dataValidation sqref="B127 B138 B149 B160 B171" showDropDown="0" showInputMessage="0" showErrorMessage="0" allowBlank="1" errorTitle="Valor inválido" error="Escolha um valor da lista." type="list">
      <formula1>"imediato,concentrado"</formula1>
    </dataValidation>
    <dataValidation sqref="B179 B187 B195 B203 B211 B219 B227 B235 B243 B251" showDropDown="0" showInputMessage="0" showErrorMessage="0" allowBlank="1" errorTitle="Valor inválido" error="Escolha um valor da lista." type="list">
      <formula1>"Entrada,Parcelamento"</formula1>
    </dataValidation>
    <dataValidation sqref="B315 B326 B348 B359 B370 B381 B392 B403 B414 B425 B436 B447 B458 B469 B480 B491 B502 B513 B524 B535 B546 B557 B568 B579 B590 B601 B612" showDropDown="0" showInputMessage="0" showErrorMessage="0" allowBlank="1" errorTitle="Valor inválido" error="Escolha um valor da lista." type="list">
      <formula1>"rs,rs_m2_priv,rs_m2_terreno,pct_vgv,pct_obra,pct_recebido,pct_constr"</formula1>
    </dataValidation>
    <dataValidation sqref="B317 B328 B339 B350 B361 B372 B383 B394 B405 B416 B427 B438 B449 B460 B471 B482 B493 B504 B515 B526 B537 B548 B559 B570 B581 B592 B603 B614" showDropDown="0" showInputMessage="0" showErrorMessage="0" allowBlank="1" errorTitle="Confira o valor" error="Valor fora da faixa esperada (0 a 10)." type="decimal" errorStyle="warning" operator="between">
      <formula1>0</formula1>
      <formula2>10</formula2>
    </dataValidation>
    <dataValidation sqref="B318 B329 B340 B351 B362 B373 B384 B395 B406 B417 B428 B439 B450 B461 B472 B483 B494 B505 B516 B527 B538 B549 B560 B571 B582 B593 B604 B615" showDropDown="0" showInputMessage="0" showErrorMessage="0" allowBlank="1" errorTitle="Confira o valor" error="Valor fora da lista de referência — confirme." type="list" errorStyle="warning">
      <formula1>$F$963:$F$966</formula1>
    </dataValidation>
    <dataValidation sqref="B319 B330 B341 B352 B363 B374 B385 B396 B407 B418 B429 B440 B451 B462 B473 B484 B495 B506 B517 B528 B539 B550 B561 B572 B583 B594 B605 B616 B648 B661 B674 B687 B694 B701 B708 B717 B726" showDropDown="0" showInputMessage="0" showErrorMessage="0" allowBlank="1" errorTitle="Confira o valor" error="Valor fora da lista de referência — confirme." type="list" errorStyle="warning">
      <formula1>$F$956:$F$961</formula1>
    </dataValidation>
    <dataValidation sqref="B345 B356 B367 B378 B389 B400 B411 B422 B433 B444 B455 B466 B477 B488 B499 B510 B521 B532 B543 B554 B565 B576 B587 B598 B609" showDropDown="0" showInputMessage="0" showErrorMessage="0" allowBlank="1" errorTitle="Valor inválido" error="Escolha um valor da lista." type="list">
      <formula1>"terreno,obra,diretos,indireto,financeiro"</formula1>
    </dataValidation>
    <dataValidation sqref="B346 B357 B368 B379 B390 B401 B412 B423 B434 B445 B456 B467 B478 B489 B500 B511 B522 B533 B544 B555 B566 B577 B588 B599 B610" showDropDown="0" showInputMessage="0" showErrorMessage="0" allowBlank="1" errorTitle="Confira o valor" error="Valor fora da lista de referência — confirme." type="list" errorStyle="warning">
      <formula1>$F$935:$F$954</formula1>
    </dataValidation>
    <dataValidation sqref="B625 B630" showDropDown="0" showInputMessage="0" showErrorMessage="0" allowBlank="1" errorTitle="Valor inválido" error="Escolha um valor da lista." type="list">
      <formula1>"rs,pct_vgv"</formula1>
    </dataValidation>
    <dataValidation sqref="B689 B696 B703" showDropDown="0" showInputMessage="0" showErrorMessage="0" allowBlank="1" errorTitle="Valor inválido" error="Escolha um valor da lista." type="list">
      <formula1>"permuta_financeira,resultado_final"</formula1>
    </dataValidation>
    <dataValidation sqref="B710 B719 B728" showDropDown="0" showInputMessage="0" showErrorMessage="0" allowBlank="1" errorTitle="Confira o valor" error="Valor fora da faixa esperada (0.0001 a 1)." type="decimal" errorStyle="warning" operator="between">
      <formula1>0.0001</formula1>
      <formula2>1</formula2>
    </dataValidation>
    <dataValidation sqref="B735 B736 B738 B739 B741 B742 B744 B745 B747 B748" showDropDown="0" showInputMessage="0" showErrorMessage="0" allowBlank="1" errorTitle="Confira o valor" error="Valor fora da faixa esperada (-1 a 10)." type="decimal" errorStyle="warning" operator="between">
      <formula1>-1</formula1>
      <formula2>10</formula2>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2026-10-17T02:40:17Z</dcterms:created>
  <dcterms:modified xmlns:dcterms="http://purl.org/dc/terms/" xmlns:xsi="http://www.w3.org/2001/XMLSchema-instance" xsi:type="dcterms:W3CDTF">2026-10-17T02:40:18Z</dcterms:modified>
</cp:coreProperties>
</file>