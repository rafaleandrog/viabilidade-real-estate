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ulário" sheetId="1" state="visible" r:id="rId1"/>
  </sheets>
  <definedNames>
    <definedName name="_xlnm.Print_Titles" localSheetId="0">'Formulário'!$3:$3</definedName>
  </definedNames>
  <calcPr calcId="124519" fullCalcOnLoad="1"/>
</workbook>
</file>

<file path=xl/styles.xml><?xml version="1.0" encoding="utf-8"?>
<styleSheet xmlns="http://schemas.openxmlformats.org/spreadsheetml/2006/main">
  <numFmts count="1">
    <numFmt numFmtId="164" formatCode="&quot;R$&quot; #,##0.00"/>
  </numFmts>
  <fonts count="10">
    <font>
      <name val="Calibri"/>
      <family val="2"/>
      <color theme="1"/>
      <sz val="11"/>
      <scheme val="minor"/>
    </font>
    <font>
      <b val="1"/>
      <color rgb="00FFFFFF"/>
      <sz val="14"/>
    </font>
    <font>
      <sz val="9"/>
    </font>
    <font>
      <b val="1"/>
      <color rgb="00FFFFFF"/>
    </font>
    <font>
      <b val="1"/>
      <color rgb="00FFFFFF"/>
      <sz val="11"/>
    </font>
    <font>
      <color rgb="007F7F7F"/>
      <sz val="8"/>
    </font>
    <font>
      <b val="1"/>
    </font>
    <font>
      <i val="1"/>
      <color rgb="00595959"/>
      <sz val="9"/>
    </font>
    <font>
      <b val="1"/>
      <i val="1"/>
    </font>
    <font>
      <i val="1"/>
    </font>
  </fonts>
  <fills count="9">
    <fill>
      <patternFill/>
    </fill>
    <fill>
      <patternFill patternType="gray125"/>
    </fill>
    <fill>
      <patternFill patternType="solid">
        <fgColor rgb="001F3864"/>
      </patternFill>
    </fill>
    <fill>
      <patternFill patternType="solid">
        <fgColor rgb="002F5597"/>
      </patternFill>
    </fill>
    <fill>
      <patternFill patternType="solid">
        <fgColor rgb="00FFF2CC"/>
      </patternFill>
    </fill>
    <fill>
      <patternFill patternType="solid">
        <fgColor rgb="00E7E6E6"/>
      </patternFill>
    </fill>
    <fill>
      <patternFill patternType="solid">
        <fgColor rgb="00D9E2F3"/>
      </patternFill>
    </fill>
    <fill>
      <patternFill patternType="solid">
        <fgColor rgb="00595959"/>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3" borderId="0" pivotButton="0" quotePrefix="0" xfId="0"/>
    <xf numFmtId="0" fontId="4" fillId="3" borderId="0" pivotButton="0" quotePrefix="0" xfId="0"/>
    <xf numFmtId="0" fontId="0" fillId="0" borderId="1" applyAlignment="1" pivotButton="0" quotePrefix="0" xfId="0">
      <alignment vertical="center" wrapText="1"/>
    </xf>
    <xf numFmtId="49" fontId="0" fillId="4" borderId="1" applyAlignment="1" applyProtection="1" pivotButton="0" quotePrefix="0" xfId="0">
      <alignment horizontal="right" vertical="center" wrapText="1"/>
      <protection locked="0" hidden="0"/>
    </xf>
    <xf numFmtId="0" fontId="2" fillId="0" borderId="1" applyAlignment="1" pivotButton="0" quotePrefix="0" xfId="0">
      <alignment vertical="center" wrapText="1"/>
    </xf>
    <xf numFmtId="0" fontId="5" fillId="0" borderId="1" applyAlignment="1" pivotButton="0" quotePrefix="0" xfId="0">
      <alignment vertical="center" wrapText="1"/>
    </xf>
    <xf numFmtId="49" fontId="6" fillId="5" borderId="1" applyAlignment="1" pivotButton="0" quotePrefix="0" xfId="0">
      <alignment horizontal="right" vertical="center" wrapText="1"/>
    </xf>
    <xf numFmtId="4" fontId="0" fillId="4" borderId="1" applyAlignment="1" applyProtection="1" pivotButton="0" quotePrefix="0" xfId="0">
      <alignment horizontal="right" vertical="center" wrapText="1"/>
      <protection locked="0" hidden="0"/>
    </xf>
    <xf numFmtId="0" fontId="7" fillId="0" borderId="0" applyAlignment="1" pivotButton="0" quotePrefix="0" xfId="0">
      <alignment vertical="top" wrapText="1"/>
    </xf>
    <xf numFmtId="0" fontId="8" fillId="6" borderId="0" pivotButton="0" quotePrefix="0" xfId="0"/>
    <xf numFmtId="10" fontId="0" fillId="4" borderId="1" applyAlignment="1" applyProtection="1" pivotButton="0" quotePrefix="0" xfId="0">
      <alignment horizontal="right" vertical="center" wrapText="1"/>
      <protection locked="0" hidden="0"/>
    </xf>
    <xf numFmtId="164" fontId="0" fillId="4" borderId="1" applyAlignment="1" applyProtection="1" pivotButton="0" quotePrefix="0" xfId="0">
      <alignment horizontal="right" vertical="center" wrapText="1"/>
      <protection locked="0" hidden="0"/>
    </xf>
    <xf numFmtId="1" fontId="0" fillId="4" borderId="1" applyAlignment="1" applyProtection="1" pivotButton="0" quotePrefix="0" xfId="0">
      <alignment horizontal="right" vertical="center" wrapText="1"/>
      <protection locked="0" hidden="0"/>
    </xf>
    <xf numFmtId="0" fontId="4" fillId="7" borderId="0" pivotButton="0" quotePrefix="0" xfId="0"/>
    <xf numFmtId="0" fontId="0" fillId="8" borderId="1" applyAlignment="1" pivotButton="0" quotePrefix="0" xfId="0">
      <alignment vertical="center" wrapText="1"/>
    </xf>
    <xf numFmtId="10" fontId="9" fillId="8" borderId="1" applyAlignment="1" pivotButton="0" quotePrefix="0" xfId="0">
      <alignment horizontal="right" vertical="center"/>
    </xf>
    <xf numFmtId="0" fontId="2" fillId="8" borderId="1" applyAlignment="1" pivotButton="0" quotePrefix="0" xfId="0">
      <alignment vertical="center" wrapText="1"/>
    </xf>
    <xf numFmtId="0" fontId="5" fillId="8" borderId="1" applyAlignment="1" pivotButton="0" quotePrefix="0" xfId="0">
      <alignment vertical="center" wrapText="1"/>
    </xf>
    <xf numFmtId="4" fontId="9" fillId="8" borderId="1" applyAlignment="1" pivotButton="0" quotePrefix="0" xfId="0">
      <alignment horizontal="right" vertical="center"/>
    </xf>
    <xf numFmtId="164" fontId="9" fillId="8" borderId="1" applyAlignment="1" pivotButton="0" quotePrefix="0" xfId="0">
      <alignment horizontal="right" vertical="center"/>
    </xf>
    <xf numFmtId="1" fontId="9" fillId="8" borderId="1" applyAlignment="1" pivotButton="0" quotePrefix="0" xfId="0">
      <alignment horizontal="right" vertical="center"/>
    </xf>
    <xf numFmtId="0" fontId="9" fillId="8"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F5597"/>
    <outlinePr summaryBelow="1" summaryRight="1"/>
    <pageSetUpPr fitToPage="1"/>
  </sheetPr>
  <dimension ref="A1:D246"/>
  <sheetViews>
    <sheetView showGridLines="0" workbookViewId="0">
      <pane ySplit="3" topLeftCell="A4" activePane="bottomLeft" state="frozen"/>
      <selection pane="bottomLeft" activeCell="A1" sqref="A1"/>
    </sheetView>
  </sheetViews>
  <sheetFormatPr baseColWidth="8" defaultRowHeight="15"/>
  <cols>
    <col width="58" customWidth="1" min="1" max="1"/>
    <col width="30" customWidth="1" min="2" max="2"/>
    <col width="36" customWidth="1" min="3" max="3"/>
    <col width="46" customWidth="1" min="4" max="4"/>
  </cols>
  <sheetData>
    <row r="1" ht="26" customHeight="1">
      <c r="A1" s="1" t="inlineStr">
        <is>
          <t>Formulário de estudo — Preliminar · Loteamento</t>
        </is>
      </c>
    </row>
    <row r="2" ht="92" customHeight="1">
      <c r="A2" s="2" t="inlineStr">
        <is>
          <t>Como preencher: só as células AMARELAS da coluna B. Cinza-claro com valor em negrito = fixo do tipo de estudo (não editar); cinza com itálico = calculado pelo Excel, só para conferir (não editar). * = obrigatório. PERCENTUAL: digite como porcentagem (4% ou 4 numa célula já formatada em %). O Excel guarda 0,04; a API do app espera pontos (4) e o importador converte pelo FORMATO da célula — por isso não troque o formato das células. Números sem separador de milhar e com ponto decimal quando digitados fora do Excel. CAMPO COM VÁRIAS UNIDADES: há uma linha por unidade — preencha UMA só e deixe as outras em branco; o Excel não converte uma na outra. Listas (produtos, custos…) têm vagas numeradas; vaga totalmente em branco = sem item.</t>
        </is>
      </c>
    </row>
    <row r="3">
      <c r="A3" s="3" t="inlineStr">
        <is>
          <t>Campo</t>
        </is>
      </c>
      <c r="B3" s="3" t="inlineStr">
        <is>
          <t>Valor</t>
        </is>
      </c>
      <c r="C3" s="3" t="inlineStr">
        <is>
          <t>Unidade</t>
        </is>
      </c>
      <c r="D3" s="3" t="inlineStr">
        <is>
          <t>Chave técnica (leitura por máquina)</t>
        </is>
      </c>
    </row>
    <row r="4" ht="20" customHeight="1">
      <c r="A4" s="4" t="inlineStr">
        <is>
          <t>1 · Criação do estudo</t>
        </is>
      </c>
    </row>
    <row r="5">
      <c r="A5" s="5" t="inlineStr">
        <is>
          <t>Nome do estudo *</t>
        </is>
      </c>
      <c r="B5" s="6" t="n"/>
      <c r="C5" s="7" t="inlineStr">
        <is>
          <t>texto (até 200)</t>
        </is>
      </c>
      <c r="D5" s="8" t="inlineStr">
        <is>
          <t>estudos.nome</t>
        </is>
      </c>
    </row>
    <row r="6">
      <c r="A6" s="5" t="inlineStr">
        <is>
          <t>Tipo de empreendimento</t>
        </is>
      </c>
      <c r="B6" s="9" t="inlineStr">
        <is>
          <t>loteamento</t>
        </is>
      </c>
      <c r="C6" s="7" t="inlineStr">
        <is>
          <t>fixo deste formulário</t>
        </is>
      </c>
      <c r="D6" s="8" t="inlineStr">
        <is>
          <t>estudos.tipo_empreendimento</t>
        </is>
      </c>
    </row>
    <row r="7">
      <c r="A7" s="5" t="inlineStr">
        <is>
          <t>Nível de análise</t>
        </is>
      </c>
      <c r="B7" s="9" t="inlineStr">
        <is>
          <t>preliminar</t>
        </is>
      </c>
      <c r="C7" s="7" t="inlineStr">
        <is>
          <t>fixo deste formulário</t>
        </is>
      </c>
      <c r="D7" s="8" t="inlineStr">
        <is>
          <t>estudos.nivel_analise</t>
        </is>
      </c>
    </row>
    <row r="8">
      <c r="A8" s="5" t="inlineStr">
        <is>
          <t>Origem do terreno *</t>
        </is>
      </c>
      <c r="B8" s="6" t="inlineStr">
        <is>
          <t>manual</t>
        </is>
      </c>
      <c r="C8" s="7" t="inlineStr">
        <is>
          <t>lista: manual (inserir novo) | nucleo (buscar terreno — o importador só aceita manual)</t>
        </is>
      </c>
      <c r="D8" s="8" t="inlineStr">
        <is>
          <t>estudos.origem_terreno</t>
        </is>
      </c>
    </row>
    <row r="9">
      <c r="A9" s="5" t="inlineStr">
        <is>
          <t>UF (recomendado)</t>
        </is>
      </c>
      <c r="B9" s="6" t="n"/>
      <c r="C9" s="7" t="inlineStr">
        <is>
          <t>texto, 2 letras</t>
        </is>
      </c>
      <c r="D9" s="8" t="inlineStr">
        <is>
          <t>estudos.uf</t>
        </is>
      </c>
    </row>
    <row r="10">
      <c r="A10" s="5" t="inlineStr">
        <is>
          <t>Notas</t>
        </is>
      </c>
      <c r="B10" s="6" t="n"/>
      <c r="C10" s="7" t="inlineStr">
        <is>
          <t>texto livre (só pela API)</t>
        </is>
      </c>
      <c r="D10" s="8" t="inlineStr">
        <is>
          <t>estudos.notas</t>
        </is>
      </c>
    </row>
    <row r="11" ht="20" customHeight="1">
      <c r="A11" s="4" t="inlineStr">
        <is>
          <t>2 · Premissas › Terreno &amp; Áreas</t>
        </is>
      </c>
    </row>
    <row r="12">
      <c r="A12" s="5" t="inlineStr">
        <is>
          <t>Nome do terreno (origem = manual)</t>
        </is>
      </c>
      <c r="B12" s="6" t="n"/>
      <c r="C12" s="7" t="inlineStr">
        <is>
          <t>texto (até 200)</t>
        </is>
      </c>
      <c r="D12" s="8" t="inlineStr">
        <is>
          <t>estudos.terreno_manual_nome</t>
        </is>
      </c>
    </row>
    <row r="13">
      <c r="A13" s="5" t="inlineStr">
        <is>
          <t>Área da poligonal / do terreno *</t>
        </is>
      </c>
      <c r="B13" s="10" t="n"/>
      <c r="C13" s="7" t="inlineStr">
        <is>
          <t>m² (&gt; 0)</t>
        </is>
      </c>
      <c r="D13" s="8" t="inlineStr">
        <is>
          <t>estudos.terreno_manual_area</t>
        </is>
      </c>
    </row>
    <row r="14">
      <c r="A14" s="5" t="inlineStr">
        <is>
          <t>Imóvel do Núcleo (vínculo — só se origem = nucleo)</t>
        </is>
      </c>
      <c r="B14" s="6" t="n"/>
      <c r="C14" s="7" t="inlineStr">
        <is>
          <t>id do imóvel</t>
        </is>
      </c>
      <c r="D14" s="8" t="inlineStr">
        <is>
          <t>estudo_imoveis.imovel_nucleo_id</t>
        </is>
      </c>
    </row>
    <row r="15" ht="26" customHeight="1">
      <c r="A15" s="11" t="inlineStr">
        <is>
          <t>Cascata de áreas do Loteamento. Cada linha aceita UMA entre as unidades abaixo (m², % da poligonal, % da parcelável). A APP não aceita % da parcelável (é ela que forma a parcelável).</t>
        </is>
      </c>
    </row>
    <row r="16">
      <c r="A16" s="12" t="inlineStr">
        <is>
          <t>APP — preencha uma unidade</t>
        </is>
      </c>
    </row>
    <row r="17">
      <c r="A17" s="5" t="inlineStr">
        <is>
          <t>APP — em m²</t>
        </is>
      </c>
      <c r="B17" s="10" t="n"/>
      <c r="C17" s="7" t="inlineStr">
        <is>
          <t>m²</t>
        </is>
      </c>
      <c r="D17" s="8" t="inlineStr">
        <is>
          <t>area_app_modo = m2 → area_app_valor</t>
        </is>
      </c>
    </row>
    <row r="18">
      <c r="A18" s="5" t="inlineStr">
        <is>
          <t>APP — em % da poligonal</t>
        </is>
      </c>
      <c r="B18" s="13" t="n"/>
      <c r="C18" s="7" t="inlineStr">
        <is>
          <t>% da área da poligonal</t>
        </is>
      </c>
      <c r="D18" s="8" t="inlineStr">
        <is>
          <t>area_app_modo = pct_poligonal → area_app_valor (em pontos: 8 = 8%)</t>
        </is>
      </c>
    </row>
    <row r="19">
      <c r="A19" s="12" t="inlineStr">
        <is>
          <t>Espaço Livre de Uso Público (ELUP/EPU) — preencha uma unidade</t>
        </is>
      </c>
    </row>
    <row r="20">
      <c r="A20" s="5" t="inlineStr">
        <is>
          <t>Espaço Livre de Uso Público (ELUP/EPU) — em m²</t>
        </is>
      </c>
      <c r="B20" s="10" t="n"/>
      <c r="C20" s="7" t="inlineStr">
        <is>
          <t>m²</t>
        </is>
      </c>
      <c r="D20" s="8" t="inlineStr">
        <is>
          <t>area_elup_epu_modo = m2 → area_elup_epu_valor</t>
        </is>
      </c>
    </row>
    <row r="21">
      <c r="A21" s="5" t="inlineStr">
        <is>
          <t>Espaço Livre de Uso Público (ELUP/EPU) — em % da poligonal</t>
        </is>
      </c>
      <c r="B21" s="13" t="n"/>
      <c r="C21" s="7" t="inlineStr">
        <is>
          <t>% da área da poligonal</t>
        </is>
      </c>
      <c r="D21" s="8" t="inlineStr">
        <is>
          <t>area_elup_epu_modo = pct_poligonal → area_elup_epu_valor (em pontos: 8 = 8%)</t>
        </is>
      </c>
    </row>
    <row r="22">
      <c r="A22" s="5" t="inlineStr">
        <is>
          <t>Espaço Livre de Uso Público (ELUP/EPU) — em % da parcelável</t>
        </is>
      </c>
      <c r="B22" s="13" t="n"/>
      <c r="C22" s="7" t="inlineStr">
        <is>
          <t>% da área parcelável</t>
        </is>
      </c>
      <c r="D22" s="8" t="inlineStr">
        <is>
          <t>area_elup_epu_modo = pct_parcelavel → area_elup_epu_valor (em pontos: 8 = 8%)</t>
        </is>
      </c>
    </row>
    <row r="23">
      <c r="A23" s="12" t="inlineStr">
        <is>
          <t>EPC — Equipamento Público Comunitário — preencha uma unidade</t>
        </is>
      </c>
    </row>
    <row r="24">
      <c r="A24" s="5" t="inlineStr">
        <is>
          <t>EPC — Equipamento Público Comunitário — em m²</t>
        </is>
      </c>
      <c r="B24" s="10" t="n"/>
      <c r="C24" s="7" t="inlineStr">
        <is>
          <t>m²</t>
        </is>
      </c>
      <c r="D24" s="8" t="inlineStr">
        <is>
          <t>area_epc_modo = m2 → area_epc_valor</t>
        </is>
      </c>
    </row>
    <row r="25">
      <c r="A25" s="5" t="inlineStr">
        <is>
          <t>EPC — Equipamento Público Comunitário — em % da poligonal</t>
        </is>
      </c>
      <c r="B25" s="13" t="n"/>
      <c r="C25" s="7" t="inlineStr">
        <is>
          <t>% da área da poligonal</t>
        </is>
      </c>
      <c r="D25" s="8" t="inlineStr">
        <is>
          <t>area_epc_modo = pct_poligonal → area_epc_valor (em pontos: 8 = 8%)</t>
        </is>
      </c>
    </row>
    <row r="26">
      <c r="A26" s="5" t="inlineStr">
        <is>
          <t>EPC — Equipamento Público Comunitário — em % da parcelável</t>
        </is>
      </c>
      <c r="B26" s="13" t="n"/>
      <c r="C26" s="7" t="inlineStr">
        <is>
          <t>% da área parcelável</t>
        </is>
      </c>
      <c r="D26" s="8" t="inlineStr">
        <is>
          <t>area_epc_modo = pct_parcelavel → area_epc_valor (em pontos: 8 = 8%)</t>
        </is>
      </c>
    </row>
    <row r="27">
      <c r="A27" s="12" t="inlineStr">
        <is>
          <t>Sistema viário público — preencha uma unidade</t>
        </is>
      </c>
    </row>
    <row r="28">
      <c r="A28" s="5" t="inlineStr">
        <is>
          <t>Sistema viário público — em m²</t>
        </is>
      </c>
      <c r="B28" s="10" t="n"/>
      <c r="C28" s="7" t="inlineStr">
        <is>
          <t>m²</t>
        </is>
      </c>
      <c r="D28" s="8" t="inlineStr">
        <is>
          <t>area_viario_publico_modo = m2 → area_viario_publico_valor</t>
        </is>
      </c>
    </row>
    <row r="29">
      <c r="A29" s="5" t="inlineStr">
        <is>
          <t>Sistema viário público — em % da poligonal</t>
        </is>
      </c>
      <c r="B29" s="13" t="n"/>
      <c r="C29" s="7" t="inlineStr">
        <is>
          <t>% da área da poligonal</t>
        </is>
      </c>
      <c r="D29" s="8" t="inlineStr">
        <is>
          <t>area_viario_publico_modo = pct_poligonal → area_viario_publico_valor (em pontos: 8 = 8%)</t>
        </is>
      </c>
    </row>
    <row r="30">
      <c r="A30" s="5" t="inlineStr">
        <is>
          <t>Sistema viário público — em % da parcelável</t>
        </is>
      </c>
      <c r="B30" s="13" t="n"/>
      <c r="C30" s="7" t="inlineStr">
        <is>
          <t>% da área parcelável</t>
        </is>
      </c>
      <c r="D30" s="8" t="inlineStr">
        <is>
          <t>area_viario_publico_modo = pct_parcelavel → area_viario_publico_valor (em pontos: 8 = 8%)</t>
        </is>
      </c>
    </row>
    <row r="31">
      <c r="A31" s="12" t="inlineStr">
        <is>
          <t>Sistema viário privado — preencha uma unidade</t>
        </is>
      </c>
    </row>
    <row r="32">
      <c r="A32" s="5" t="inlineStr">
        <is>
          <t>Sistema viário privado — em m²</t>
        </is>
      </c>
      <c r="B32" s="10" t="n"/>
      <c r="C32" s="7" t="inlineStr">
        <is>
          <t>m²</t>
        </is>
      </c>
      <c r="D32" s="8" t="inlineStr">
        <is>
          <t>area_viario_privado_modo = m2 → area_viario_privado_valor</t>
        </is>
      </c>
    </row>
    <row r="33">
      <c r="A33" s="5" t="inlineStr">
        <is>
          <t>Sistema viário privado — em % da poligonal</t>
        </is>
      </c>
      <c r="B33" s="13" t="n"/>
      <c r="C33" s="7" t="inlineStr">
        <is>
          <t>% da área da poligonal</t>
        </is>
      </c>
      <c r="D33" s="8" t="inlineStr">
        <is>
          <t>area_viario_privado_modo = pct_poligonal → area_viario_privado_valor (em pontos: 8 = 8%)</t>
        </is>
      </c>
    </row>
    <row r="34">
      <c r="A34" s="5" t="inlineStr">
        <is>
          <t>Sistema viário privado — em % da parcelável</t>
        </is>
      </c>
      <c r="B34" s="13" t="n"/>
      <c r="C34" s="7" t="inlineStr">
        <is>
          <t>% da área parcelável</t>
        </is>
      </c>
      <c r="D34" s="8" t="inlineStr">
        <is>
          <t>area_viario_privado_modo = pct_parcelavel → area_viario_privado_valor (em pontos: 8 = 8%)</t>
        </is>
      </c>
    </row>
    <row r="35">
      <c r="A35" s="12" t="inlineStr">
        <is>
          <t>Áreas comuns privadas (incl. portaria) — preencha uma unidade</t>
        </is>
      </c>
    </row>
    <row r="36">
      <c r="A36" s="5" t="inlineStr">
        <is>
          <t>Áreas comuns privadas (incl. portaria) — em m²</t>
        </is>
      </c>
      <c r="B36" s="10" t="n"/>
      <c r="C36" s="7" t="inlineStr">
        <is>
          <t>m²</t>
        </is>
      </c>
      <c r="D36" s="8" t="inlineStr">
        <is>
          <t>area_comuns_privadas_modo = m2 → area_comuns_privadas_valor</t>
        </is>
      </c>
    </row>
    <row r="37">
      <c r="A37" s="5" t="inlineStr">
        <is>
          <t>Áreas comuns privadas (incl. portaria) — em % da poligonal</t>
        </is>
      </c>
      <c r="B37" s="13" t="n"/>
      <c r="C37" s="7" t="inlineStr">
        <is>
          <t>% da área da poligonal</t>
        </is>
      </c>
      <c r="D37" s="8" t="inlineStr">
        <is>
          <t>area_comuns_privadas_modo = pct_poligonal → area_comuns_privadas_valor (em pontos: 8 = 8%)</t>
        </is>
      </c>
    </row>
    <row r="38">
      <c r="A38" s="5" t="inlineStr">
        <is>
          <t>Áreas comuns privadas (incl. portaria) — em % da parcelável</t>
        </is>
      </c>
      <c r="B38" s="13" t="n"/>
      <c r="C38" s="7" t="inlineStr">
        <is>
          <t>% da área parcelável</t>
        </is>
      </c>
      <c r="D38" s="8" t="inlineStr">
        <is>
          <t>area_comuns_privadas_modo = pct_parcelavel → area_comuns_privadas_valor (em pontos: 8 = 8%)</t>
        </is>
      </c>
    </row>
    <row r="39">
      <c r="A39" s="12" t="inlineStr">
        <is>
          <t>Áreas verdes — preencha uma unidade</t>
        </is>
      </c>
    </row>
    <row r="40">
      <c r="A40" s="5" t="inlineStr">
        <is>
          <t>Áreas verdes — em m²</t>
        </is>
      </c>
      <c r="B40" s="10" t="n"/>
      <c r="C40" s="7" t="inlineStr">
        <is>
          <t>m²</t>
        </is>
      </c>
      <c r="D40" s="8" t="inlineStr">
        <is>
          <t>area_verdes_modo = m2 → area_verdes_valor</t>
        </is>
      </c>
    </row>
    <row r="41">
      <c r="A41" s="5" t="inlineStr">
        <is>
          <t>Áreas verdes — em % da poligonal</t>
        </is>
      </c>
      <c r="B41" s="13" t="n"/>
      <c r="C41" s="7" t="inlineStr">
        <is>
          <t>% da área da poligonal</t>
        </is>
      </c>
      <c r="D41" s="8" t="inlineStr">
        <is>
          <t>area_verdes_modo = pct_poligonal → area_verdes_valor (em pontos: 8 = 8%)</t>
        </is>
      </c>
    </row>
    <row r="42">
      <c r="A42" s="5" t="inlineStr">
        <is>
          <t>Áreas verdes — em % da parcelável</t>
        </is>
      </c>
      <c r="B42" s="13" t="n"/>
      <c r="C42" s="7" t="inlineStr">
        <is>
          <t>% da área parcelável</t>
        </is>
      </c>
      <c r="D42" s="8" t="inlineStr">
        <is>
          <t>area_verdes_modo = pct_parcelavel → area_verdes_valor (em pontos: 8 = 8%)</t>
        </is>
      </c>
    </row>
    <row r="43">
      <c r="A43" s="5" t="inlineStr">
        <is>
          <t>Imagem principal (nome do arquivo; envio à parte)</t>
        </is>
      </c>
      <c r="B43" s="6" t="n"/>
      <c r="C43" s="7" t="inlineStr">
        <is>
          <t>png/jpeg/webp/pdf ≤ 25 MB</t>
        </is>
      </c>
      <c r="D43" s="8" t="inlineStr">
        <is>
          <t>estudo_documentos (categoria imagem_principal)</t>
        </is>
      </c>
    </row>
    <row r="44" ht="20" customHeight="1">
      <c r="A44" s="4" t="inlineStr">
        <is>
          <t>3 · Premissas › Custos</t>
        </is>
      </c>
    </row>
    <row r="45">
      <c r="A45" s="5" t="inlineStr">
        <is>
          <t>Considerar custo de aquisição do terreno *</t>
        </is>
      </c>
      <c r="B45" s="6" t="inlineStr">
        <is>
          <t>Sim</t>
        </is>
      </c>
      <c r="C45" s="7" t="inlineStr">
        <is>
          <t>Sim/Não (Não zera o custo)</t>
        </is>
      </c>
      <c r="D45" s="8" t="inlineStr">
        <is>
          <t>estudos.considerar_custo_terreno</t>
        </is>
      </c>
    </row>
    <row r="46">
      <c r="A46" s="5" t="inlineStr">
        <is>
          <t>Considerar gestão e outros custos indiretos *</t>
        </is>
      </c>
      <c r="B46" s="6" t="inlineStr">
        <is>
          <t>Sim</t>
        </is>
      </c>
      <c r="C46" s="7" t="inlineStr">
        <is>
          <t>Sim/Não</t>
        </is>
      </c>
      <c r="D46" s="8" t="inlineStr">
        <is>
          <t>estudos.considerar_gestao_indiretos</t>
        </is>
      </c>
    </row>
    <row r="47">
      <c r="A47" s="5" t="inlineStr">
        <is>
          <t>Considerar contingências *</t>
        </is>
      </c>
      <c r="B47" s="6" t="inlineStr">
        <is>
          <t>Sim</t>
        </is>
      </c>
      <c r="C47" s="7" t="inlineStr">
        <is>
          <t>Sim/Não</t>
        </is>
      </c>
      <c r="D47" s="8" t="inlineStr">
        <is>
          <t>estudos.considerar_contingencias</t>
        </is>
      </c>
    </row>
    <row r="48">
      <c r="A48" s="5" t="inlineStr">
        <is>
          <t>Custo do terreno *</t>
        </is>
      </c>
      <c r="B48" s="14" t="n"/>
      <c r="C48" s="7" t="inlineStr">
        <is>
          <t>R$/m² de terreno</t>
        </is>
      </c>
      <c r="D48" s="8" t="inlineStr">
        <is>
          <t>estudos.custo_terreno_m2</t>
        </is>
      </c>
    </row>
    <row r="49">
      <c r="A49" s="12" t="inlineStr">
        <is>
          <t>Infraestrutura * — preencha uma unidade</t>
        </is>
      </c>
    </row>
    <row r="50">
      <c r="A50" s="5" t="inlineStr">
        <is>
          <t>Infraestrutura — em % do VGV</t>
        </is>
      </c>
      <c r="B50" s="13" t="n"/>
      <c r="C50" s="7" t="inlineStr">
        <is>
          <t>% do VGV</t>
        </is>
      </c>
      <c r="D50" s="8" t="inlineStr">
        <is>
          <t>infra_modo = pct_vgv → infra_pct</t>
        </is>
      </c>
    </row>
    <row r="51">
      <c r="A51" s="5" t="inlineStr">
        <is>
          <t>Infraestrutura — em R$ (valor fixo)</t>
        </is>
      </c>
      <c r="B51" s="14" t="n"/>
      <c r="C51" s="7" t="inlineStr">
        <is>
          <t>R$ (valor cheio)</t>
        </is>
      </c>
      <c r="D51" s="8" t="inlineStr">
        <is>
          <t>infra_modo = valor_fixo → infra_valor_fixo</t>
        </is>
      </c>
    </row>
    <row r="52">
      <c r="A52" s="5" t="inlineStr">
        <is>
          <t>Infraestrutura — em R$/m² de ALV</t>
        </is>
      </c>
      <c r="B52" s="14" t="n"/>
      <c r="C52" s="7" t="inlineStr">
        <is>
          <t>R$/m² de ALV (área líquida de venda)</t>
        </is>
      </c>
      <c r="D52" s="8" t="inlineStr">
        <is>
          <t>infra_modo = valor_m2 → custo_infra_m2</t>
        </is>
      </c>
    </row>
    <row r="53">
      <c r="A53" s="12" t="inlineStr">
        <is>
          <t>Projetos * — preencha uma unidade</t>
        </is>
      </c>
    </row>
    <row r="54">
      <c r="A54" s="5" t="inlineStr">
        <is>
          <t>Projetos — em % do VGV</t>
        </is>
      </c>
      <c r="B54" s="13" t="n"/>
      <c r="C54" s="7" t="inlineStr">
        <is>
          <t>% do VGV</t>
        </is>
      </c>
      <c r="D54" s="8" t="inlineStr">
        <is>
          <t>projetos_modo = pct_vgv → projetos_pct</t>
        </is>
      </c>
    </row>
    <row r="55">
      <c r="A55" s="5" t="inlineStr">
        <is>
          <t>Projetos — em R$ (valor fixo)</t>
        </is>
      </c>
      <c r="B55" s="14" t="n"/>
      <c r="C55" s="7" t="inlineStr">
        <is>
          <t>R$ (valor cheio)</t>
        </is>
      </c>
      <c r="D55" s="8" t="inlineStr">
        <is>
          <t>projetos_modo = valor_fixo → projetos_valor_fixo</t>
        </is>
      </c>
    </row>
    <row r="56">
      <c r="A56" s="5" t="inlineStr">
        <is>
          <t>Projetos — em % do custo de obras</t>
        </is>
      </c>
      <c r="B56" s="13" t="n"/>
      <c r="C56" s="7" t="inlineStr">
        <is>
          <t>% do custo de obras (infraestrutura)</t>
        </is>
      </c>
      <c r="D56" s="8" t="inlineStr">
        <is>
          <t>projetos_modo = pct_constr → projetos_pct</t>
        </is>
      </c>
    </row>
    <row r="57">
      <c r="A57" s="12" t="inlineStr">
        <is>
          <t>Demais custos (unidade fixa)</t>
        </is>
      </c>
    </row>
    <row r="58">
      <c r="A58" s="5" t="inlineStr">
        <is>
          <t>Manutenção pós-obra</t>
        </is>
      </c>
      <c r="B58" s="13" t="n"/>
      <c r="C58" s="7" t="inlineStr">
        <is>
          <t>% do VGV</t>
        </is>
      </c>
      <c r="D58" s="8" t="inlineStr">
        <is>
          <t>estudos.manutencao_pct</t>
        </is>
      </c>
    </row>
    <row r="59">
      <c r="A59" s="5" t="inlineStr">
        <is>
          <t>Contingências</t>
        </is>
      </c>
      <c r="B59" s="13" t="n"/>
      <c r="C59" s="7" t="inlineStr">
        <is>
          <t>% do VGV</t>
        </is>
      </c>
      <c r="D59" s="8" t="inlineStr">
        <is>
          <t>estudos.contingencias_pct</t>
        </is>
      </c>
    </row>
    <row r="60">
      <c r="A60" s="5" t="inlineStr">
        <is>
          <t>Stand de vendas</t>
        </is>
      </c>
      <c r="B60" s="14" t="n"/>
      <c r="C60" s="7" t="inlineStr">
        <is>
          <t>R$ (valor cheio)</t>
        </is>
      </c>
      <c r="D60" s="8" t="inlineStr">
        <is>
          <t>estudos.stand_vendas_valor</t>
        </is>
      </c>
    </row>
    <row r="61">
      <c r="A61" s="5" t="inlineStr">
        <is>
          <t>Gestão e outros custos indiretos</t>
        </is>
      </c>
      <c r="B61" s="13" t="n"/>
      <c r="C61" s="7" t="inlineStr">
        <is>
          <t>% do VGV</t>
        </is>
      </c>
      <c r="D61" s="8" t="inlineStr">
        <is>
          <t>estudos.gestao_indiretos_pct</t>
        </is>
      </c>
    </row>
    <row r="62">
      <c r="A62" s="5" t="inlineStr">
        <is>
          <t>Sujeito a RET *</t>
        </is>
      </c>
      <c r="B62" s="6" t="n"/>
      <c r="C62" s="7" t="inlineStr">
        <is>
          <t>Sim/Não (Sim = alíquota RET da instância)</t>
        </is>
      </c>
      <c r="D62" s="8" t="inlineStr">
        <is>
          <t>estudos.sujeito_ret</t>
        </is>
      </c>
    </row>
    <row r="63">
      <c r="A63" s="5" t="inlineStr">
        <is>
          <t>Imposto (se não RET)</t>
        </is>
      </c>
      <c r="B63" s="13" t="n"/>
      <c r="C63" s="7" t="inlineStr">
        <is>
          <t>% do VGV</t>
        </is>
      </c>
      <c r="D63" s="8" t="inlineStr">
        <is>
          <t>estudos.imposto_percentual</t>
        </is>
      </c>
    </row>
    <row r="64">
      <c r="A64" s="5" t="inlineStr">
        <is>
          <t>Corretagem *</t>
        </is>
      </c>
      <c r="B64" s="13" t="n"/>
      <c r="C64" s="7" t="inlineStr">
        <is>
          <t>% do VGV</t>
        </is>
      </c>
      <c r="D64" s="8" t="inlineStr">
        <is>
          <t>estudos.corretagem_percentual</t>
        </is>
      </c>
    </row>
    <row r="65">
      <c r="A65" s="5" t="inlineStr">
        <is>
          <t>Marketing *</t>
        </is>
      </c>
      <c r="B65" s="13" t="n"/>
      <c r="C65" s="7" t="inlineStr">
        <is>
          <t>% do VGV</t>
        </is>
      </c>
      <c r="D65" s="8" t="inlineStr">
        <is>
          <t>estudos.marketing_percentual</t>
        </is>
      </c>
    </row>
    <row r="66" ht="20" customHeight="1">
      <c r="A66" s="4" t="inlineStr">
        <is>
          <t>4 · Premissas › Permutas</t>
        </is>
      </c>
    </row>
    <row r="67">
      <c r="A67" s="12" t="inlineStr">
        <is>
          <t>Permuta física (residencial) — preencha uma unidade</t>
        </is>
      </c>
    </row>
    <row r="68">
      <c r="A68" s="5" t="inlineStr">
        <is>
          <t>Permuta física (residencial) — em m²</t>
        </is>
      </c>
      <c r="B68" s="10" t="n"/>
      <c r="C68" s="7" t="inlineStr">
        <is>
          <t>m²</t>
        </is>
      </c>
      <c r="D68" s="8" t="inlineStr">
        <is>
          <t>permuta_fisica_modo = area_m2 → permuta_fisica_area_m2</t>
        </is>
      </c>
    </row>
    <row r="69">
      <c r="A69" s="5" t="inlineStr">
        <is>
          <t>Permuta física (residencial) — em % da área de venda</t>
        </is>
      </c>
      <c r="B69" s="13" t="n"/>
      <c r="C69" s="7" t="inlineStr">
        <is>
          <t>% da área de venda (ALV)</t>
        </is>
      </c>
      <c r="D69" s="8" t="inlineStr">
        <is>
          <t>permuta_fisica_modo = pct_area_venda → permuta_fisica_pct</t>
        </is>
      </c>
    </row>
    <row r="70">
      <c r="A70" s="12" t="inlineStr">
        <is>
          <t>Permuta financeira (residencial) — preencha uma unidade</t>
        </is>
      </c>
    </row>
    <row r="71">
      <c r="A71" s="5" t="inlineStr">
        <is>
          <t>Permuta financeira (residencial) — em % do VGV</t>
        </is>
      </c>
      <c r="B71" s="13" t="n"/>
      <c r="C71" s="7" t="inlineStr">
        <is>
          <t xml:space="preserve">% do VGV </t>
        </is>
      </c>
      <c r="D71" s="8" t="inlineStr">
        <is>
          <t>permuta_financeira_residencial_modo = pct_vgv → permuta_financeira_residencial_pct</t>
        </is>
      </c>
    </row>
    <row r="72">
      <c r="A72" s="5" t="inlineStr">
        <is>
          <t>Permuta financeira (residencial) — em R$ (valor fixo)</t>
        </is>
      </c>
      <c r="B72" s="14" t="n"/>
      <c r="C72" s="7" t="inlineStr">
        <is>
          <t>R$ (valor cheio)</t>
        </is>
      </c>
      <c r="D72" s="8" t="inlineStr">
        <is>
          <t>permuta_financeira_residencial_modo = valor_fixo → permuta_financeira_residencial_valor</t>
        </is>
      </c>
    </row>
    <row r="73" ht="20" customHeight="1">
      <c r="A73" s="4" t="inlineStr">
        <is>
          <t>Análise de Mercado (opcional)</t>
        </is>
      </c>
    </row>
    <row r="74">
      <c r="A74" s="5" t="inlineStr">
        <is>
          <t>Região de mercado</t>
        </is>
      </c>
      <c r="B74" s="6" t="n"/>
      <c r="C74" s="7" t="inlineStr">
        <is>
          <t>nome de região cadastrada na instância</t>
        </is>
      </c>
      <c r="D74" s="8" t="inlineStr">
        <is>
          <t>estudos.regiao_mercado_id</t>
        </is>
      </c>
    </row>
    <row r="75">
      <c r="A75" s="5" t="inlineStr">
        <is>
          <t>Apelo comercial — tipo de dado</t>
        </is>
      </c>
      <c r="B75" s="6" t="n"/>
      <c r="C75" s="7" t="inlineStr">
        <is>
          <t>lista: anuncios | populacao | mercado | outro</t>
        </is>
      </c>
      <c r="D75" s="8" t="inlineStr">
        <is>
          <t>apelo_comercial_documentos.tipo_dado</t>
        </is>
      </c>
    </row>
    <row r="76">
      <c r="A76" s="5" t="inlineStr">
        <is>
          <t>Apelo comercial — texto adicional</t>
        </is>
      </c>
      <c r="B76" s="6" t="n"/>
      <c r="C76" s="7" t="inlineStr">
        <is>
          <t>texto livre (ou envie arquivo pdf/docx/xlsx à parte)</t>
        </is>
      </c>
      <c r="D76" s="8" t="inlineStr">
        <is>
          <t>apelo_comercial_documentos.texto_adicional</t>
        </is>
      </c>
    </row>
    <row r="77" ht="20" customHeight="1">
      <c r="A77" s="4" t="inlineStr">
        <is>
          <t>5 · Produtos (Premissas › Produtos) — 10 vagas; Σ dos % = 100%</t>
        </is>
      </c>
    </row>
    <row r="78" ht="26" customHeight="1">
      <c r="A78" s="11" t="inlineStr">
        <is>
          <t>O % de cada produto é sobre a ALV (área líquida de venda). Área total, área média e VGV são calculados pelo app. Só entra no VGV a linha com % &gt; 0, unidades &gt; 0 e preço &gt; 0.</t>
        </is>
      </c>
    </row>
    <row r="79">
      <c r="A79" s="12" t="inlineStr">
        <is>
          <t>Produto 1</t>
        </is>
      </c>
    </row>
    <row r="80">
      <c r="A80" s="5" t="inlineStr">
        <is>
          <t>Produto 1 — Nome</t>
        </is>
      </c>
      <c r="B80" s="6" t="n"/>
      <c r="C80" s="7" t="inlineStr">
        <is>
          <t>texto (até 100)</t>
        </is>
      </c>
      <c r="D80" s="8" t="inlineStr">
        <is>
          <t>preliminar_produtos[1].nome</t>
        </is>
      </c>
    </row>
    <row r="81">
      <c r="A81" s="5" t="inlineStr">
        <is>
          <t>Produto 1 — Tipo</t>
        </is>
      </c>
      <c r="B81" s="6" t="n"/>
      <c r="C81" s="7" t="inlineStr">
        <is>
          <t>lista: residencial | nao_residencial</t>
        </is>
      </c>
      <c r="D81" s="8" t="inlineStr">
        <is>
          <t>preliminar_produtos[1].tipo</t>
        </is>
      </c>
    </row>
    <row r="82">
      <c r="A82" s="5" t="inlineStr">
        <is>
          <t>Produto 1 — % da base</t>
        </is>
      </c>
      <c r="B82" s="13" t="n"/>
      <c r="C82" s="7" t="inlineStr">
        <is>
          <t>% da base (Σ = 100%)</t>
        </is>
      </c>
      <c r="D82" s="8" t="inlineStr">
        <is>
          <t>preliminar_produtos[1].pct_alv</t>
        </is>
      </c>
    </row>
    <row r="83">
      <c r="A83" s="5" t="inlineStr">
        <is>
          <t>Produto 1 — Unidades</t>
        </is>
      </c>
      <c r="B83" s="15" t="n"/>
      <c r="C83" s="7" t="inlineStr">
        <is>
          <t>unidades (inteiro &gt; 0)</t>
        </is>
      </c>
      <c r="D83" s="8" t="inlineStr">
        <is>
          <t>preliminar_produtos[1].unidades</t>
        </is>
      </c>
    </row>
    <row r="84">
      <c r="A84" s="5" t="inlineStr">
        <is>
          <t>Produto 1 — Preço de venda</t>
        </is>
      </c>
      <c r="B84" s="14" t="n"/>
      <c r="C84" s="7" t="inlineStr">
        <is>
          <t>R$/m² (&gt; 0)</t>
        </is>
      </c>
      <c r="D84" s="8" t="inlineStr">
        <is>
          <t>preliminar_produtos[1].preco_venda_m2</t>
        </is>
      </c>
    </row>
    <row r="85">
      <c r="A85" s="12" t="inlineStr">
        <is>
          <t>Produto 2</t>
        </is>
      </c>
    </row>
    <row r="86">
      <c r="A86" s="5" t="inlineStr">
        <is>
          <t>Produto 2 — Nome</t>
        </is>
      </c>
      <c r="B86" s="6" t="n"/>
      <c r="C86" s="7" t="inlineStr">
        <is>
          <t>texto (até 100)</t>
        </is>
      </c>
      <c r="D86" s="8" t="inlineStr">
        <is>
          <t>preliminar_produtos[2].nome</t>
        </is>
      </c>
    </row>
    <row r="87">
      <c r="A87" s="5" t="inlineStr">
        <is>
          <t>Produto 2 — Tipo</t>
        </is>
      </c>
      <c r="B87" s="6" t="n"/>
      <c r="C87" s="7" t="inlineStr">
        <is>
          <t>lista: residencial | nao_residencial</t>
        </is>
      </c>
      <c r="D87" s="8" t="inlineStr">
        <is>
          <t>preliminar_produtos[2].tipo</t>
        </is>
      </c>
    </row>
    <row r="88">
      <c r="A88" s="5" t="inlineStr">
        <is>
          <t>Produto 2 — % da base</t>
        </is>
      </c>
      <c r="B88" s="13" t="n"/>
      <c r="C88" s="7" t="inlineStr">
        <is>
          <t>% da base (Σ = 100%)</t>
        </is>
      </c>
      <c r="D88" s="8" t="inlineStr">
        <is>
          <t>preliminar_produtos[2].pct_alv</t>
        </is>
      </c>
    </row>
    <row r="89">
      <c r="A89" s="5" t="inlineStr">
        <is>
          <t>Produto 2 — Unidades</t>
        </is>
      </c>
      <c r="B89" s="15" t="n"/>
      <c r="C89" s="7" t="inlineStr">
        <is>
          <t>unidades (inteiro &gt; 0)</t>
        </is>
      </c>
      <c r="D89" s="8" t="inlineStr">
        <is>
          <t>preliminar_produtos[2].unidades</t>
        </is>
      </c>
    </row>
    <row r="90">
      <c r="A90" s="5" t="inlineStr">
        <is>
          <t>Produto 2 — Preço de venda</t>
        </is>
      </c>
      <c r="B90" s="14" t="n"/>
      <c r="C90" s="7" t="inlineStr">
        <is>
          <t>R$/m² (&gt; 0)</t>
        </is>
      </c>
      <c r="D90" s="8" t="inlineStr">
        <is>
          <t>preliminar_produtos[2].preco_venda_m2</t>
        </is>
      </c>
    </row>
    <row r="91">
      <c r="A91" s="12" t="inlineStr">
        <is>
          <t>Produto 3</t>
        </is>
      </c>
    </row>
    <row r="92">
      <c r="A92" s="5" t="inlineStr">
        <is>
          <t>Produto 3 — Nome</t>
        </is>
      </c>
      <c r="B92" s="6" t="n"/>
      <c r="C92" s="7" t="inlineStr">
        <is>
          <t>texto (até 100)</t>
        </is>
      </c>
      <c r="D92" s="8" t="inlineStr">
        <is>
          <t>preliminar_produtos[3].nome</t>
        </is>
      </c>
    </row>
    <row r="93">
      <c r="A93" s="5" t="inlineStr">
        <is>
          <t>Produto 3 — Tipo</t>
        </is>
      </c>
      <c r="B93" s="6" t="n"/>
      <c r="C93" s="7" t="inlineStr">
        <is>
          <t>lista: residencial | nao_residencial</t>
        </is>
      </c>
      <c r="D93" s="8" t="inlineStr">
        <is>
          <t>preliminar_produtos[3].tipo</t>
        </is>
      </c>
    </row>
    <row r="94">
      <c r="A94" s="5" t="inlineStr">
        <is>
          <t>Produto 3 — % da base</t>
        </is>
      </c>
      <c r="B94" s="13" t="n"/>
      <c r="C94" s="7" t="inlineStr">
        <is>
          <t>% da base (Σ = 100%)</t>
        </is>
      </c>
      <c r="D94" s="8" t="inlineStr">
        <is>
          <t>preliminar_produtos[3].pct_alv</t>
        </is>
      </c>
    </row>
    <row r="95">
      <c r="A95" s="5" t="inlineStr">
        <is>
          <t>Produto 3 — Unidades</t>
        </is>
      </c>
      <c r="B95" s="15" t="n"/>
      <c r="C95" s="7" t="inlineStr">
        <is>
          <t>unidades (inteiro &gt; 0)</t>
        </is>
      </c>
      <c r="D95" s="8" t="inlineStr">
        <is>
          <t>preliminar_produtos[3].unidades</t>
        </is>
      </c>
    </row>
    <row r="96">
      <c r="A96" s="5" t="inlineStr">
        <is>
          <t>Produto 3 — Preço de venda</t>
        </is>
      </c>
      <c r="B96" s="14" t="n"/>
      <c r="C96" s="7" t="inlineStr">
        <is>
          <t>R$/m² (&gt; 0)</t>
        </is>
      </c>
      <c r="D96" s="8" t="inlineStr">
        <is>
          <t>preliminar_produtos[3].preco_venda_m2</t>
        </is>
      </c>
    </row>
    <row r="97">
      <c r="A97" s="12" t="inlineStr">
        <is>
          <t>Produto 4</t>
        </is>
      </c>
    </row>
    <row r="98">
      <c r="A98" s="5" t="inlineStr">
        <is>
          <t>Produto 4 — Nome</t>
        </is>
      </c>
      <c r="B98" s="6" t="n"/>
      <c r="C98" s="7" t="inlineStr">
        <is>
          <t>texto (até 100)</t>
        </is>
      </c>
      <c r="D98" s="8" t="inlineStr">
        <is>
          <t>preliminar_produtos[4].nome</t>
        </is>
      </c>
    </row>
    <row r="99">
      <c r="A99" s="5" t="inlineStr">
        <is>
          <t>Produto 4 — Tipo</t>
        </is>
      </c>
      <c r="B99" s="6" t="n"/>
      <c r="C99" s="7" t="inlineStr">
        <is>
          <t>lista: residencial | nao_residencial</t>
        </is>
      </c>
      <c r="D99" s="8" t="inlineStr">
        <is>
          <t>preliminar_produtos[4].tipo</t>
        </is>
      </c>
    </row>
    <row r="100">
      <c r="A100" s="5" t="inlineStr">
        <is>
          <t>Produto 4 — % da base</t>
        </is>
      </c>
      <c r="B100" s="13" t="n"/>
      <c r="C100" s="7" t="inlineStr">
        <is>
          <t>% da base (Σ = 100%)</t>
        </is>
      </c>
      <c r="D100" s="8" t="inlineStr">
        <is>
          <t>preliminar_produtos[4].pct_alv</t>
        </is>
      </c>
    </row>
    <row r="101">
      <c r="A101" s="5" t="inlineStr">
        <is>
          <t>Produto 4 — Unidades</t>
        </is>
      </c>
      <c r="B101" s="15" t="n"/>
      <c r="C101" s="7" t="inlineStr">
        <is>
          <t>unidades (inteiro &gt; 0)</t>
        </is>
      </c>
      <c r="D101" s="8" t="inlineStr">
        <is>
          <t>preliminar_produtos[4].unidades</t>
        </is>
      </c>
    </row>
    <row r="102">
      <c r="A102" s="5" t="inlineStr">
        <is>
          <t>Produto 4 — Preço de venda</t>
        </is>
      </c>
      <c r="B102" s="14" t="n"/>
      <c r="C102" s="7" t="inlineStr">
        <is>
          <t>R$/m² (&gt; 0)</t>
        </is>
      </c>
      <c r="D102" s="8" t="inlineStr">
        <is>
          <t>preliminar_produtos[4].preco_venda_m2</t>
        </is>
      </c>
    </row>
    <row r="103">
      <c r="A103" s="12" t="inlineStr">
        <is>
          <t>Produto 5</t>
        </is>
      </c>
    </row>
    <row r="104">
      <c r="A104" s="5" t="inlineStr">
        <is>
          <t>Produto 5 — Nome</t>
        </is>
      </c>
      <c r="B104" s="6" t="n"/>
      <c r="C104" s="7" t="inlineStr">
        <is>
          <t>texto (até 100)</t>
        </is>
      </c>
      <c r="D104" s="8" t="inlineStr">
        <is>
          <t>preliminar_produtos[5].nome</t>
        </is>
      </c>
    </row>
    <row r="105">
      <c r="A105" s="5" t="inlineStr">
        <is>
          <t>Produto 5 — Tipo</t>
        </is>
      </c>
      <c r="B105" s="6" t="n"/>
      <c r="C105" s="7" t="inlineStr">
        <is>
          <t>lista: residencial | nao_residencial</t>
        </is>
      </c>
      <c r="D105" s="8" t="inlineStr">
        <is>
          <t>preliminar_produtos[5].tipo</t>
        </is>
      </c>
    </row>
    <row r="106">
      <c r="A106" s="5" t="inlineStr">
        <is>
          <t>Produto 5 — % da base</t>
        </is>
      </c>
      <c r="B106" s="13" t="n"/>
      <c r="C106" s="7" t="inlineStr">
        <is>
          <t>% da base (Σ = 100%)</t>
        </is>
      </c>
      <c r="D106" s="8" t="inlineStr">
        <is>
          <t>preliminar_produtos[5].pct_alv</t>
        </is>
      </c>
    </row>
    <row r="107">
      <c r="A107" s="5" t="inlineStr">
        <is>
          <t>Produto 5 — Unidades</t>
        </is>
      </c>
      <c r="B107" s="15" t="n"/>
      <c r="C107" s="7" t="inlineStr">
        <is>
          <t>unidades (inteiro &gt; 0)</t>
        </is>
      </c>
      <c r="D107" s="8" t="inlineStr">
        <is>
          <t>preliminar_produtos[5].unidades</t>
        </is>
      </c>
    </row>
    <row r="108">
      <c r="A108" s="5" t="inlineStr">
        <is>
          <t>Produto 5 — Preço de venda</t>
        </is>
      </c>
      <c r="B108" s="14" t="n"/>
      <c r="C108" s="7" t="inlineStr">
        <is>
          <t>R$/m² (&gt; 0)</t>
        </is>
      </c>
      <c r="D108" s="8" t="inlineStr">
        <is>
          <t>preliminar_produtos[5].preco_venda_m2</t>
        </is>
      </c>
    </row>
    <row r="109">
      <c r="A109" s="12" t="inlineStr">
        <is>
          <t>Produto 6</t>
        </is>
      </c>
    </row>
    <row r="110">
      <c r="A110" s="5" t="inlineStr">
        <is>
          <t>Produto 6 — Nome</t>
        </is>
      </c>
      <c r="B110" s="6" t="n"/>
      <c r="C110" s="7" t="inlineStr">
        <is>
          <t>texto (até 100)</t>
        </is>
      </c>
      <c r="D110" s="8" t="inlineStr">
        <is>
          <t>preliminar_produtos[6].nome</t>
        </is>
      </c>
    </row>
    <row r="111">
      <c r="A111" s="5" t="inlineStr">
        <is>
          <t>Produto 6 — Tipo</t>
        </is>
      </c>
      <c r="B111" s="6" t="n"/>
      <c r="C111" s="7" t="inlineStr">
        <is>
          <t>lista: residencial | nao_residencial</t>
        </is>
      </c>
      <c r="D111" s="8" t="inlineStr">
        <is>
          <t>preliminar_produtos[6].tipo</t>
        </is>
      </c>
    </row>
    <row r="112">
      <c r="A112" s="5" t="inlineStr">
        <is>
          <t>Produto 6 — % da base</t>
        </is>
      </c>
      <c r="B112" s="13" t="n"/>
      <c r="C112" s="7" t="inlineStr">
        <is>
          <t>% da base (Σ = 100%)</t>
        </is>
      </c>
      <c r="D112" s="8" t="inlineStr">
        <is>
          <t>preliminar_produtos[6].pct_alv</t>
        </is>
      </c>
    </row>
    <row r="113">
      <c r="A113" s="5" t="inlineStr">
        <is>
          <t>Produto 6 — Unidades</t>
        </is>
      </c>
      <c r="B113" s="15" t="n"/>
      <c r="C113" s="7" t="inlineStr">
        <is>
          <t>unidades (inteiro &gt; 0)</t>
        </is>
      </c>
      <c r="D113" s="8" t="inlineStr">
        <is>
          <t>preliminar_produtos[6].unidades</t>
        </is>
      </c>
    </row>
    <row r="114">
      <c r="A114" s="5" t="inlineStr">
        <is>
          <t>Produto 6 — Preço de venda</t>
        </is>
      </c>
      <c r="B114" s="14" t="n"/>
      <c r="C114" s="7" t="inlineStr">
        <is>
          <t>R$/m² (&gt; 0)</t>
        </is>
      </c>
      <c r="D114" s="8" t="inlineStr">
        <is>
          <t>preliminar_produtos[6].preco_venda_m2</t>
        </is>
      </c>
    </row>
    <row r="115">
      <c r="A115" s="12" t="inlineStr">
        <is>
          <t>Produto 7</t>
        </is>
      </c>
    </row>
    <row r="116">
      <c r="A116" s="5" t="inlineStr">
        <is>
          <t>Produto 7 — Nome</t>
        </is>
      </c>
      <c r="B116" s="6" t="n"/>
      <c r="C116" s="7" t="inlineStr">
        <is>
          <t>texto (até 100)</t>
        </is>
      </c>
      <c r="D116" s="8" t="inlineStr">
        <is>
          <t>preliminar_produtos[7].nome</t>
        </is>
      </c>
    </row>
    <row r="117">
      <c r="A117" s="5" t="inlineStr">
        <is>
          <t>Produto 7 — Tipo</t>
        </is>
      </c>
      <c r="B117" s="6" t="n"/>
      <c r="C117" s="7" t="inlineStr">
        <is>
          <t>lista: residencial | nao_residencial</t>
        </is>
      </c>
      <c r="D117" s="8" t="inlineStr">
        <is>
          <t>preliminar_produtos[7].tipo</t>
        </is>
      </c>
    </row>
    <row r="118">
      <c r="A118" s="5" t="inlineStr">
        <is>
          <t>Produto 7 — % da base</t>
        </is>
      </c>
      <c r="B118" s="13" t="n"/>
      <c r="C118" s="7" t="inlineStr">
        <is>
          <t>% da base (Σ = 100%)</t>
        </is>
      </c>
      <c r="D118" s="8" t="inlineStr">
        <is>
          <t>preliminar_produtos[7].pct_alv</t>
        </is>
      </c>
    </row>
    <row r="119">
      <c r="A119" s="5" t="inlineStr">
        <is>
          <t>Produto 7 — Unidades</t>
        </is>
      </c>
      <c r="B119" s="15" t="n"/>
      <c r="C119" s="7" t="inlineStr">
        <is>
          <t>unidades (inteiro &gt; 0)</t>
        </is>
      </c>
      <c r="D119" s="8" t="inlineStr">
        <is>
          <t>preliminar_produtos[7].unidades</t>
        </is>
      </c>
    </row>
    <row r="120">
      <c r="A120" s="5" t="inlineStr">
        <is>
          <t>Produto 7 — Preço de venda</t>
        </is>
      </c>
      <c r="B120" s="14" t="n"/>
      <c r="C120" s="7" t="inlineStr">
        <is>
          <t>R$/m² (&gt; 0)</t>
        </is>
      </c>
      <c r="D120" s="8" t="inlineStr">
        <is>
          <t>preliminar_produtos[7].preco_venda_m2</t>
        </is>
      </c>
    </row>
    <row r="121">
      <c r="A121" s="12" t="inlineStr">
        <is>
          <t>Produto 8</t>
        </is>
      </c>
    </row>
    <row r="122">
      <c r="A122" s="5" t="inlineStr">
        <is>
          <t>Produto 8 — Nome</t>
        </is>
      </c>
      <c r="B122" s="6" t="n"/>
      <c r="C122" s="7" t="inlineStr">
        <is>
          <t>texto (até 100)</t>
        </is>
      </c>
      <c r="D122" s="8" t="inlineStr">
        <is>
          <t>preliminar_produtos[8].nome</t>
        </is>
      </c>
    </row>
    <row r="123">
      <c r="A123" s="5" t="inlineStr">
        <is>
          <t>Produto 8 — Tipo</t>
        </is>
      </c>
      <c r="B123" s="6" t="n"/>
      <c r="C123" s="7" t="inlineStr">
        <is>
          <t>lista: residencial | nao_residencial</t>
        </is>
      </c>
      <c r="D123" s="8" t="inlineStr">
        <is>
          <t>preliminar_produtos[8].tipo</t>
        </is>
      </c>
    </row>
    <row r="124">
      <c r="A124" s="5" t="inlineStr">
        <is>
          <t>Produto 8 — % da base</t>
        </is>
      </c>
      <c r="B124" s="13" t="n"/>
      <c r="C124" s="7" t="inlineStr">
        <is>
          <t>% da base (Σ = 100%)</t>
        </is>
      </c>
      <c r="D124" s="8" t="inlineStr">
        <is>
          <t>preliminar_produtos[8].pct_alv</t>
        </is>
      </c>
    </row>
    <row r="125">
      <c r="A125" s="5" t="inlineStr">
        <is>
          <t>Produto 8 — Unidades</t>
        </is>
      </c>
      <c r="B125" s="15" t="n"/>
      <c r="C125" s="7" t="inlineStr">
        <is>
          <t>unidades (inteiro &gt; 0)</t>
        </is>
      </c>
      <c r="D125" s="8" t="inlineStr">
        <is>
          <t>preliminar_produtos[8].unidades</t>
        </is>
      </c>
    </row>
    <row r="126">
      <c r="A126" s="5" t="inlineStr">
        <is>
          <t>Produto 8 — Preço de venda</t>
        </is>
      </c>
      <c r="B126" s="14" t="n"/>
      <c r="C126" s="7" t="inlineStr">
        <is>
          <t>R$/m² (&gt; 0)</t>
        </is>
      </c>
      <c r="D126" s="8" t="inlineStr">
        <is>
          <t>preliminar_produtos[8].preco_venda_m2</t>
        </is>
      </c>
    </row>
    <row r="127">
      <c r="A127" s="12" t="inlineStr">
        <is>
          <t>Produto 9</t>
        </is>
      </c>
    </row>
    <row r="128">
      <c r="A128" s="5" t="inlineStr">
        <is>
          <t>Produto 9 — Nome</t>
        </is>
      </c>
      <c r="B128" s="6" t="n"/>
      <c r="C128" s="7" t="inlineStr">
        <is>
          <t>texto (até 100)</t>
        </is>
      </c>
      <c r="D128" s="8" t="inlineStr">
        <is>
          <t>preliminar_produtos[9].nome</t>
        </is>
      </c>
    </row>
    <row r="129">
      <c r="A129" s="5" t="inlineStr">
        <is>
          <t>Produto 9 — Tipo</t>
        </is>
      </c>
      <c r="B129" s="6" t="n"/>
      <c r="C129" s="7" t="inlineStr">
        <is>
          <t>lista: residencial | nao_residencial</t>
        </is>
      </c>
      <c r="D129" s="8" t="inlineStr">
        <is>
          <t>preliminar_produtos[9].tipo</t>
        </is>
      </c>
    </row>
    <row r="130">
      <c r="A130" s="5" t="inlineStr">
        <is>
          <t>Produto 9 — % da base</t>
        </is>
      </c>
      <c r="B130" s="13" t="n"/>
      <c r="C130" s="7" t="inlineStr">
        <is>
          <t>% da base (Σ = 100%)</t>
        </is>
      </c>
      <c r="D130" s="8" t="inlineStr">
        <is>
          <t>preliminar_produtos[9].pct_alv</t>
        </is>
      </c>
    </row>
    <row r="131">
      <c r="A131" s="5" t="inlineStr">
        <is>
          <t>Produto 9 — Unidades</t>
        </is>
      </c>
      <c r="B131" s="15" t="n"/>
      <c r="C131" s="7" t="inlineStr">
        <is>
          <t>unidades (inteiro &gt; 0)</t>
        </is>
      </c>
      <c r="D131" s="8" t="inlineStr">
        <is>
          <t>preliminar_produtos[9].unidades</t>
        </is>
      </c>
    </row>
    <row r="132">
      <c r="A132" s="5" t="inlineStr">
        <is>
          <t>Produto 9 — Preço de venda</t>
        </is>
      </c>
      <c r="B132" s="14" t="n"/>
      <c r="C132" s="7" t="inlineStr">
        <is>
          <t>R$/m² (&gt; 0)</t>
        </is>
      </c>
      <c r="D132" s="8" t="inlineStr">
        <is>
          <t>preliminar_produtos[9].preco_venda_m2</t>
        </is>
      </c>
    </row>
    <row r="133">
      <c r="A133" s="12" t="inlineStr">
        <is>
          <t>Produto 10</t>
        </is>
      </c>
    </row>
    <row r="134">
      <c r="A134" s="5" t="inlineStr">
        <is>
          <t>Produto 10 — Nome</t>
        </is>
      </c>
      <c r="B134" s="6" t="n"/>
      <c r="C134" s="7" t="inlineStr">
        <is>
          <t>texto (até 100)</t>
        </is>
      </c>
      <c r="D134" s="8" t="inlineStr">
        <is>
          <t>preliminar_produtos[10].nome</t>
        </is>
      </c>
    </row>
    <row r="135">
      <c r="A135" s="5" t="inlineStr">
        <is>
          <t>Produto 10 — Tipo</t>
        </is>
      </c>
      <c r="B135" s="6" t="n"/>
      <c r="C135" s="7" t="inlineStr">
        <is>
          <t>lista: residencial | nao_residencial</t>
        </is>
      </c>
      <c r="D135" s="8" t="inlineStr">
        <is>
          <t>preliminar_produtos[10].tipo</t>
        </is>
      </c>
    </row>
    <row r="136">
      <c r="A136" s="5" t="inlineStr">
        <is>
          <t>Produto 10 — % da base</t>
        </is>
      </c>
      <c r="B136" s="13" t="n"/>
      <c r="C136" s="7" t="inlineStr">
        <is>
          <t>% da base (Σ = 100%)</t>
        </is>
      </c>
      <c r="D136" s="8" t="inlineStr">
        <is>
          <t>preliminar_produtos[10].pct_alv</t>
        </is>
      </c>
    </row>
    <row r="137">
      <c r="A137" s="5" t="inlineStr">
        <is>
          <t>Produto 10 — Unidades</t>
        </is>
      </c>
      <c r="B137" s="15" t="n"/>
      <c r="C137" s="7" t="inlineStr">
        <is>
          <t>unidades (inteiro &gt; 0)</t>
        </is>
      </c>
      <c r="D137" s="8" t="inlineStr">
        <is>
          <t>preliminar_produtos[10].unidades</t>
        </is>
      </c>
    </row>
    <row r="138">
      <c r="A138" s="5" t="inlineStr">
        <is>
          <t>Produto 10 — Preço de venda</t>
        </is>
      </c>
      <c r="B138" s="14" t="n"/>
      <c r="C138" s="7" t="inlineStr">
        <is>
          <t>R$/m² (&gt; 0)</t>
        </is>
      </c>
      <c r="D138" s="8" t="inlineStr">
        <is>
          <t>preliminar_produtos[10].preco_venda_m2</t>
        </is>
      </c>
    </row>
    <row r="139" ht="20" customHeight="1">
      <c r="A139" s="16" t="inlineStr">
        <is>
          <t>REFERÊNCIA CALCULADA — não preencher (espelha as fórmulas da Proforma do Preliminar)</t>
        </is>
      </c>
    </row>
    <row r="140" ht="26" customHeight="1">
      <c r="A140" s="11" t="inlineStr">
        <is>
          <t>Tudo abaixo é fórmula do Excel sobre o que foi preenchido acima, para conferir a ordem de grandeza. Quando a mesma grandeza foi preenchida em mais de uma unidade, vale a ordem: R$ fixo › R$/m² › % (e o alerta ao final acusa a duplicidade). Diferenças de centavos para o app são arredondamento.</t>
        </is>
      </c>
    </row>
    <row r="141">
      <c r="A141" s="17" t="inlineStr">
        <is>
          <t>Alíquota RET da instância (suposição de referência)</t>
        </is>
      </c>
      <c r="B141" s="18">
        <f>0.04</f>
        <v/>
      </c>
      <c r="C141" s="19" t="inlineStr">
        <is>
          <t>% da receita (parâmetro da instância)</t>
        </is>
      </c>
      <c r="D141" s="20" t="inlineStr">
        <is>
          <t>premissa — conferir o parâmetro da instância</t>
        </is>
      </c>
    </row>
    <row r="142">
      <c r="A142" s="12" t="inlineStr">
        <is>
          <t>Áreas</t>
        </is>
      </c>
    </row>
    <row r="143">
      <c r="A143" s="17" t="inlineStr">
        <is>
          <t>Área da poligonal</t>
        </is>
      </c>
      <c r="B143" s="21">
        <f>MAX(0,N($B$13))</f>
        <v/>
      </c>
      <c r="C143" s="19" t="inlineStr">
        <is>
          <t>m²</t>
        </is>
      </c>
      <c r="D143" s="20" t="inlineStr">
        <is>
          <t>calculado</t>
        </is>
      </c>
    </row>
    <row r="144">
      <c r="A144" s="17" t="inlineStr">
        <is>
          <t>APP</t>
        </is>
      </c>
      <c r="B144" s="21">
        <f>MAX(0,IF($B$17&lt;&gt;"",$B$17,IF($B$18&lt;&gt;"",$B$143*$B$18,0)))</f>
        <v/>
      </c>
      <c r="C144" s="19" t="inlineStr">
        <is>
          <t>m²</t>
        </is>
      </c>
      <c r="D144" s="20" t="inlineStr">
        <is>
          <t>calculado</t>
        </is>
      </c>
    </row>
    <row r="145">
      <c r="A145" s="17" t="inlineStr">
        <is>
          <t>Área parcelável</t>
        </is>
      </c>
      <c r="B145" s="21">
        <f>MAX(0,$B$143-$B$144)</f>
        <v/>
      </c>
      <c r="C145" s="19" t="inlineStr">
        <is>
          <t>m²</t>
        </is>
      </c>
      <c r="D145" s="20" t="inlineStr">
        <is>
          <t>calculado</t>
        </is>
      </c>
    </row>
    <row r="146">
      <c r="A146" s="17" t="inlineStr">
        <is>
          <t>ELUP/EPU</t>
        </is>
      </c>
      <c r="B146" s="21">
        <f>MAX(0,IF($B$20&lt;&gt;"",$B$20,IF($B$21&lt;&gt;"",$B$143*$B$21,IF($B$22&lt;&gt;"",$B$145*$B$22,0))))</f>
        <v/>
      </c>
      <c r="C146" s="19" t="inlineStr">
        <is>
          <t>m²</t>
        </is>
      </c>
      <c r="D146" s="20" t="inlineStr">
        <is>
          <t>calculado</t>
        </is>
      </c>
    </row>
    <row r="147">
      <c r="A147" s="17" t="inlineStr">
        <is>
          <t>EPC</t>
        </is>
      </c>
      <c r="B147" s="21">
        <f>MAX(0,IF($B$24&lt;&gt;"",$B$24,IF($B$25&lt;&gt;"",$B$143*$B$25,IF($B$26&lt;&gt;"",$B$145*$B$26,0))))</f>
        <v/>
      </c>
      <c r="C147" s="19" t="inlineStr">
        <is>
          <t>m²</t>
        </is>
      </c>
      <c r="D147" s="20" t="inlineStr">
        <is>
          <t>calculado</t>
        </is>
      </c>
    </row>
    <row r="148">
      <c r="A148" s="17" t="inlineStr">
        <is>
          <t>Sistema viário público</t>
        </is>
      </c>
      <c r="B148" s="21">
        <f>MAX(0,IF($B$28&lt;&gt;"",$B$28,IF($B$29&lt;&gt;"",$B$143*$B$29,IF($B$30&lt;&gt;"",$B$145*$B$30,0))))</f>
        <v/>
      </c>
      <c r="C148" s="19" t="inlineStr">
        <is>
          <t>m²</t>
        </is>
      </c>
      <c r="D148" s="20" t="inlineStr">
        <is>
          <t>calculado</t>
        </is>
      </c>
    </row>
    <row r="149">
      <c r="A149" s="17" t="inlineStr">
        <is>
          <t>Área líquida</t>
        </is>
      </c>
      <c r="B149" s="21">
        <f>MAX(0,$B$145-($B$146+$B$147+$B$148))</f>
        <v/>
      </c>
      <c r="C149" s="19" t="inlineStr">
        <is>
          <t>m²</t>
        </is>
      </c>
      <c r="D149" s="20" t="inlineStr">
        <is>
          <t>calculado</t>
        </is>
      </c>
    </row>
    <row r="150">
      <c r="A150" s="17" t="inlineStr">
        <is>
          <t>Sistema viário privado</t>
        </is>
      </c>
      <c r="B150" s="21">
        <f>MAX(0,IF($B$32&lt;&gt;"",$B$32,IF($B$33&lt;&gt;"",$B$143*$B$33,IF($B$34&lt;&gt;"",$B$145*$B$34,0))))</f>
        <v/>
      </c>
      <c r="C150" s="19" t="inlineStr">
        <is>
          <t>m²</t>
        </is>
      </c>
      <c r="D150" s="20" t="inlineStr">
        <is>
          <t>calculado</t>
        </is>
      </c>
    </row>
    <row r="151">
      <c r="A151" s="17" t="inlineStr">
        <is>
          <t>Áreas comuns privadas</t>
        </is>
      </c>
      <c r="B151" s="21">
        <f>MAX(0,IF($B$36&lt;&gt;"",$B$36,IF($B$37&lt;&gt;"",$B$143*$B$37,IF($B$38&lt;&gt;"",$B$145*$B$38,0))))</f>
        <v/>
      </c>
      <c r="C151" s="19" t="inlineStr">
        <is>
          <t>m²</t>
        </is>
      </c>
      <c r="D151" s="20" t="inlineStr">
        <is>
          <t>calculado</t>
        </is>
      </c>
    </row>
    <row r="152">
      <c r="A152" s="17" t="inlineStr">
        <is>
          <t>Áreas verdes</t>
        </is>
      </c>
      <c r="B152" s="21">
        <f>MAX(0,IF($B$40&lt;&gt;"",$B$40,IF($B$41&lt;&gt;"",$B$143*$B$41,IF($B$42&lt;&gt;"",$B$145*$B$42,0))))</f>
        <v/>
      </c>
      <c r="C152" s="19" t="inlineStr">
        <is>
          <t>m²</t>
        </is>
      </c>
      <c r="D152" s="20" t="inlineStr">
        <is>
          <t>calculado</t>
        </is>
      </c>
    </row>
    <row r="153">
      <c r="A153" s="17" t="inlineStr">
        <is>
          <t>Área líquida de venda (ALV) = base dos produtos</t>
        </is>
      </c>
      <c r="B153" s="21">
        <f>MAX(0,$B$149-($B$150+$B$151+$B$152))</f>
        <v/>
      </c>
      <c r="C153" s="19" t="inlineStr">
        <is>
          <t>m²</t>
        </is>
      </c>
      <c r="D153" s="20" t="inlineStr">
        <is>
          <t>calculado</t>
        </is>
      </c>
    </row>
    <row r="154">
      <c r="A154" s="17" t="inlineStr">
        <is>
          <t>ALV</t>
        </is>
      </c>
      <c r="B154" s="21">
        <f>$B$153/10000</f>
        <v/>
      </c>
      <c r="C154" s="19" t="inlineStr">
        <is>
          <t>hectares</t>
        </is>
      </c>
      <c r="D154" s="20" t="inlineStr">
        <is>
          <t>calculado</t>
        </is>
      </c>
    </row>
    <row r="155">
      <c r="A155" s="17" t="inlineStr">
        <is>
          <t>ALV / poligonal ("vendável / gleba")</t>
        </is>
      </c>
      <c r="B155" s="18">
        <f>IF($B$143&gt;0,$B$153/$B$143,"")</f>
        <v/>
      </c>
      <c r="C155" s="19" t="inlineStr">
        <is>
          <t>% da poligonal</t>
        </is>
      </c>
      <c r="D155" s="20" t="inlineStr">
        <is>
          <t>calculado</t>
        </is>
      </c>
    </row>
    <row r="156">
      <c r="A156" s="12" t="inlineStr">
        <is>
          <t>Produtos (catálogo efetivo = % &gt; 0, unidades &gt; 0, preço &gt; 0)</t>
        </is>
      </c>
    </row>
    <row r="157">
      <c r="A157" s="17" t="inlineStr">
        <is>
          <t>Produto 1 — área total (base × %)</t>
        </is>
      </c>
      <c r="B157" s="21">
        <f>IF(AND($B$153*N($B$82)&gt;0,N($B$83)&gt;0,N($B$84)&gt;0),$B$153*$B$82,0)</f>
        <v/>
      </c>
      <c r="C157" s="19" t="inlineStr">
        <is>
          <t>m²</t>
        </is>
      </c>
      <c r="D157" s="20" t="inlineStr">
        <is>
          <t>calculado</t>
        </is>
      </c>
    </row>
    <row r="158">
      <c r="A158" s="17" t="inlineStr">
        <is>
          <t>Produto 1 — área média por unidade</t>
        </is>
      </c>
      <c r="B158" s="21">
        <f>IF($B$157&gt;0,$B$157/$B$83,"")</f>
        <v/>
      </c>
      <c r="C158" s="19" t="inlineStr">
        <is>
          <t>m²</t>
        </is>
      </c>
      <c r="D158" s="20" t="inlineStr">
        <is>
          <t>calculado</t>
        </is>
      </c>
    </row>
    <row r="159">
      <c r="A159" s="17" t="inlineStr">
        <is>
          <t>Produto 1 — VGV bruto (área total × preço)</t>
        </is>
      </c>
      <c r="B159" s="22">
        <f>$B$157*N($B$84)</f>
        <v/>
      </c>
      <c r="C159" s="19" t="inlineStr">
        <is>
          <t>R$</t>
        </is>
      </c>
      <c r="D159" s="20" t="inlineStr">
        <is>
          <t>calculado</t>
        </is>
      </c>
    </row>
    <row r="160">
      <c r="A160" s="17" t="inlineStr">
        <is>
          <t>Produto 2 — área total (base × %)</t>
        </is>
      </c>
      <c r="B160" s="21">
        <f>IF(AND($B$153*N($B$88)&gt;0,N($B$89)&gt;0,N($B$90)&gt;0),$B$153*$B$88,0)</f>
        <v/>
      </c>
      <c r="C160" s="19" t="inlineStr">
        <is>
          <t>m²</t>
        </is>
      </c>
      <c r="D160" s="20" t="inlineStr">
        <is>
          <t>calculado</t>
        </is>
      </c>
    </row>
    <row r="161">
      <c r="A161" s="17" t="inlineStr">
        <is>
          <t>Produto 2 — área média por unidade</t>
        </is>
      </c>
      <c r="B161" s="21">
        <f>IF($B$160&gt;0,$B$160/$B$89,"")</f>
        <v/>
      </c>
      <c r="C161" s="19" t="inlineStr">
        <is>
          <t>m²</t>
        </is>
      </c>
      <c r="D161" s="20" t="inlineStr">
        <is>
          <t>calculado</t>
        </is>
      </c>
    </row>
    <row r="162">
      <c r="A162" s="17" t="inlineStr">
        <is>
          <t>Produto 2 — VGV bruto (área total × preço)</t>
        </is>
      </c>
      <c r="B162" s="22">
        <f>$B$160*N($B$90)</f>
        <v/>
      </c>
      <c r="C162" s="19" t="inlineStr">
        <is>
          <t>R$</t>
        </is>
      </c>
      <c r="D162" s="20" t="inlineStr">
        <is>
          <t>calculado</t>
        </is>
      </c>
    </row>
    <row r="163">
      <c r="A163" s="17" t="inlineStr">
        <is>
          <t>Produto 3 — área total (base × %)</t>
        </is>
      </c>
      <c r="B163" s="21">
        <f>IF(AND($B$153*N($B$94)&gt;0,N($B$95)&gt;0,N($B$96)&gt;0),$B$153*$B$94,0)</f>
        <v/>
      </c>
      <c r="C163" s="19" t="inlineStr">
        <is>
          <t>m²</t>
        </is>
      </c>
      <c r="D163" s="20" t="inlineStr">
        <is>
          <t>calculado</t>
        </is>
      </c>
    </row>
    <row r="164">
      <c r="A164" s="17" t="inlineStr">
        <is>
          <t>Produto 3 — área média por unidade</t>
        </is>
      </c>
      <c r="B164" s="21">
        <f>IF($B$163&gt;0,$B$163/$B$95,"")</f>
        <v/>
      </c>
      <c r="C164" s="19" t="inlineStr">
        <is>
          <t>m²</t>
        </is>
      </c>
      <c r="D164" s="20" t="inlineStr">
        <is>
          <t>calculado</t>
        </is>
      </c>
    </row>
    <row r="165">
      <c r="A165" s="17" t="inlineStr">
        <is>
          <t>Produto 3 — VGV bruto (área total × preço)</t>
        </is>
      </c>
      <c r="B165" s="22">
        <f>$B$163*N($B$96)</f>
        <v/>
      </c>
      <c r="C165" s="19" t="inlineStr">
        <is>
          <t>R$</t>
        </is>
      </c>
      <c r="D165" s="20" t="inlineStr">
        <is>
          <t>calculado</t>
        </is>
      </c>
    </row>
    <row r="166">
      <c r="A166" s="17" t="inlineStr">
        <is>
          <t>Produto 4 — área total (base × %)</t>
        </is>
      </c>
      <c r="B166" s="21">
        <f>IF(AND($B$153*N($B$100)&gt;0,N($B$101)&gt;0,N($B$102)&gt;0),$B$153*$B$100,0)</f>
        <v/>
      </c>
      <c r="C166" s="19" t="inlineStr">
        <is>
          <t>m²</t>
        </is>
      </c>
      <c r="D166" s="20" t="inlineStr">
        <is>
          <t>calculado</t>
        </is>
      </c>
    </row>
    <row r="167">
      <c r="A167" s="17" t="inlineStr">
        <is>
          <t>Produto 4 — área média por unidade</t>
        </is>
      </c>
      <c r="B167" s="21">
        <f>IF($B$166&gt;0,$B$166/$B$101,"")</f>
        <v/>
      </c>
      <c r="C167" s="19" t="inlineStr">
        <is>
          <t>m²</t>
        </is>
      </c>
      <c r="D167" s="20" t="inlineStr">
        <is>
          <t>calculado</t>
        </is>
      </c>
    </row>
    <row r="168">
      <c r="A168" s="17" t="inlineStr">
        <is>
          <t>Produto 4 — VGV bruto (área total × preço)</t>
        </is>
      </c>
      <c r="B168" s="22">
        <f>$B$166*N($B$102)</f>
        <v/>
      </c>
      <c r="C168" s="19" t="inlineStr">
        <is>
          <t>R$</t>
        </is>
      </c>
      <c r="D168" s="20" t="inlineStr">
        <is>
          <t>calculado</t>
        </is>
      </c>
    </row>
    <row r="169">
      <c r="A169" s="17" t="inlineStr">
        <is>
          <t>Produto 5 — área total (base × %)</t>
        </is>
      </c>
      <c r="B169" s="21">
        <f>IF(AND($B$153*N($B$106)&gt;0,N($B$107)&gt;0,N($B$108)&gt;0),$B$153*$B$106,0)</f>
        <v/>
      </c>
      <c r="C169" s="19" t="inlineStr">
        <is>
          <t>m²</t>
        </is>
      </c>
      <c r="D169" s="20" t="inlineStr">
        <is>
          <t>calculado</t>
        </is>
      </c>
    </row>
    <row r="170">
      <c r="A170" s="17" t="inlineStr">
        <is>
          <t>Produto 5 — área média por unidade</t>
        </is>
      </c>
      <c r="B170" s="21">
        <f>IF($B$169&gt;0,$B$169/$B$107,"")</f>
        <v/>
      </c>
      <c r="C170" s="19" t="inlineStr">
        <is>
          <t>m²</t>
        </is>
      </c>
      <c r="D170" s="20" t="inlineStr">
        <is>
          <t>calculado</t>
        </is>
      </c>
    </row>
    <row r="171">
      <c r="A171" s="17" t="inlineStr">
        <is>
          <t>Produto 5 — VGV bruto (área total × preço)</t>
        </is>
      </c>
      <c r="B171" s="22">
        <f>$B$169*N($B$108)</f>
        <v/>
      </c>
      <c r="C171" s="19" t="inlineStr">
        <is>
          <t>R$</t>
        </is>
      </c>
      <c r="D171" s="20" t="inlineStr">
        <is>
          <t>calculado</t>
        </is>
      </c>
    </row>
    <row r="172">
      <c r="A172" s="17" t="inlineStr">
        <is>
          <t>Produto 6 — área total (base × %)</t>
        </is>
      </c>
      <c r="B172" s="21">
        <f>IF(AND($B$153*N($B$112)&gt;0,N($B$113)&gt;0,N($B$114)&gt;0),$B$153*$B$112,0)</f>
        <v/>
      </c>
      <c r="C172" s="19" t="inlineStr">
        <is>
          <t>m²</t>
        </is>
      </c>
      <c r="D172" s="20" t="inlineStr">
        <is>
          <t>calculado</t>
        </is>
      </c>
    </row>
    <row r="173">
      <c r="A173" s="17" t="inlineStr">
        <is>
          <t>Produto 6 — área média por unidade</t>
        </is>
      </c>
      <c r="B173" s="21">
        <f>IF($B$172&gt;0,$B$172/$B$113,"")</f>
        <v/>
      </c>
      <c r="C173" s="19" t="inlineStr">
        <is>
          <t>m²</t>
        </is>
      </c>
      <c r="D173" s="20" t="inlineStr">
        <is>
          <t>calculado</t>
        </is>
      </c>
    </row>
    <row r="174">
      <c r="A174" s="17" t="inlineStr">
        <is>
          <t>Produto 6 — VGV bruto (área total × preço)</t>
        </is>
      </c>
      <c r="B174" s="22">
        <f>$B$172*N($B$114)</f>
        <v/>
      </c>
      <c r="C174" s="19" t="inlineStr">
        <is>
          <t>R$</t>
        </is>
      </c>
      <c r="D174" s="20" t="inlineStr">
        <is>
          <t>calculado</t>
        </is>
      </c>
    </row>
    <row r="175">
      <c r="A175" s="17" t="inlineStr">
        <is>
          <t>Produto 7 — área total (base × %)</t>
        </is>
      </c>
      <c r="B175" s="21">
        <f>IF(AND($B$153*N($B$118)&gt;0,N($B$119)&gt;0,N($B$120)&gt;0),$B$153*$B$118,0)</f>
        <v/>
      </c>
      <c r="C175" s="19" t="inlineStr">
        <is>
          <t>m²</t>
        </is>
      </c>
      <c r="D175" s="20" t="inlineStr">
        <is>
          <t>calculado</t>
        </is>
      </c>
    </row>
    <row r="176">
      <c r="A176" s="17" t="inlineStr">
        <is>
          <t>Produto 7 — área média por unidade</t>
        </is>
      </c>
      <c r="B176" s="21">
        <f>IF($B$175&gt;0,$B$175/$B$119,"")</f>
        <v/>
      </c>
      <c r="C176" s="19" t="inlineStr">
        <is>
          <t>m²</t>
        </is>
      </c>
      <c r="D176" s="20" t="inlineStr">
        <is>
          <t>calculado</t>
        </is>
      </c>
    </row>
    <row r="177">
      <c r="A177" s="17" t="inlineStr">
        <is>
          <t>Produto 7 — VGV bruto (área total × preço)</t>
        </is>
      </c>
      <c r="B177" s="22">
        <f>$B$175*N($B$120)</f>
        <v/>
      </c>
      <c r="C177" s="19" t="inlineStr">
        <is>
          <t>R$</t>
        </is>
      </c>
      <c r="D177" s="20" t="inlineStr">
        <is>
          <t>calculado</t>
        </is>
      </c>
    </row>
    <row r="178">
      <c r="A178" s="17" t="inlineStr">
        <is>
          <t>Produto 8 — área total (base × %)</t>
        </is>
      </c>
      <c r="B178" s="21">
        <f>IF(AND($B$153*N($B$124)&gt;0,N($B$125)&gt;0,N($B$126)&gt;0),$B$153*$B$124,0)</f>
        <v/>
      </c>
      <c r="C178" s="19" t="inlineStr">
        <is>
          <t>m²</t>
        </is>
      </c>
      <c r="D178" s="20" t="inlineStr">
        <is>
          <t>calculado</t>
        </is>
      </c>
    </row>
    <row r="179">
      <c r="A179" s="17" t="inlineStr">
        <is>
          <t>Produto 8 — área média por unidade</t>
        </is>
      </c>
      <c r="B179" s="21">
        <f>IF($B$178&gt;0,$B$178/$B$125,"")</f>
        <v/>
      </c>
      <c r="C179" s="19" t="inlineStr">
        <is>
          <t>m²</t>
        </is>
      </c>
      <c r="D179" s="20" t="inlineStr">
        <is>
          <t>calculado</t>
        </is>
      </c>
    </row>
    <row r="180">
      <c r="A180" s="17" t="inlineStr">
        <is>
          <t>Produto 8 — VGV bruto (área total × preço)</t>
        </is>
      </c>
      <c r="B180" s="22">
        <f>$B$178*N($B$126)</f>
        <v/>
      </c>
      <c r="C180" s="19" t="inlineStr">
        <is>
          <t>R$</t>
        </is>
      </c>
      <c r="D180" s="20" t="inlineStr">
        <is>
          <t>calculado</t>
        </is>
      </c>
    </row>
    <row r="181">
      <c r="A181" s="17" t="inlineStr">
        <is>
          <t>Produto 9 — área total (base × %)</t>
        </is>
      </c>
      <c r="B181" s="21">
        <f>IF(AND($B$153*N($B$130)&gt;0,N($B$131)&gt;0,N($B$132)&gt;0),$B$153*$B$130,0)</f>
        <v/>
      </c>
      <c r="C181" s="19" t="inlineStr">
        <is>
          <t>m²</t>
        </is>
      </c>
      <c r="D181" s="20" t="inlineStr">
        <is>
          <t>calculado</t>
        </is>
      </c>
    </row>
    <row r="182">
      <c r="A182" s="17" t="inlineStr">
        <is>
          <t>Produto 9 — área média por unidade</t>
        </is>
      </c>
      <c r="B182" s="21">
        <f>IF($B$181&gt;0,$B$181/$B$131,"")</f>
        <v/>
      </c>
      <c r="C182" s="19" t="inlineStr">
        <is>
          <t>m²</t>
        </is>
      </c>
      <c r="D182" s="20" t="inlineStr">
        <is>
          <t>calculado</t>
        </is>
      </c>
    </row>
    <row r="183">
      <c r="A183" s="17" t="inlineStr">
        <is>
          <t>Produto 9 — VGV bruto (área total × preço)</t>
        </is>
      </c>
      <c r="B183" s="22">
        <f>$B$181*N($B$132)</f>
        <v/>
      </c>
      <c r="C183" s="19" t="inlineStr">
        <is>
          <t>R$</t>
        </is>
      </c>
      <c r="D183" s="20" t="inlineStr">
        <is>
          <t>calculado</t>
        </is>
      </c>
    </row>
    <row r="184">
      <c r="A184" s="17" t="inlineStr">
        <is>
          <t>Produto 10 — área total (base × %)</t>
        </is>
      </c>
      <c r="B184" s="21">
        <f>IF(AND($B$153*N($B$136)&gt;0,N($B$137)&gt;0,N($B$138)&gt;0),$B$153*$B$136,0)</f>
        <v/>
      </c>
      <c r="C184" s="19" t="inlineStr">
        <is>
          <t>m²</t>
        </is>
      </c>
      <c r="D184" s="20" t="inlineStr">
        <is>
          <t>calculado</t>
        </is>
      </c>
    </row>
    <row r="185">
      <c r="A185" s="17" t="inlineStr">
        <is>
          <t>Produto 10 — área média por unidade</t>
        </is>
      </c>
      <c r="B185" s="21">
        <f>IF($B$184&gt;0,$B$184/$B$137,"")</f>
        <v/>
      </c>
      <c r="C185" s="19" t="inlineStr">
        <is>
          <t>m²</t>
        </is>
      </c>
      <c r="D185" s="20" t="inlineStr">
        <is>
          <t>calculado</t>
        </is>
      </c>
    </row>
    <row r="186">
      <c r="A186" s="17" t="inlineStr">
        <is>
          <t>Produto 10 — VGV bruto (área total × preço)</t>
        </is>
      </c>
      <c r="B186" s="22">
        <f>$B$184*N($B$138)</f>
        <v/>
      </c>
      <c r="C186" s="19" t="inlineStr">
        <is>
          <t>R$</t>
        </is>
      </c>
      <c r="D186" s="20" t="inlineStr">
        <is>
          <t>calculado</t>
        </is>
      </c>
    </row>
    <row r="187">
      <c r="A187" s="17" t="inlineStr">
        <is>
          <t>Σ % da base dos produtos (deve ser 100%)</t>
        </is>
      </c>
      <c r="B187" s="18">
        <f>SUM($B$82,$B$88,$B$94,$B$100,$B$106,$B$112,$B$118,$B$124,$B$130,$B$136)</f>
        <v/>
      </c>
      <c r="C187" s="19" t="inlineStr">
        <is>
          <t>%</t>
        </is>
      </c>
      <c r="D187" s="20" t="inlineStr">
        <is>
          <t>calculado</t>
        </is>
      </c>
    </row>
    <row r="188">
      <c r="A188" s="17" t="inlineStr">
        <is>
          <t>VGV bruto</t>
        </is>
      </c>
      <c r="B188" s="22">
        <f>$B$159+$B$162+$B$165+$B$168+$B$171+$B$174+$B$177+$B$180+$B$183+$B$186</f>
        <v/>
      </c>
      <c r="C188" s="19" t="inlineStr">
        <is>
          <t>R$</t>
        </is>
      </c>
      <c r="D188" s="20" t="inlineStr">
        <is>
          <t>calculado</t>
        </is>
      </c>
    </row>
    <row r="189">
      <c r="A189" s="17" t="inlineStr">
        <is>
          <t>Área do catálogo</t>
        </is>
      </c>
      <c r="B189" s="21">
        <f>$B$157+$B$160+$B$163+$B$166+$B$169+$B$172+$B$175+$B$178+$B$181+$B$184</f>
        <v/>
      </c>
      <c r="C189" s="19" t="inlineStr">
        <is>
          <t>m²</t>
        </is>
      </c>
      <c r="D189" s="20" t="inlineStr">
        <is>
          <t>calculado</t>
        </is>
      </c>
    </row>
    <row r="190">
      <c r="A190" s="17" t="inlineStr">
        <is>
          <t>Nº de unidades do catálogo (linhas efetivas)</t>
        </is>
      </c>
      <c r="B190" s="23">
        <f>IF($B$157&gt;0,N($B$83),0)+IF($B$160&gt;0,N($B$89),0)+IF($B$163&gt;0,N($B$95),0)+IF($B$166&gt;0,N($B$101),0)+IF($B$169&gt;0,N($B$107),0)+IF($B$172&gt;0,N($B$113),0)+IF($B$175&gt;0,N($B$119),0)+IF($B$178&gt;0,N($B$125),0)+IF($B$181&gt;0,N($B$131),0)+IF($B$184&gt;0,N($B$137),0)</f>
        <v/>
      </c>
      <c r="C190" s="19" t="inlineStr">
        <is>
          <t>unidades</t>
        </is>
      </c>
      <c r="D190" s="20" t="inlineStr">
        <is>
          <t>calculado</t>
        </is>
      </c>
    </row>
    <row r="191">
      <c r="A191" s="12" t="inlineStr">
        <is>
          <t>Permutas</t>
        </is>
      </c>
    </row>
    <row r="192">
      <c r="A192" s="17" t="inlineStr">
        <is>
          <t>Permuta física — área entregue</t>
        </is>
      </c>
      <c r="B192" s="21">
        <f>MAX(0,IF($B$68&lt;&gt;"",$B$68,IF($B$69&lt;&gt;"",$B$153*$B$69,0)))</f>
        <v/>
      </c>
      <c r="C192" s="19" t="inlineStr">
        <is>
          <t>m²</t>
        </is>
      </c>
      <c r="D192" s="20" t="inlineStr">
        <is>
          <t>calculado</t>
        </is>
      </c>
    </row>
    <row r="193">
      <c r="A193" s="17" t="inlineStr">
        <is>
          <t>Preço médio do catálogo</t>
        </is>
      </c>
      <c r="B193" s="22">
        <f>IF($B$189&gt;0,$B$188/$B$189,0)</f>
        <v/>
      </c>
      <c r="C193" s="19" t="inlineStr">
        <is>
          <t>R$/m²</t>
        </is>
      </c>
      <c r="D193" s="20" t="inlineStr">
        <is>
          <t>calculado</t>
        </is>
      </c>
    </row>
    <row r="194">
      <c r="A194" s="17" t="inlineStr">
        <is>
          <t>VGV da permuta física (limitado ao VGV bruto)</t>
        </is>
      </c>
      <c r="B194" s="22">
        <f>MIN($B$192*$B$193,$B$188)</f>
        <v/>
      </c>
      <c r="C194" s="19" t="inlineStr">
        <is>
          <t>R$</t>
        </is>
      </c>
      <c r="D194" s="20" t="inlineStr">
        <is>
          <t>calculado</t>
        </is>
      </c>
    </row>
    <row r="195">
      <c r="A195" s="17" t="inlineStr">
        <is>
          <t>VGV (bruto − permuta física)</t>
        </is>
      </c>
      <c r="B195" s="22">
        <f>$B$188-$B$194</f>
        <v/>
      </c>
      <c r="C195" s="19" t="inlineStr">
        <is>
          <t>R$</t>
        </is>
      </c>
      <c r="D195" s="20" t="inlineStr">
        <is>
          <t>calculado</t>
        </is>
      </c>
    </row>
    <row r="196">
      <c r="A196" s="17" t="inlineStr">
        <is>
          <t>VGV (receita bruta)</t>
        </is>
      </c>
      <c r="B196" s="22">
        <f>$B$195</f>
        <v/>
      </c>
      <c r="C196" s="19" t="inlineStr">
        <is>
          <t>R$</t>
        </is>
      </c>
      <c r="D196" s="20" t="inlineStr">
        <is>
          <t>calculado</t>
        </is>
      </c>
    </row>
    <row r="197">
      <c r="A197" s="17" t="inlineStr">
        <is>
          <t>Área total permutada fisicamente</t>
        </is>
      </c>
      <c r="B197" s="21">
        <f>$B$192</f>
        <v/>
      </c>
      <c r="C197" s="19" t="inlineStr">
        <is>
          <t>m²</t>
        </is>
      </c>
      <c r="D197" s="20" t="inlineStr">
        <is>
          <t>calculado</t>
        </is>
      </c>
    </row>
    <row r="198">
      <c r="A198" s="17" t="inlineStr">
        <is>
          <t>Área vendável líquida (vendável − permuta física)</t>
        </is>
      </c>
      <c r="B198" s="21">
        <f>$B$153-$B$197</f>
        <v/>
      </c>
      <c r="C198" s="19" t="inlineStr">
        <is>
          <t>m²</t>
        </is>
      </c>
      <c r="D198" s="20" t="inlineStr">
        <is>
          <t>calculado</t>
        </is>
      </c>
    </row>
    <row r="199">
      <c r="A199" s="17" t="inlineStr">
        <is>
          <t>Permuta financeira</t>
        </is>
      </c>
      <c r="B199" s="22">
        <f>IF($B$72&lt;&gt;"",$B$72,$B$195*N($B$71))</f>
        <v/>
      </c>
      <c r="C199" s="19" t="inlineStr">
        <is>
          <t>R$</t>
        </is>
      </c>
      <c r="D199" s="20" t="inlineStr">
        <is>
          <t>calculado</t>
        </is>
      </c>
    </row>
    <row r="200">
      <c r="A200" s="12" t="inlineStr">
        <is>
          <t>Deduções da receita</t>
        </is>
      </c>
    </row>
    <row r="201">
      <c r="A201" s="17" t="inlineStr">
        <is>
          <t>Alíquota de imposto aplicada</t>
        </is>
      </c>
      <c r="B201" s="18">
        <f>IF($B$62="Sim",$B$141,N($B$63))</f>
        <v/>
      </c>
      <c r="C201" s="19" t="inlineStr">
        <is>
          <t>% do VGV</t>
        </is>
      </c>
      <c r="D201" s="20" t="inlineStr">
        <is>
          <t>calculado</t>
        </is>
      </c>
    </row>
    <row r="202">
      <c r="A202" s="17" t="inlineStr">
        <is>
          <t>Imposto</t>
        </is>
      </c>
      <c r="B202" s="22">
        <f>$B$196*$B$201</f>
        <v/>
      </c>
      <c r="C202" s="19" t="inlineStr">
        <is>
          <t>R$</t>
        </is>
      </c>
      <c r="D202" s="20" t="inlineStr">
        <is>
          <t>calculado</t>
        </is>
      </c>
    </row>
    <row r="203">
      <c r="A203" s="17" t="inlineStr">
        <is>
          <t>Corretagem</t>
        </is>
      </c>
      <c r="B203" s="22">
        <f>$B$196*N($B$64)</f>
        <v/>
      </c>
      <c r="C203" s="19" t="inlineStr">
        <is>
          <t>R$</t>
        </is>
      </c>
      <c r="D203" s="20" t="inlineStr">
        <is>
          <t>calculado</t>
        </is>
      </c>
    </row>
    <row r="204">
      <c r="A204" s="17" t="inlineStr">
        <is>
          <t>Marketing</t>
        </is>
      </c>
      <c r="B204" s="22">
        <f>$B$196*N($B$65)</f>
        <v/>
      </c>
      <c r="C204" s="19" t="inlineStr">
        <is>
          <t>R$</t>
        </is>
      </c>
      <c r="D204" s="20" t="inlineStr">
        <is>
          <t>calculado</t>
        </is>
      </c>
    </row>
    <row r="205">
      <c r="A205" s="17" t="inlineStr">
        <is>
          <t>Receita líquida (VGV − deduções)</t>
        </is>
      </c>
      <c r="B205" s="22">
        <f>$B$196-$B$202-$B$203-$B$204-($B$199)</f>
        <v/>
      </c>
      <c r="C205" s="19" t="inlineStr">
        <is>
          <t>R$</t>
        </is>
      </c>
      <c r="D205" s="20" t="inlineStr">
        <is>
          <t>calculado</t>
        </is>
      </c>
    </row>
    <row r="206">
      <c r="A206" s="12" t="inlineStr">
        <is>
          <t>Custos diretos</t>
        </is>
      </c>
    </row>
    <row r="207">
      <c r="A207" s="17" t="inlineStr">
        <is>
          <t>Custo do terreno</t>
        </is>
      </c>
      <c r="B207" s="22">
        <f>IF($B$45="Não",0,N($B$48)*$B$143)</f>
        <v/>
      </c>
      <c r="C207" s="19" t="inlineStr">
        <is>
          <t>R$</t>
        </is>
      </c>
      <c r="D207" s="20" t="inlineStr">
        <is>
          <t>calculado</t>
        </is>
      </c>
    </row>
    <row r="208">
      <c r="A208" s="17" t="inlineStr">
        <is>
          <t>Infraestrutura</t>
        </is>
      </c>
      <c r="B208" s="22">
        <f>IF($B$51&lt;&gt;"",$B$51,IF($B$52&lt;&gt;"",$B$52*$B$153,$B$196*N($B$50)))</f>
        <v/>
      </c>
      <c r="C208" s="19" t="inlineStr">
        <is>
          <t>R$</t>
        </is>
      </c>
      <c r="D208" s="20" t="inlineStr">
        <is>
          <t>calculado</t>
        </is>
      </c>
    </row>
    <row r="209">
      <c r="A209" s="17" t="inlineStr">
        <is>
          <t>Custo de obras (= infraestrutura)</t>
        </is>
      </c>
      <c r="B209" s="22">
        <f>$B$208</f>
        <v/>
      </c>
      <c r="C209" s="19" t="inlineStr">
        <is>
          <t>R$</t>
        </is>
      </c>
      <c r="D209" s="20" t="inlineStr">
        <is>
          <t>calculado</t>
        </is>
      </c>
    </row>
    <row r="210">
      <c r="A210" s="17" t="inlineStr">
        <is>
          <t>Projetos</t>
        </is>
      </c>
      <c r="B210" s="22">
        <f>IF($B$55&lt;&gt;"",$B$55,IF($B$56&lt;&gt;"",$B$209*$B$56,$B$196*N($B$54)))</f>
        <v/>
      </c>
      <c r="C210" s="19" t="inlineStr">
        <is>
          <t>R$</t>
        </is>
      </c>
      <c r="D210" s="20" t="inlineStr">
        <is>
          <t>calculado</t>
        </is>
      </c>
    </row>
    <row r="211">
      <c r="A211" s="17" t="inlineStr">
        <is>
          <t>Manutenção pós-obra</t>
        </is>
      </c>
      <c r="B211" s="22">
        <f>$B$196*N($B$58)</f>
        <v/>
      </c>
      <c r="C211" s="19" t="inlineStr">
        <is>
          <t>R$</t>
        </is>
      </c>
      <c r="D211" s="20" t="inlineStr">
        <is>
          <t>calculado</t>
        </is>
      </c>
    </row>
    <row r="212">
      <c r="A212" s="17" t="inlineStr">
        <is>
          <t>Contingências</t>
        </is>
      </c>
      <c r="B212" s="22">
        <f>IF($B$47="Não",0,$B$196*N($B$59))</f>
        <v/>
      </c>
      <c r="C212" s="19" t="inlineStr">
        <is>
          <t>R$</t>
        </is>
      </c>
      <c r="D212" s="20" t="inlineStr">
        <is>
          <t>calculado</t>
        </is>
      </c>
    </row>
    <row r="213">
      <c r="A213" s="17" t="inlineStr">
        <is>
          <t>Custo direto total</t>
        </is>
      </c>
      <c r="B213" s="22">
        <f>$B$207+$B$210+$B$211+$B$212+$B$208</f>
        <v/>
      </c>
      <c r="C213" s="19" t="inlineStr">
        <is>
          <t>R$</t>
        </is>
      </c>
      <c r="D213" s="20" t="inlineStr">
        <is>
          <t>calculado</t>
        </is>
      </c>
    </row>
    <row r="214">
      <c r="A214" s="12" t="inlineStr">
        <is>
          <t>Custos indiretos e resultado</t>
        </is>
      </c>
    </row>
    <row r="215">
      <c r="A215" s="17" t="inlineStr">
        <is>
          <t>Stand de vendas</t>
        </is>
      </c>
      <c r="B215" s="22">
        <f>N($B$60)</f>
        <v/>
      </c>
      <c r="C215" s="19" t="inlineStr">
        <is>
          <t>R$</t>
        </is>
      </c>
      <c r="D215" s="20" t="inlineStr">
        <is>
          <t>calculado</t>
        </is>
      </c>
    </row>
    <row r="216">
      <c r="A216" s="17" t="inlineStr">
        <is>
          <t>Gestão e outros custos indiretos</t>
        </is>
      </c>
      <c r="B216" s="22">
        <f>IF($B$46="Não",0,$B$196*N($B$61))</f>
        <v/>
      </c>
      <c r="C216" s="19" t="inlineStr">
        <is>
          <t>R$</t>
        </is>
      </c>
      <c r="D216" s="20" t="inlineStr">
        <is>
          <t>calculado</t>
        </is>
      </c>
    </row>
    <row r="217">
      <c r="A217" s="17" t="inlineStr">
        <is>
          <t>Custo indireto total</t>
        </is>
      </c>
      <c r="B217" s="22">
        <f>$B$215+$B$216</f>
        <v/>
      </c>
      <c r="C217" s="19" t="inlineStr">
        <is>
          <t>R$</t>
        </is>
      </c>
      <c r="D217" s="20" t="inlineStr">
        <is>
          <t>calculado</t>
        </is>
      </c>
    </row>
    <row r="218">
      <c r="A218" s="17" t="inlineStr">
        <is>
          <t>Receita operacional (receita líquida − custo direto)</t>
        </is>
      </c>
      <c r="B218" s="22">
        <f>$B$205-$B$213</f>
        <v/>
      </c>
      <c r="C218" s="19" t="inlineStr">
        <is>
          <t>R$</t>
        </is>
      </c>
      <c r="D218" s="20" t="inlineStr">
        <is>
          <t>calculado</t>
        </is>
      </c>
    </row>
    <row r="219">
      <c r="A219" s="17" t="inlineStr">
        <is>
          <t>RESULTADO</t>
        </is>
      </c>
      <c r="B219" s="22">
        <f>$B$218-$B$217</f>
        <v/>
      </c>
      <c r="C219" s="19" t="inlineStr">
        <is>
          <t>R$</t>
        </is>
      </c>
      <c r="D219" s="20" t="inlineStr">
        <is>
          <t>calculado</t>
        </is>
      </c>
    </row>
    <row r="220">
      <c r="A220" s="17" t="inlineStr">
        <is>
          <t>Margem sobre VGV</t>
        </is>
      </c>
      <c r="B220" s="18">
        <f>IF($B$196&gt;0,$B$219/$B$196,"")</f>
        <v/>
      </c>
      <c r="C220" s="19" t="inlineStr">
        <is>
          <t>% do VGV</t>
        </is>
      </c>
      <c r="D220" s="20" t="inlineStr">
        <is>
          <t>calculado</t>
        </is>
      </c>
    </row>
    <row r="221">
      <c r="A221" s="17" t="inlineStr">
        <is>
          <t>Custo de obras ÷ VGV</t>
        </is>
      </c>
      <c r="B221" s="18">
        <f>IF($B$196&gt;0,$B$209/$B$196,"")</f>
        <v/>
      </c>
      <c r="C221" s="19" t="inlineStr">
        <is>
          <t>% do VGV</t>
        </is>
      </c>
      <c r="D221" s="20" t="inlineStr">
        <is>
          <t>calculado</t>
        </is>
      </c>
    </row>
    <row r="222">
      <c r="A222" s="17" t="inlineStr">
        <is>
          <t>Receita líquida ÷ VGV</t>
        </is>
      </c>
      <c r="B222" s="18">
        <f>IF($B$196&gt;0,$B$205/$B$196,"")</f>
        <v/>
      </c>
      <c r="C222" s="19" t="inlineStr">
        <is>
          <t>% do VGV</t>
        </is>
      </c>
      <c r="D222" s="20" t="inlineStr">
        <is>
          <t>calculado</t>
        </is>
      </c>
    </row>
    <row r="223">
      <c r="A223" s="17" t="inlineStr">
        <is>
          <t>Investimento total (direto + indireto)</t>
        </is>
      </c>
      <c r="B223" s="22">
        <f>$B$213+$B$217</f>
        <v/>
      </c>
      <c r="C223" s="19" t="inlineStr">
        <is>
          <t>R$</t>
        </is>
      </c>
      <c r="D223" s="20" t="inlineStr">
        <is>
          <t>calculado</t>
        </is>
      </c>
    </row>
    <row r="224">
      <c r="A224" s="17" t="inlineStr">
        <is>
          <t>ROI (resultado ÷ investimento)</t>
        </is>
      </c>
      <c r="B224" s="18">
        <f>IF($B$223&gt;0,$B$219/$B$223,"")</f>
        <v/>
      </c>
      <c r="C224" s="19" t="inlineStr">
        <is>
          <t>%</t>
        </is>
      </c>
      <c r="D224" s="20" t="inlineStr">
        <is>
          <t>calculado</t>
        </is>
      </c>
    </row>
    <row r="225">
      <c r="A225" s="17" t="inlineStr">
        <is>
          <t>Preço médio por unidade</t>
        </is>
      </c>
      <c r="B225" s="22">
        <f>IF($B$190&gt;0,$B$196/$B$190,"")</f>
        <v/>
      </c>
      <c r="C225" s="19" t="inlineStr">
        <is>
          <t>R$</t>
        </is>
      </c>
      <c r="D225" s="20" t="inlineStr">
        <is>
          <t>calculado</t>
        </is>
      </c>
    </row>
    <row r="226">
      <c r="A226" s="12" t="inlineStr">
        <is>
          <t>Equivalências de unidade (referência) — mesmo valor em outras unidades</t>
        </is>
      </c>
    </row>
    <row r="227">
      <c r="A227" s="17" t="inlineStr">
        <is>
          <t>Infraestrutura em R$/m² de ALV</t>
        </is>
      </c>
      <c r="B227" s="22">
        <f>IF($B$153&gt;0,$B$208/$B$153,"")</f>
        <v/>
      </c>
      <c r="C227" s="19" t="inlineStr">
        <is>
          <t>R$/m² de ALV</t>
        </is>
      </c>
      <c r="D227" s="20" t="inlineStr">
        <is>
          <t>calculado</t>
        </is>
      </c>
    </row>
    <row r="228">
      <c r="A228" s="17" t="inlineStr">
        <is>
          <t>Infraestrutura em % do VGV</t>
        </is>
      </c>
      <c r="B228" s="18">
        <f>IF($B$196&gt;0,$B$208/$B$196,"")</f>
        <v/>
      </c>
      <c r="C228" s="19" t="inlineStr">
        <is>
          <t>% do VGV</t>
        </is>
      </c>
      <c r="D228" s="20" t="inlineStr">
        <is>
          <t>calculado</t>
        </is>
      </c>
    </row>
    <row r="229">
      <c r="A229" s="17" t="inlineStr">
        <is>
          <t>Projetos em % do VGV</t>
        </is>
      </c>
      <c r="B229" s="18">
        <f>IF($B$196&gt;0,$B$210/$B$196,"")</f>
        <v/>
      </c>
      <c r="C229" s="19" t="inlineStr">
        <is>
          <t>% do VGV</t>
        </is>
      </c>
      <c r="D229" s="20" t="inlineStr">
        <is>
          <t>calculado</t>
        </is>
      </c>
    </row>
    <row r="230">
      <c r="A230" s="17" t="inlineStr">
        <is>
          <t>Custo do terreno em R$ por m² vendável</t>
        </is>
      </c>
      <c r="B230" s="22">
        <f>IF($B$153&gt;0,$B$207/$B$153,"")</f>
        <v/>
      </c>
      <c r="C230" s="19" t="inlineStr">
        <is>
          <t>R$/m² vendável</t>
        </is>
      </c>
      <c r="D230" s="20" t="inlineStr">
        <is>
          <t>calculado</t>
        </is>
      </c>
    </row>
    <row r="231">
      <c r="A231" s="17" t="inlineStr">
        <is>
          <t>Permuta física em % da área de venda</t>
        </is>
      </c>
      <c r="B231" s="18">
        <f>IF($B$153&gt;0,$B$197/$B$153,"")</f>
        <v/>
      </c>
      <c r="C231" s="19" t="inlineStr">
        <is>
          <t>% da área de venda</t>
        </is>
      </c>
      <c r="D231" s="20" t="inlineStr">
        <is>
          <t>calculado</t>
        </is>
      </c>
    </row>
    <row r="232">
      <c r="A232" s="17" t="inlineStr">
        <is>
          <t>Permuta financeira total em % do VGV</t>
        </is>
      </c>
      <c r="B232" s="18">
        <f>IF($B$196&gt;0,($B$199)/$B$196,"")</f>
        <v/>
      </c>
      <c r="C232" s="19" t="inlineStr">
        <is>
          <t>% do VGV</t>
        </is>
      </c>
      <c r="D232" s="20" t="inlineStr">
        <is>
          <t>calculado</t>
        </is>
      </c>
    </row>
    <row r="233">
      <c r="A233" s="12" t="inlineStr">
        <is>
          <t>Conferências</t>
        </is>
      </c>
    </row>
    <row r="234">
      <c r="A234" s="17" t="inlineStr">
        <is>
          <t>Σ % dos produtos</t>
        </is>
      </c>
      <c r="B234" s="24">
        <f>IF($B$187=0,"sem produtos",IF(ABS($B$187-1)&lt;0.00005,"OK","⚠ Σ ≠ 100% (o app recusa salvar)"))</f>
        <v/>
      </c>
      <c r="C234" s="19" t="inlineStr">
        <is>
          <t>alerta</t>
        </is>
      </c>
      <c r="D234" s="20" t="inlineStr">
        <is>
          <t>calculado</t>
        </is>
      </c>
    </row>
    <row r="235">
      <c r="A235" s="17" t="inlineStr">
        <is>
          <t>Unidades em duplicidade — APP</t>
        </is>
      </c>
      <c r="B235" s="24">
        <f>IF(COUNTA($B$17,$B$18)&gt;1,"⚠ mais de uma unidade preenchida","OK")</f>
        <v/>
      </c>
      <c r="C235" s="19" t="inlineStr">
        <is>
          <t>alerta</t>
        </is>
      </c>
      <c r="D235" s="20" t="inlineStr">
        <is>
          <t>calculado</t>
        </is>
      </c>
    </row>
    <row r="236">
      <c r="A236" s="17" t="inlineStr">
        <is>
          <t>Unidades em duplicidade — ELUP/EPU</t>
        </is>
      </c>
      <c r="B236" s="24">
        <f>IF(COUNTA($B$20,$B$21,$B$22)&gt;1,"⚠ mais de uma unidade preenchida","OK")</f>
        <v/>
      </c>
      <c r="C236" s="19" t="inlineStr">
        <is>
          <t>alerta</t>
        </is>
      </c>
      <c r="D236" s="20" t="inlineStr">
        <is>
          <t>calculado</t>
        </is>
      </c>
    </row>
    <row r="237">
      <c r="A237" s="17" t="inlineStr">
        <is>
          <t>Unidades em duplicidade — EPC</t>
        </is>
      </c>
      <c r="B237" s="24">
        <f>IF(COUNTA($B$24,$B$25,$B$26)&gt;1,"⚠ mais de uma unidade preenchida","OK")</f>
        <v/>
      </c>
      <c r="C237" s="19" t="inlineStr">
        <is>
          <t>alerta</t>
        </is>
      </c>
      <c r="D237" s="20" t="inlineStr">
        <is>
          <t>calculado</t>
        </is>
      </c>
    </row>
    <row r="238">
      <c r="A238" s="17" t="inlineStr">
        <is>
          <t>Unidades em duplicidade — Viário público</t>
        </is>
      </c>
      <c r="B238" s="24">
        <f>IF(COUNTA($B$28,$B$29,$B$30)&gt;1,"⚠ mais de uma unidade preenchida","OK")</f>
        <v/>
      </c>
      <c r="C238" s="19" t="inlineStr">
        <is>
          <t>alerta</t>
        </is>
      </c>
      <c r="D238" s="20" t="inlineStr">
        <is>
          <t>calculado</t>
        </is>
      </c>
    </row>
    <row r="239">
      <c r="A239" s="17" t="inlineStr">
        <is>
          <t>Unidades em duplicidade — Viário privado</t>
        </is>
      </c>
      <c r="B239" s="24">
        <f>IF(COUNTA($B$32,$B$33,$B$34)&gt;1,"⚠ mais de uma unidade preenchida","OK")</f>
        <v/>
      </c>
      <c r="C239" s="19" t="inlineStr">
        <is>
          <t>alerta</t>
        </is>
      </c>
      <c r="D239" s="20" t="inlineStr">
        <is>
          <t>calculado</t>
        </is>
      </c>
    </row>
    <row r="240">
      <c r="A240" s="17" t="inlineStr">
        <is>
          <t>Unidades em duplicidade — Comuns privadas</t>
        </is>
      </c>
      <c r="B240" s="24">
        <f>IF(COUNTA($B$36,$B$37,$B$38)&gt;1,"⚠ mais de uma unidade preenchida","OK")</f>
        <v/>
      </c>
      <c r="C240" s="19" t="inlineStr">
        <is>
          <t>alerta</t>
        </is>
      </c>
      <c r="D240" s="20" t="inlineStr">
        <is>
          <t>calculado</t>
        </is>
      </c>
    </row>
    <row r="241">
      <c r="A241" s="17" t="inlineStr">
        <is>
          <t>Unidades em duplicidade — Verdes</t>
        </is>
      </c>
      <c r="B241" s="24">
        <f>IF(COUNTA($B$40,$B$41,$B$42)&gt;1,"⚠ mais de uma unidade preenchida","OK")</f>
        <v/>
      </c>
      <c r="C241" s="19" t="inlineStr">
        <is>
          <t>alerta</t>
        </is>
      </c>
      <c r="D241" s="20" t="inlineStr">
        <is>
          <t>calculado</t>
        </is>
      </c>
    </row>
    <row r="242">
      <c r="A242" s="17" t="inlineStr">
        <is>
          <t>Unidades em duplicidade — Infraestrutura</t>
        </is>
      </c>
      <c r="B242" s="24">
        <f>IF(COUNTA($B$50,$B$51,$B$52)&gt;1,"⚠ mais de uma unidade preenchida","OK")</f>
        <v/>
      </c>
      <c r="C242" s="19" t="inlineStr">
        <is>
          <t>alerta</t>
        </is>
      </c>
      <c r="D242" s="20" t="inlineStr">
        <is>
          <t>calculado</t>
        </is>
      </c>
    </row>
    <row r="243">
      <c r="A243" s="17" t="inlineStr">
        <is>
          <t>Unidades em duplicidade — Projetos</t>
        </is>
      </c>
      <c r="B243" s="24">
        <f>IF(COUNTA($B$54,$B$55,$B$56)&gt;1,"⚠ mais de uma unidade preenchida","OK")</f>
        <v/>
      </c>
      <c r="C243" s="19" t="inlineStr">
        <is>
          <t>alerta</t>
        </is>
      </c>
      <c r="D243" s="20" t="inlineStr">
        <is>
          <t>calculado</t>
        </is>
      </c>
    </row>
    <row r="244">
      <c r="A244" s="17" t="inlineStr">
        <is>
          <t>Unidades em duplicidade — Permuta física</t>
        </is>
      </c>
      <c r="B244" s="24">
        <f>IF(COUNTA($B$68,$B$69)&gt;1,"⚠ mais de uma unidade preenchida","OK")</f>
        <v/>
      </c>
      <c r="C244" s="19" t="inlineStr">
        <is>
          <t>alerta</t>
        </is>
      </c>
      <c r="D244" s="20" t="inlineStr">
        <is>
          <t>calculado</t>
        </is>
      </c>
    </row>
    <row r="245">
      <c r="A245" s="17" t="inlineStr">
        <is>
          <t>Unidades em duplicidade — Permuta financeira</t>
        </is>
      </c>
      <c r="B245" s="24">
        <f>IF(COUNTA($B$71,$B$72)&gt;1,"⚠ mais de uma unidade preenchida","OK")</f>
        <v/>
      </c>
      <c r="C245" s="19" t="inlineStr">
        <is>
          <t>alerta</t>
        </is>
      </c>
      <c r="D245" s="20" t="inlineStr">
        <is>
          <t>calculado</t>
        </is>
      </c>
    </row>
    <row r="246">
      <c r="A246" s="17" t="inlineStr">
        <is>
          <t>Permuta física limitada ao VGV bruto</t>
        </is>
      </c>
      <c r="B246" s="24">
        <f>IF($B$192*$B$193&gt;$B$188+0.005,"⚠ permuta acima da base: o app corta no VGV bruto","OK")</f>
        <v/>
      </c>
      <c r="C246" s="19" t="inlineStr">
        <is>
          <t>alerta</t>
        </is>
      </c>
      <c r="D246" s="20" t="inlineStr">
        <is>
          <t>calculado</t>
        </is>
      </c>
    </row>
  </sheetData>
  <sheetProtection selectLockedCells="0" selectUnlockedCells="0" sheet="1" objects="0" insertRows="1" insertHyperlinks="1" autoFilter="1" scenarios="0" formatColumns="0" deleteColumns="1" insertColumns="1" pivotTables="1" deleteRows="1" formatCells="1" formatRows="0" sort="1"/>
  <mergeCells count="42">
    <mergeCell ref="A23:D23"/>
    <mergeCell ref="A53:D53"/>
    <mergeCell ref="A91:D91"/>
    <mergeCell ref="A35:D35"/>
    <mergeCell ref="A4:D4"/>
    <mergeCell ref="A97:D97"/>
    <mergeCell ref="A206:D206"/>
    <mergeCell ref="A140:D140"/>
    <mergeCell ref="A109:D109"/>
    <mergeCell ref="A200:D200"/>
    <mergeCell ref="A156:D156"/>
    <mergeCell ref="A19:D19"/>
    <mergeCell ref="A121:D121"/>
    <mergeCell ref="A115:D115"/>
    <mergeCell ref="A44:D44"/>
    <mergeCell ref="A67:D67"/>
    <mergeCell ref="A31:D31"/>
    <mergeCell ref="A77:D77"/>
    <mergeCell ref="A127:D127"/>
    <mergeCell ref="A39:D39"/>
    <mergeCell ref="A15:D15"/>
    <mergeCell ref="A73:D73"/>
    <mergeCell ref="A142:D142"/>
    <mergeCell ref="A11:D11"/>
    <mergeCell ref="A49:D49"/>
    <mergeCell ref="A226:D226"/>
    <mergeCell ref="A191:D191"/>
    <mergeCell ref="A1:D1"/>
    <mergeCell ref="A103:D103"/>
    <mergeCell ref="A70:D70"/>
    <mergeCell ref="A79:D79"/>
    <mergeCell ref="A78:D78"/>
    <mergeCell ref="A16:D16"/>
    <mergeCell ref="A133:D133"/>
    <mergeCell ref="A66:D66"/>
    <mergeCell ref="A233:D233"/>
    <mergeCell ref="A27:D27"/>
    <mergeCell ref="A214:D214"/>
    <mergeCell ref="A139:D139"/>
    <mergeCell ref="A57:D57"/>
    <mergeCell ref="A2:D2"/>
    <mergeCell ref="A85:D85"/>
  </mergeCells>
  <dataValidations count="11">
    <dataValidation sqref="B5 B12" showDropDown="0" showInputMessage="0" showErrorMessage="0" allowBlank="1" error="No máximo 200 caracteres." type="textLength" errorStyle="warning" operator="lessThanOrEqual">
      <formula1>200</formula1>
    </dataValidation>
    <dataValidation sqref="B8" showDropDown="0" showInputMessage="0" showErrorMessage="0" allowBlank="1" errorTitle="Valor inválido" error="Escolha um valor da lista." type="list">
      <formula1>"manual,nucleo"</formula1>
    </dataValidation>
    <dataValidation sqref="B9" showDropDown="0" showInputMessage="0" showErrorMessage="0" allowBlank="1" error="No máximo 2 caracteres." type="textLength" errorStyle="warning" operator="lessThanOrEqual">
      <formula1>2</formula1>
    </dataValidation>
    <dataValidation sqref="B13 B17 B20 B24 B28 B32 B36 B40 B48 B51 B52 B55 B60 B68 B72 B84 B90 B96 B102 B108 B114 B120 B126 B132 B138" showDropDown="0" showInputMessage="0" showErrorMessage="0" allowBlank="1" errorTitle="Confira o valor" error="Valor fora da faixa esperada (0 a 1000000000000.0)." type="decimal" errorStyle="warning" operator="between">
      <formula1>0</formula1>
      <formula2>1000000000000.0</formula2>
    </dataValidation>
    <dataValidation sqref="B18 B21 B22 B25 B26 B29 B30 B33 B34 B37 B38 B41 B42 B54 B56 B58 B59 B61 B63 B64 B65 B69 B71 B82 B88 B94 B100 B106 B112 B118 B124 B130 B136" showDropDown="0" showInputMessage="0" showErrorMessage="0" allowBlank="1" errorTitle="Confira o valor" error="Valor fora da faixa esperada (0 a 1)." type="decimal" errorStyle="warning" operator="between">
      <formula1>0</formula1>
      <formula2>1</formula2>
    </dataValidation>
    <dataValidation sqref="B45 B46 B47 B62" showDropDown="0" showInputMessage="0" showErrorMessage="0" allowBlank="1" errorTitle="Valor inválido" error="Escolha um valor da lista." type="list">
      <formula1>"Sim,Não"</formula1>
    </dataValidation>
    <dataValidation sqref="B50" showDropDown="0" showInputMessage="0" showErrorMessage="0" allowBlank="1" errorTitle="Confira o valor" error="Valor fora da faixa esperada (0 a 10)." type="decimal" errorStyle="warning" operator="between">
      <formula1>0</formula1>
      <formula2>10</formula2>
    </dataValidation>
    <dataValidation sqref="B75" showDropDown="0" showInputMessage="0" showErrorMessage="0" allowBlank="1" errorTitle="Valor inválido" error="Escolha um valor da lista." type="list">
      <formula1>"anuncios,populacao,mercado,outro"</formula1>
    </dataValidation>
    <dataValidation sqref="B80 B86 B92 B98 B104 B110 B116 B122 B128 B134" showDropDown="0" showInputMessage="0" showErrorMessage="0" allowBlank="1" error="No máximo 100 caracteres." type="textLength" errorStyle="warning" operator="lessThanOrEqual">
      <formula1>100</formula1>
    </dataValidation>
    <dataValidation sqref="B81 B87 B93 B99 B105 B111 B117 B123 B129 B135" showDropDown="0" showInputMessage="0" showErrorMessage="0" allowBlank="1" errorTitle="Valor inválido" error="Escolha um valor da lista." type="list">
      <formula1>"residencial,nao_residencial"</formula1>
    </dataValidation>
    <dataValidation sqref="B83 B89 B95 B101 B107 B113 B119 B125 B131 B137" showDropDown="0" showInputMessage="0" showErrorMessage="0" allowBlank="1" errorTitle="Confira o valor" error="Valor fora da faixa esperada (0 a 1000000000000.0)." type="whole" errorStyle="warning" operator="between">
      <formula1>0</formula1>
      <formula2>1000000000000.0</formula2>
    </dataValidation>
  </dataValidation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2026-10-13T21:36:23Z</dcterms:created>
  <dcterms:modified xmlns:dcterms="http://purl.org/dc/terms/" xmlns:xsi="http://www.w3.org/2001/XMLSchema-instance" xsi:type="dcterms:W3CDTF">2026-10-13T21:36:23Z</dcterms:modified>
</cp:coreProperties>
</file>